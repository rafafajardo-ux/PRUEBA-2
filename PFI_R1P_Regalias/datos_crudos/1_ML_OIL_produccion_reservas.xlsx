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rafaelfajardom/Dropbox/hv/000.EAN/4. MACHINE LEARNING/EJEMPLOS/OIL/"/>
    </mc:Choice>
  </mc:AlternateContent>
  <xr:revisionPtr revIDLastSave="0" documentId="8_{203B7920-D4E2-8645-A05B-509A70043193}" xr6:coauthVersionLast="47" xr6:coauthVersionMax="47" xr10:uidLastSave="{00000000-0000-0000-0000-000000000000}"/>
  <bookViews>
    <workbookView xWindow="0" yWindow="760" windowWidth="30240" windowHeight="12040" tabRatio="500" xr2:uid="{00000000-000D-0000-FFFF-FFFF00000000}"/>
  </bookViews>
  <sheets>
    <sheet name="1P_Oil_final_val_col_abr29 2024" sheetId="1" r:id="rId1"/>
    <sheet name="Petróleo_1P Pronóstico" sheetId="2" r:id="rId2"/>
    <sheet name="Petróleo_Prb" sheetId="3" r:id="rId3"/>
    <sheet name="Petróleo_Ps" sheetId="4" r:id="rId4"/>
  </sheets>
  <definedNames>
    <definedName name="_xlnm._FilterDatabase" localSheetId="0" hidden="1">'1P_Oil_final_val_col_abr29 2024'!$G$1:$DP$391</definedName>
    <definedName name="_xlnm._FilterDatabase" localSheetId="1" hidden="1">'Petróleo_1P Pronóstico'!$A$1:$AP$322</definedName>
    <definedName name="_xlnm._FilterDatabase" localSheetId="2" hidden="1">Petróleo_Prb!$A$1:$AP$277</definedName>
    <definedName name="_xlnm._FilterDatabase" localSheetId="3" hidden="1">Petróleo_Ps!$A$1:$AP$264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P263" i="4" l="1"/>
  <c r="AP262" i="4"/>
  <c r="AP261" i="4"/>
  <c r="AP260" i="4"/>
  <c r="AP259" i="4"/>
  <c r="AP258" i="4"/>
  <c r="AP257" i="4"/>
  <c r="AP256" i="4"/>
  <c r="AP255" i="4"/>
  <c r="AP254" i="4"/>
  <c r="AP253" i="4"/>
  <c r="AP252" i="4"/>
  <c r="AP251" i="4"/>
  <c r="AP250" i="4"/>
  <c r="AP249" i="4"/>
  <c r="AP248" i="4"/>
  <c r="AP247" i="4"/>
  <c r="AP246" i="4"/>
  <c r="AP245" i="4"/>
  <c r="AP244" i="4"/>
  <c r="AP243" i="4"/>
  <c r="AP242" i="4"/>
  <c r="AP241" i="4"/>
  <c r="AP240" i="4"/>
  <c r="AP239" i="4"/>
  <c r="AP238" i="4"/>
  <c r="AP237" i="4"/>
  <c r="AP236" i="4"/>
  <c r="AP235" i="4"/>
  <c r="AP234" i="4"/>
  <c r="AP233" i="4"/>
  <c r="AP232" i="4"/>
  <c r="AP231" i="4"/>
  <c r="AP230" i="4"/>
  <c r="AP229" i="4"/>
  <c r="AP228" i="4"/>
  <c r="AP227" i="4"/>
  <c r="AP226" i="4"/>
  <c r="AP225" i="4"/>
  <c r="AP224" i="4"/>
  <c r="AP223" i="4"/>
  <c r="AP222" i="4"/>
  <c r="AP221" i="4"/>
  <c r="AP220" i="4"/>
  <c r="AP219" i="4"/>
  <c r="AP218" i="4"/>
  <c r="AP217" i="4"/>
  <c r="AP216" i="4"/>
  <c r="AP215" i="4"/>
  <c r="AP214" i="4"/>
  <c r="AP213" i="4"/>
  <c r="AP212" i="4"/>
  <c r="AP211" i="4"/>
  <c r="AP210" i="4"/>
  <c r="AP209" i="4"/>
  <c r="AP208" i="4"/>
  <c r="AP207" i="4"/>
  <c r="AP206" i="4"/>
  <c r="AP205" i="4"/>
  <c r="AP204" i="4"/>
  <c r="AP203" i="4"/>
  <c r="AP202" i="4"/>
  <c r="AP201" i="4"/>
  <c r="AP200" i="4"/>
  <c r="AP199" i="4"/>
  <c r="AP198" i="4"/>
  <c r="AP197" i="4"/>
  <c r="AP196" i="4"/>
  <c r="AP195" i="4"/>
  <c r="AP194" i="4"/>
  <c r="AP193" i="4"/>
  <c r="AP192" i="4"/>
  <c r="AP191" i="4"/>
  <c r="AP190" i="4"/>
  <c r="AP189" i="4"/>
  <c r="AP188" i="4"/>
  <c r="AP187" i="4"/>
  <c r="AP186" i="4"/>
  <c r="AP185" i="4"/>
  <c r="AP184" i="4"/>
  <c r="AP183" i="4"/>
  <c r="AP182" i="4"/>
  <c r="AP181" i="4"/>
  <c r="AP180" i="4"/>
  <c r="AP179" i="4"/>
  <c r="AP178" i="4"/>
  <c r="AP177" i="4"/>
  <c r="AP176" i="4"/>
  <c r="AP175" i="4"/>
  <c r="AP174" i="4"/>
  <c r="AP173" i="4"/>
  <c r="AP172" i="4"/>
  <c r="AP171" i="4"/>
  <c r="AP170" i="4"/>
  <c r="AP169" i="4"/>
  <c r="AP168" i="4"/>
  <c r="AP167" i="4"/>
  <c r="AP166" i="4"/>
  <c r="AP165" i="4"/>
  <c r="AP164" i="4"/>
  <c r="AP163" i="4"/>
  <c r="AP162" i="4"/>
  <c r="AP161" i="4"/>
  <c r="AP160" i="4"/>
  <c r="AP159" i="4"/>
  <c r="AP158" i="4"/>
  <c r="AP157" i="4"/>
  <c r="AP156" i="4"/>
  <c r="AP155" i="4"/>
  <c r="AP154" i="4"/>
  <c r="AP153" i="4"/>
  <c r="AP152" i="4"/>
  <c r="AP151" i="4"/>
  <c r="AP150" i="4"/>
  <c r="AP149" i="4"/>
  <c r="AP148" i="4"/>
  <c r="AP147" i="4"/>
  <c r="AP146" i="4"/>
  <c r="AP145" i="4"/>
  <c r="AP144" i="4"/>
  <c r="AP143" i="4"/>
  <c r="AP142" i="4"/>
  <c r="AP141" i="4"/>
  <c r="AP140" i="4"/>
  <c r="AP139" i="4"/>
  <c r="AP138" i="4"/>
  <c r="AP137" i="4"/>
  <c r="AP136" i="4"/>
  <c r="AP135" i="4"/>
  <c r="AP134" i="4"/>
  <c r="AP133" i="4"/>
  <c r="AP132" i="4"/>
  <c r="AP131" i="4"/>
  <c r="AP130" i="4"/>
  <c r="AP129" i="4"/>
  <c r="AP128" i="4"/>
  <c r="AP127" i="4"/>
  <c r="AP126" i="4"/>
  <c r="AP125" i="4"/>
  <c r="AP124" i="4"/>
  <c r="AP123" i="4"/>
  <c r="AP122" i="4"/>
  <c r="AP121" i="4"/>
  <c r="AP120" i="4"/>
  <c r="AP119" i="4"/>
  <c r="AP118" i="4"/>
  <c r="AP117" i="4"/>
  <c r="AP116" i="4"/>
  <c r="AP115" i="4"/>
  <c r="AP114" i="4"/>
  <c r="AP113" i="4"/>
  <c r="AP112" i="4"/>
  <c r="AP111" i="4"/>
  <c r="AP110" i="4"/>
  <c r="AP109" i="4"/>
  <c r="AP108" i="4"/>
  <c r="AP107" i="4"/>
  <c r="AP106" i="4"/>
  <c r="AP105" i="4"/>
  <c r="AP104" i="4"/>
  <c r="AP103" i="4"/>
  <c r="AP102" i="4"/>
  <c r="AP101" i="4"/>
  <c r="AP100" i="4"/>
  <c r="AP99" i="4"/>
  <c r="AP98" i="4"/>
  <c r="AP97" i="4"/>
  <c r="AP96" i="4"/>
  <c r="AP95" i="4"/>
  <c r="AP94" i="4"/>
  <c r="AP93" i="4"/>
  <c r="AP92" i="4"/>
  <c r="AP91" i="4"/>
  <c r="AP90" i="4"/>
  <c r="AP89" i="4"/>
  <c r="AP88" i="4"/>
  <c r="AP87" i="4"/>
  <c r="AP86" i="4"/>
  <c r="AP85" i="4"/>
  <c r="AP84" i="4"/>
  <c r="AP83" i="4"/>
  <c r="AP82" i="4"/>
  <c r="AP81" i="4"/>
  <c r="AP80" i="4"/>
  <c r="AP79" i="4"/>
  <c r="AP78" i="4"/>
  <c r="AP77" i="4"/>
  <c r="AP76" i="4"/>
  <c r="AP75" i="4"/>
  <c r="AP74" i="4"/>
  <c r="AP73" i="4"/>
  <c r="AP72" i="4"/>
  <c r="AP71" i="4"/>
  <c r="AP70" i="4"/>
  <c r="AP69" i="4"/>
  <c r="AP68" i="4"/>
  <c r="AP67" i="4"/>
  <c r="AP66" i="4"/>
  <c r="AP65" i="4"/>
  <c r="AP64" i="4"/>
  <c r="AP63" i="4"/>
  <c r="AP62" i="4"/>
  <c r="AP61" i="4"/>
  <c r="AP60" i="4"/>
  <c r="AP59" i="4"/>
  <c r="AP58" i="4"/>
  <c r="AP57" i="4"/>
  <c r="AP56" i="4"/>
  <c r="AP55" i="4"/>
  <c r="AP54" i="4"/>
  <c r="AP53" i="4"/>
  <c r="AP52" i="4"/>
  <c r="AP51" i="4"/>
  <c r="AP50" i="4"/>
  <c r="AP49" i="4"/>
  <c r="AP48" i="4"/>
  <c r="AP47" i="4"/>
  <c r="AP46" i="4"/>
  <c r="AP45" i="4"/>
  <c r="AP44" i="4"/>
  <c r="AP43" i="4"/>
  <c r="AP42" i="4"/>
  <c r="AP41" i="4"/>
  <c r="AP40" i="4"/>
  <c r="AP39" i="4"/>
  <c r="AP38" i="4"/>
  <c r="AP37" i="4"/>
  <c r="AP36" i="4"/>
  <c r="AP35" i="4"/>
  <c r="AP34" i="4"/>
  <c r="AP33" i="4"/>
  <c r="AP32" i="4"/>
  <c r="AP31" i="4"/>
  <c r="AP30" i="4"/>
  <c r="AP29" i="4"/>
  <c r="AP28" i="4"/>
  <c r="AP27" i="4"/>
  <c r="AP26" i="4"/>
  <c r="AP25" i="4"/>
  <c r="AP24" i="4"/>
  <c r="AP23" i="4"/>
  <c r="AP22" i="4"/>
  <c r="AP21" i="4"/>
  <c r="AP20" i="4"/>
  <c r="AP19" i="4"/>
  <c r="AP18" i="4"/>
  <c r="AP17" i="4"/>
  <c r="AP16" i="4"/>
  <c r="AP15" i="4"/>
  <c r="AP14" i="4"/>
  <c r="AP13" i="4"/>
  <c r="AP12" i="4"/>
  <c r="AP11" i="4"/>
  <c r="AP10" i="4"/>
  <c r="AP9" i="4"/>
  <c r="AP8" i="4"/>
  <c r="AP7" i="4"/>
  <c r="AP6" i="4"/>
  <c r="AP5" i="4"/>
  <c r="AP4" i="4"/>
  <c r="AP3" i="4"/>
  <c r="AP2" i="4"/>
  <c r="AP276" i="3"/>
  <c r="AP275" i="3"/>
  <c r="AP274" i="3"/>
  <c r="AP273" i="3"/>
  <c r="AP272" i="3"/>
  <c r="AP271" i="3"/>
  <c r="AP270" i="3"/>
  <c r="AP269" i="3"/>
  <c r="AP268" i="3"/>
  <c r="AP267" i="3"/>
  <c r="AP266" i="3"/>
  <c r="AP265" i="3"/>
  <c r="AP264" i="3"/>
  <c r="AP263" i="3"/>
  <c r="AP262" i="3"/>
  <c r="AP261" i="3"/>
  <c r="AP260" i="3"/>
  <c r="AP259" i="3"/>
  <c r="AP258" i="3"/>
  <c r="AP257" i="3"/>
  <c r="AP256" i="3"/>
  <c r="AP255" i="3"/>
  <c r="AP254" i="3"/>
  <c r="AP253" i="3"/>
  <c r="AP252" i="3"/>
  <c r="AP251" i="3"/>
  <c r="AP250" i="3"/>
  <c r="AP249" i="3"/>
  <c r="AP248" i="3"/>
  <c r="AP247" i="3"/>
  <c r="AP246" i="3"/>
  <c r="AP245" i="3"/>
  <c r="AP244" i="3"/>
  <c r="AP243" i="3"/>
  <c r="AP242" i="3"/>
  <c r="AP241" i="3"/>
  <c r="AP240" i="3"/>
  <c r="AP239" i="3"/>
  <c r="AP238" i="3"/>
  <c r="AP237" i="3"/>
  <c r="AP236" i="3"/>
  <c r="AP235" i="3"/>
  <c r="AP234" i="3"/>
  <c r="AP233" i="3"/>
  <c r="AP232" i="3"/>
  <c r="AP231" i="3"/>
  <c r="AP230" i="3"/>
  <c r="AP229" i="3"/>
  <c r="AP228" i="3"/>
  <c r="AP227" i="3"/>
  <c r="AP226" i="3"/>
  <c r="AP225" i="3"/>
  <c r="AP224" i="3"/>
  <c r="AP223" i="3"/>
  <c r="AP222" i="3"/>
  <c r="AP221" i="3"/>
  <c r="AP220" i="3"/>
  <c r="AP219" i="3"/>
  <c r="AP218" i="3"/>
  <c r="AP217" i="3"/>
  <c r="AP216" i="3"/>
  <c r="AP215" i="3"/>
  <c r="AP214" i="3"/>
  <c r="AP213" i="3"/>
  <c r="AP212" i="3"/>
  <c r="AP211" i="3"/>
  <c r="AP210" i="3"/>
  <c r="AP209" i="3"/>
  <c r="AP208" i="3"/>
  <c r="AP207" i="3"/>
  <c r="AP206" i="3"/>
  <c r="AP205" i="3"/>
  <c r="AP204" i="3"/>
  <c r="AP203" i="3"/>
  <c r="AP202" i="3"/>
  <c r="AP201" i="3"/>
  <c r="AP200" i="3"/>
  <c r="AP199" i="3"/>
  <c r="AP198" i="3"/>
  <c r="AP197" i="3"/>
  <c r="AP196" i="3"/>
  <c r="AP195" i="3"/>
  <c r="AP194" i="3"/>
  <c r="AP193" i="3"/>
  <c r="AP192" i="3"/>
  <c r="AP191" i="3"/>
  <c r="AP190" i="3"/>
  <c r="AP189" i="3"/>
  <c r="AP188" i="3"/>
  <c r="AP187" i="3"/>
  <c r="AP186" i="3"/>
  <c r="AP185" i="3"/>
  <c r="AP184" i="3"/>
  <c r="AP183" i="3"/>
  <c r="AP182" i="3"/>
  <c r="AP181" i="3"/>
  <c r="AP180" i="3"/>
  <c r="AP179" i="3"/>
  <c r="AP178" i="3"/>
  <c r="AP177" i="3"/>
  <c r="AP176" i="3"/>
  <c r="AP175" i="3"/>
  <c r="AP174" i="3"/>
  <c r="AP173" i="3"/>
  <c r="AP172" i="3"/>
  <c r="AP171" i="3"/>
  <c r="AP170" i="3"/>
  <c r="AP169" i="3"/>
  <c r="AP168" i="3"/>
  <c r="AP167" i="3"/>
  <c r="AP166" i="3"/>
  <c r="AP165" i="3"/>
  <c r="AP164" i="3"/>
  <c r="AP163" i="3"/>
  <c r="AP162" i="3"/>
  <c r="AP161" i="3"/>
  <c r="AP160" i="3"/>
  <c r="AP159" i="3"/>
  <c r="AP158" i="3"/>
  <c r="AP157" i="3"/>
  <c r="AP156" i="3"/>
  <c r="AP155" i="3"/>
  <c r="AP154" i="3"/>
  <c r="AP153" i="3"/>
  <c r="AP152" i="3"/>
  <c r="AP151" i="3"/>
  <c r="AP150" i="3"/>
  <c r="AP149" i="3"/>
  <c r="AP148" i="3"/>
  <c r="AP147" i="3"/>
  <c r="AP146" i="3"/>
  <c r="AP145" i="3"/>
  <c r="AP144" i="3"/>
  <c r="AP143" i="3"/>
  <c r="AP142" i="3"/>
  <c r="AP141" i="3"/>
  <c r="AP140" i="3"/>
  <c r="AP139" i="3"/>
  <c r="AP138" i="3"/>
  <c r="AP137" i="3"/>
  <c r="AP136" i="3"/>
  <c r="AP135" i="3"/>
  <c r="AP134" i="3"/>
  <c r="AP133" i="3"/>
  <c r="AP132" i="3"/>
  <c r="AP131" i="3"/>
  <c r="AP130" i="3"/>
  <c r="AP129" i="3"/>
  <c r="AP128" i="3"/>
  <c r="AP127" i="3"/>
  <c r="AP126" i="3"/>
  <c r="AP125" i="3"/>
  <c r="AP124" i="3"/>
  <c r="AP123" i="3"/>
  <c r="AP122" i="3"/>
  <c r="AP121" i="3"/>
  <c r="AP120" i="3"/>
  <c r="AP119" i="3"/>
  <c r="AP118" i="3"/>
  <c r="AP117" i="3"/>
  <c r="AP116" i="3"/>
  <c r="AP115" i="3"/>
  <c r="AP114" i="3"/>
  <c r="AP113" i="3"/>
  <c r="AP112" i="3"/>
  <c r="AP111" i="3"/>
  <c r="AP110" i="3"/>
  <c r="AP109" i="3"/>
  <c r="AP108" i="3"/>
  <c r="AP107" i="3"/>
  <c r="AP106" i="3"/>
  <c r="AP105" i="3"/>
  <c r="AP104" i="3"/>
  <c r="AP103" i="3"/>
  <c r="AP102" i="3"/>
  <c r="AP101" i="3"/>
  <c r="AP100" i="3"/>
  <c r="AP99" i="3"/>
  <c r="AP98" i="3"/>
  <c r="AP97" i="3"/>
  <c r="AP96" i="3"/>
  <c r="AP95" i="3"/>
  <c r="AP94" i="3"/>
  <c r="AP93" i="3"/>
  <c r="AP92" i="3"/>
  <c r="AP91" i="3"/>
  <c r="AP90" i="3"/>
  <c r="AP89" i="3"/>
  <c r="AP88" i="3"/>
  <c r="AP87" i="3"/>
  <c r="AP86" i="3"/>
  <c r="AP85" i="3"/>
  <c r="AP84" i="3"/>
  <c r="AP83" i="3"/>
  <c r="AP82" i="3"/>
  <c r="AP81" i="3"/>
  <c r="AP80" i="3"/>
  <c r="AP79" i="3"/>
  <c r="AP78" i="3"/>
  <c r="AP77" i="3"/>
  <c r="AP76" i="3"/>
  <c r="AP75" i="3"/>
  <c r="AP74" i="3"/>
  <c r="AP73" i="3"/>
  <c r="AP72" i="3"/>
  <c r="AP71" i="3"/>
  <c r="AP70" i="3"/>
  <c r="AP69" i="3"/>
  <c r="AP68" i="3"/>
  <c r="AP67" i="3"/>
  <c r="AP66" i="3"/>
  <c r="AP65" i="3"/>
  <c r="AP64" i="3"/>
  <c r="AP63" i="3"/>
  <c r="AP62" i="3"/>
  <c r="AP61" i="3"/>
  <c r="AP60" i="3"/>
  <c r="AP59" i="3"/>
  <c r="AP58" i="3"/>
  <c r="AP57" i="3"/>
  <c r="AP56" i="3"/>
  <c r="AP55" i="3"/>
  <c r="AP54" i="3"/>
  <c r="AP53" i="3"/>
  <c r="AP52" i="3"/>
  <c r="AP51" i="3"/>
  <c r="AP50" i="3"/>
  <c r="AP49" i="3"/>
  <c r="AP48" i="3"/>
  <c r="AP47" i="3"/>
  <c r="AP46" i="3"/>
  <c r="AP45" i="3"/>
  <c r="AP44" i="3"/>
  <c r="AP43" i="3"/>
  <c r="AP42" i="3"/>
  <c r="AP41" i="3"/>
  <c r="AP40" i="3"/>
  <c r="AP39" i="3"/>
  <c r="AP38" i="3"/>
  <c r="AP37" i="3"/>
  <c r="AP36" i="3"/>
  <c r="AP35" i="3"/>
  <c r="AP34" i="3"/>
  <c r="AP33" i="3"/>
  <c r="AP32" i="3"/>
  <c r="AP31" i="3"/>
  <c r="AP30" i="3"/>
  <c r="AP29" i="3"/>
  <c r="AP28" i="3"/>
  <c r="AP27" i="3"/>
  <c r="AP26" i="3"/>
  <c r="AP25" i="3"/>
  <c r="AP24" i="3"/>
  <c r="AP23" i="3"/>
  <c r="AP22" i="3"/>
  <c r="AP21" i="3"/>
  <c r="AP20" i="3"/>
  <c r="AP19" i="3"/>
  <c r="AP18" i="3"/>
  <c r="AP17" i="3"/>
  <c r="AP16" i="3"/>
  <c r="AP15" i="3"/>
  <c r="AP14" i="3"/>
  <c r="AP13" i="3"/>
  <c r="AP12" i="3"/>
  <c r="AP11" i="3"/>
  <c r="AP10" i="3"/>
  <c r="AP9" i="3"/>
  <c r="AP8" i="3"/>
  <c r="AP7" i="3"/>
  <c r="AP6" i="3"/>
  <c r="AP5" i="3"/>
  <c r="AP4" i="3"/>
  <c r="AP3" i="3"/>
  <c r="AP2" i="3"/>
  <c r="AP321" i="2"/>
  <c r="AP320" i="2"/>
  <c r="AP319" i="2"/>
  <c r="AP318" i="2"/>
  <c r="AP317" i="2"/>
  <c r="AP316" i="2"/>
  <c r="AP315" i="2"/>
  <c r="AP314" i="2"/>
  <c r="AP313" i="2"/>
  <c r="AP312" i="2"/>
  <c r="AP311" i="2"/>
  <c r="AP310" i="2"/>
  <c r="AP309" i="2"/>
  <c r="AP308" i="2"/>
  <c r="AP307" i="2"/>
  <c r="AP306" i="2"/>
  <c r="AP305" i="2"/>
  <c r="AP304" i="2"/>
  <c r="AP303" i="2"/>
  <c r="AP302" i="2"/>
  <c r="AP301" i="2"/>
  <c r="AP300" i="2"/>
  <c r="AP299" i="2"/>
  <c r="AP298" i="2"/>
  <c r="AP297" i="2"/>
  <c r="AP296" i="2"/>
  <c r="AP295" i="2"/>
  <c r="AP294" i="2"/>
  <c r="AP293" i="2"/>
  <c r="AP292" i="2"/>
  <c r="AP291" i="2"/>
  <c r="AP290" i="2"/>
  <c r="AP289" i="2"/>
  <c r="AP288" i="2"/>
  <c r="AP287" i="2"/>
  <c r="AP286" i="2"/>
  <c r="AP285" i="2"/>
  <c r="AP284" i="2"/>
  <c r="AP283" i="2"/>
  <c r="AP282" i="2"/>
  <c r="AP281" i="2"/>
  <c r="AP280" i="2"/>
  <c r="AP279" i="2"/>
  <c r="AP278" i="2"/>
  <c r="AP277" i="2"/>
  <c r="AP276" i="2"/>
  <c r="AP275" i="2"/>
  <c r="AP274" i="2"/>
  <c r="AP273" i="2"/>
  <c r="AP272" i="2"/>
  <c r="AP271" i="2"/>
  <c r="AP270" i="2"/>
  <c r="AP269" i="2"/>
  <c r="AP268" i="2"/>
  <c r="AP267" i="2"/>
  <c r="AP266" i="2"/>
  <c r="AP265" i="2"/>
  <c r="AP264" i="2"/>
  <c r="AP263" i="2"/>
  <c r="AP262" i="2"/>
  <c r="AP261" i="2"/>
  <c r="AP260" i="2"/>
  <c r="AP259" i="2"/>
  <c r="AP258" i="2"/>
  <c r="AP257" i="2"/>
  <c r="AP256" i="2"/>
  <c r="AP255" i="2"/>
  <c r="AP254" i="2"/>
  <c r="AP253" i="2"/>
  <c r="AP252" i="2"/>
  <c r="AP251" i="2"/>
  <c r="AP250" i="2"/>
  <c r="AP249" i="2"/>
  <c r="AP248" i="2"/>
  <c r="AP247" i="2"/>
  <c r="AP246" i="2"/>
  <c r="AP245" i="2"/>
  <c r="AP244" i="2"/>
  <c r="AP243" i="2"/>
  <c r="AP242" i="2"/>
  <c r="AP241" i="2"/>
  <c r="AP240" i="2"/>
  <c r="AP239" i="2"/>
  <c r="AP238" i="2"/>
  <c r="AP237" i="2"/>
  <c r="AP236" i="2"/>
  <c r="AP235" i="2"/>
  <c r="AP234" i="2"/>
  <c r="AP233" i="2"/>
  <c r="AP232" i="2"/>
  <c r="AP231" i="2"/>
  <c r="AP230" i="2"/>
  <c r="AP229" i="2"/>
  <c r="AP228" i="2"/>
  <c r="AP227" i="2"/>
  <c r="AP226" i="2"/>
  <c r="AP225" i="2"/>
  <c r="AP224" i="2"/>
  <c r="AP223" i="2"/>
  <c r="AP222" i="2"/>
  <c r="AP221" i="2"/>
  <c r="AP220" i="2"/>
  <c r="AP219" i="2"/>
  <c r="AP218" i="2"/>
  <c r="AP217" i="2"/>
  <c r="AP216" i="2"/>
  <c r="AP215" i="2"/>
  <c r="AP214" i="2"/>
  <c r="AP213" i="2"/>
  <c r="AP212" i="2"/>
  <c r="AP211" i="2"/>
  <c r="AP210" i="2"/>
  <c r="AP209" i="2"/>
  <c r="AP208" i="2"/>
  <c r="AP207" i="2"/>
  <c r="AP206" i="2"/>
  <c r="AP205" i="2"/>
  <c r="AP204" i="2"/>
  <c r="AP203" i="2"/>
  <c r="AP202" i="2"/>
  <c r="AP201" i="2"/>
  <c r="AP200" i="2"/>
  <c r="AP199" i="2"/>
  <c r="AP198" i="2"/>
  <c r="AP197" i="2"/>
  <c r="AP196" i="2"/>
  <c r="AP195" i="2"/>
  <c r="AP194" i="2"/>
  <c r="AP193" i="2"/>
  <c r="AP192" i="2"/>
  <c r="AP191" i="2"/>
  <c r="AP190" i="2"/>
  <c r="AP189" i="2"/>
  <c r="AP188" i="2"/>
  <c r="AP187" i="2"/>
  <c r="AP186" i="2"/>
  <c r="AP185" i="2"/>
  <c r="AP184" i="2"/>
  <c r="AP183" i="2"/>
  <c r="AP182" i="2"/>
  <c r="AP181" i="2"/>
  <c r="AP180" i="2"/>
  <c r="AP179" i="2"/>
  <c r="AP178" i="2"/>
  <c r="AP177" i="2"/>
  <c r="AP176" i="2"/>
  <c r="AP175" i="2"/>
  <c r="AP174" i="2"/>
  <c r="AP173" i="2"/>
  <c r="AP172" i="2"/>
  <c r="AP171" i="2"/>
  <c r="AP170" i="2"/>
  <c r="AP169" i="2"/>
  <c r="AP168" i="2"/>
  <c r="AP167" i="2"/>
  <c r="AP166" i="2"/>
  <c r="AP165" i="2"/>
  <c r="AP164" i="2"/>
  <c r="AP163" i="2"/>
  <c r="AP162" i="2"/>
  <c r="AP161" i="2"/>
  <c r="AP160" i="2"/>
  <c r="AP159" i="2"/>
  <c r="AP158" i="2"/>
  <c r="AP157" i="2"/>
  <c r="AP156" i="2"/>
  <c r="AP155" i="2"/>
  <c r="AP154" i="2"/>
  <c r="AP153" i="2"/>
  <c r="AP152" i="2"/>
  <c r="AP151" i="2"/>
  <c r="AP150" i="2"/>
  <c r="AP149" i="2"/>
  <c r="AP148" i="2"/>
  <c r="AP147" i="2"/>
  <c r="AP146" i="2"/>
  <c r="AP145" i="2"/>
  <c r="AP144" i="2"/>
  <c r="AP143" i="2"/>
  <c r="AP142" i="2"/>
  <c r="AP141" i="2"/>
  <c r="AP140" i="2"/>
  <c r="AP139" i="2"/>
  <c r="AP138" i="2"/>
  <c r="AP137" i="2"/>
  <c r="AP136" i="2"/>
  <c r="AP135" i="2"/>
  <c r="AP134" i="2"/>
  <c r="AP133" i="2"/>
  <c r="AP132" i="2"/>
  <c r="AP131" i="2"/>
  <c r="AP130" i="2"/>
  <c r="AP129" i="2"/>
  <c r="AP128" i="2"/>
  <c r="AP127" i="2"/>
  <c r="AP126" i="2"/>
  <c r="AP125" i="2"/>
  <c r="AP124" i="2"/>
  <c r="AP123" i="2"/>
  <c r="AP122" i="2"/>
  <c r="AP121" i="2"/>
  <c r="AP120" i="2"/>
  <c r="AP119" i="2"/>
  <c r="AP118" i="2"/>
  <c r="AP117" i="2"/>
  <c r="AP116" i="2"/>
  <c r="AP115" i="2"/>
  <c r="AP114" i="2"/>
  <c r="AP113" i="2"/>
  <c r="AP112" i="2"/>
  <c r="AP111" i="2"/>
  <c r="AP110" i="2"/>
  <c r="AP109" i="2"/>
  <c r="AP108" i="2"/>
  <c r="AP107" i="2"/>
  <c r="AP106" i="2"/>
  <c r="AP105" i="2"/>
  <c r="AP104" i="2"/>
  <c r="AP103" i="2"/>
  <c r="AP102" i="2"/>
  <c r="AP101" i="2"/>
  <c r="AP100" i="2"/>
  <c r="AP99" i="2"/>
  <c r="AP98" i="2"/>
  <c r="AP97" i="2"/>
  <c r="AP96" i="2"/>
  <c r="AP95" i="2"/>
  <c r="AP94" i="2"/>
  <c r="AP93" i="2"/>
  <c r="AP92" i="2"/>
  <c r="AP91" i="2"/>
  <c r="AP90" i="2"/>
  <c r="AP89" i="2"/>
  <c r="AP88" i="2"/>
  <c r="AP87" i="2"/>
  <c r="AP86" i="2"/>
  <c r="AP85" i="2"/>
  <c r="AP84" i="2"/>
  <c r="AP83" i="2"/>
  <c r="AP82" i="2"/>
  <c r="AP81" i="2"/>
  <c r="AP80" i="2"/>
  <c r="AP79" i="2"/>
  <c r="AP78" i="2"/>
  <c r="AP77" i="2"/>
  <c r="AP76" i="2"/>
  <c r="AP75" i="2"/>
  <c r="AP74" i="2"/>
  <c r="AP73" i="2"/>
  <c r="AP72" i="2"/>
  <c r="AP71" i="2"/>
  <c r="AP70" i="2"/>
  <c r="AP69" i="2"/>
  <c r="AP68" i="2"/>
  <c r="AP67" i="2"/>
  <c r="AP66" i="2"/>
  <c r="AP65" i="2"/>
  <c r="AP64" i="2"/>
  <c r="AP63" i="2"/>
  <c r="AP62" i="2"/>
  <c r="AP61" i="2"/>
  <c r="AP60" i="2"/>
  <c r="AP59" i="2"/>
  <c r="AP58" i="2"/>
  <c r="AP57" i="2"/>
  <c r="AP56" i="2"/>
  <c r="AP55" i="2"/>
  <c r="AP54" i="2"/>
  <c r="AP53" i="2"/>
  <c r="AP52" i="2"/>
  <c r="AP51" i="2"/>
  <c r="AP50" i="2"/>
  <c r="AP49" i="2"/>
  <c r="AP48" i="2"/>
  <c r="AP47" i="2"/>
  <c r="AP46" i="2"/>
  <c r="AP45" i="2"/>
  <c r="AP44" i="2"/>
  <c r="AP43" i="2"/>
  <c r="AP42" i="2"/>
  <c r="AP41" i="2"/>
  <c r="AP40" i="2"/>
  <c r="AP39" i="2"/>
  <c r="AP38" i="2"/>
  <c r="AP37" i="2"/>
  <c r="AP36" i="2"/>
  <c r="AP35" i="2"/>
  <c r="AP34" i="2"/>
  <c r="AP33" i="2"/>
  <c r="AP32" i="2"/>
  <c r="AP31" i="2"/>
  <c r="AP30" i="2"/>
  <c r="AP29" i="2"/>
  <c r="AP28" i="2"/>
  <c r="AP27" i="2"/>
  <c r="AP26" i="2"/>
  <c r="AP25" i="2"/>
  <c r="AP24" i="2"/>
  <c r="AP23" i="2"/>
  <c r="AP22" i="2"/>
  <c r="AP21" i="2"/>
  <c r="AP20" i="2"/>
  <c r="AP19" i="2"/>
  <c r="AP18" i="2"/>
  <c r="AP17" i="2"/>
  <c r="AP16" i="2"/>
  <c r="AP15" i="2"/>
  <c r="AP14" i="2"/>
  <c r="AP13" i="2"/>
  <c r="AP12" i="2"/>
  <c r="AP11" i="2"/>
  <c r="AP10" i="2"/>
  <c r="AP9" i="2"/>
  <c r="AP8" i="2"/>
  <c r="AP7" i="2"/>
  <c r="AP6" i="2"/>
  <c r="AP5" i="2"/>
  <c r="AP4" i="2"/>
  <c r="AP3" i="2"/>
  <c r="AP2" i="2"/>
  <c r="DN392" i="1"/>
  <c r="DK392" i="1"/>
  <c r="DH392" i="1"/>
  <c r="DE392" i="1"/>
  <c r="DB392" i="1"/>
  <c r="CY392" i="1"/>
  <c r="CV392" i="1"/>
  <c r="CS392" i="1"/>
  <c r="CP392" i="1"/>
  <c r="CM392" i="1"/>
  <c r="CJ392" i="1"/>
  <c r="CG392" i="1"/>
  <c r="CD392" i="1"/>
  <c r="CA392" i="1"/>
  <c r="BX392" i="1"/>
  <c r="BU392" i="1"/>
  <c r="BR392" i="1"/>
  <c r="BO392" i="1"/>
  <c r="BL392" i="1"/>
  <c r="BI392" i="1"/>
  <c r="BF392" i="1"/>
  <c r="BC392" i="1"/>
  <c r="AZ392" i="1"/>
  <c r="AW392" i="1"/>
  <c r="AT392" i="1"/>
  <c r="AQ392" i="1"/>
  <c r="AN392" i="1"/>
  <c r="AK392" i="1"/>
  <c r="AH392" i="1"/>
  <c r="AE392" i="1"/>
  <c r="AB392" i="1"/>
  <c r="Y392" i="1"/>
  <c r="V392" i="1"/>
  <c r="S392" i="1"/>
  <c r="Q392" i="1"/>
  <c r="P392" i="1"/>
  <c r="N392" i="1"/>
  <c r="M392" i="1"/>
  <c r="K392" i="1"/>
  <c r="J392" i="1"/>
  <c r="H392" i="1"/>
  <c r="O391" i="1"/>
  <c r="O390" i="1"/>
  <c r="L389" i="1"/>
  <c r="I389" i="1"/>
  <c r="R388" i="1"/>
  <c r="O388" i="1"/>
  <c r="L387" i="1"/>
  <c r="I387" i="1"/>
  <c r="L386" i="1"/>
  <c r="O385" i="1"/>
  <c r="R384" i="1"/>
  <c r="O384" i="1"/>
  <c r="L384" i="1"/>
  <c r="I384" i="1"/>
  <c r="O383" i="1"/>
  <c r="L383" i="1"/>
  <c r="I383" i="1"/>
  <c r="R382" i="1"/>
  <c r="L382" i="1"/>
  <c r="I382" i="1"/>
  <c r="L381" i="1"/>
  <c r="I381" i="1"/>
  <c r="L380" i="1"/>
  <c r="L379" i="1"/>
  <c r="O378" i="1"/>
  <c r="R377" i="1"/>
  <c r="O377" i="1"/>
  <c r="R376" i="1"/>
  <c r="O376" i="1"/>
  <c r="L376" i="1"/>
  <c r="I376" i="1"/>
  <c r="O375" i="1"/>
  <c r="L375" i="1"/>
  <c r="I375" i="1"/>
  <c r="R374" i="1"/>
  <c r="L374" i="1"/>
  <c r="I374" i="1"/>
  <c r="O373" i="1"/>
  <c r="L372" i="1"/>
  <c r="I372" i="1"/>
  <c r="L371" i="1"/>
  <c r="I371" i="1"/>
  <c r="O370" i="1"/>
  <c r="L370" i="1"/>
  <c r="I370" i="1"/>
  <c r="R369" i="1"/>
  <c r="O368" i="1"/>
  <c r="L368" i="1"/>
  <c r="I368" i="1"/>
  <c r="R367" i="1"/>
  <c r="O367" i="1"/>
  <c r="L367" i="1"/>
  <c r="I367" i="1"/>
  <c r="R366" i="1"/>
  <c r="O366" i="1"/>
  <c r="L366" i="1"/>
  <c r="I366" i="1"/>
  <c r="O365" i="1"/>
  <c r="R364" i="1"/>
  <c r="R363" i="1"/>
  <c r="L363" i="1"/>
  <c r="I363" i="1"/>
  <c r="R362" i="1"/>
  <c r="O362" i="1"/>
  <c r="L362" i="1"/>
  <c r="I362" i="1"/>
  <c r="R361" i="1"/>
  <c r="O361" i="1"/>
  <c r="L361" i="1"/>
  <c r="R360" i="1"/>
  <c r="O359" i="1"/>
  <c r="L359" i="1"/>
  <c r="I359" i="1"/>
  <c r="R358" i="1"/>
  <c r="O358" i="1"/>
  <c r="L358" i="1"/>
  <c r="I358" i="1"/>
  <c r="O357" i="1"/>
  <c r="L357" i="1"/>
  <c r="I357" i="1"/>
  <c r="L356" i="1"/>
  <c r="I356" i="1"/>
  <c r="R355" i="1"/>
  <c r="R354" i="1"/>
  <c r="R353" i="1"/>
  <c r="O353" i="1"/>
  <c r="L353" i="1"/>
  <c r="I353" i="1"/>
  <c r="R352" i="1"/>
  <c r="O352" i="1"/>
  <c r="R351" i="1"/>
  <c r="O351" i="1"/>
  <c r="L351" i="1"/>
  <c r="I351" i="1"/>
  <c r="R350" i="1"/>
  <c r="O350" i="1"/>
  <c r="L350" i="1"/>
  <c r="I350" i="1"/>
  <c r="R349" i="1"/>
  <c r="R348" i="1"/>
  <c r="O348" i="1"/>
  <c r="R347" i="1"/>
  <c r="O347" i="1"/>
  <c r="L347" i="1"/>
  <c r="I347" i="1"/>
  <c r="L346" i="1"/>
  <c r="I346" i="1"/>
  <c r="O345" i="1"/>
  <c r="L345" i="1"/>
  <c r="I345" i="1"/>
  <c r="R344" i="1"/>
  <c r="O344" i="1"/>
  <c r="L344" i="1"/>
  <c r="I344" i="1"/>
  <c r="O343" i="1"/>
  <c r="L343" i="1"/>
  <c r="I343" i="1"/>
  <c r="O342" i="1"/>
  <c r="L342" i="1"/>
  <c r="I342" i="1"/>
  <c r="R341" i="1"/>
  <c r="O341" i="1"/>
  <c r="L341" i="1"/>
  <c r="I341" i="1"/>
  <c r="R340" i="1"/>
  <c r="O340" i="1"/>
  <c r="L340" i="1"/>
  <c r="I340" i="1"/>
  <c r="R339" i="1"/>
  <c r="O339" i="1"/>
  <c r="R338" i="1"/>
  <c r="O338" i="1"/>
  <c r="R337" i="1"/>
  <c r="O337" i="1"/>
  <c r="L337" i="1"/>
  <c r="R336" i="1"/>
  <c r="O336" i="1"/>
  <c r="L336" i="1"/>
  <c r="R335" i="1"/>
  <c r="O335" i="1"/>
  <c r="L335" i="1"/>
  <c r="I335" i="1"/>
  <c r="R334" i="1"/>
  <c r="O334" i="1"/>
  <c r="R333" i="1"/>
  <c r="O333" i="1"/>
  <c r="L333" i="1"/>
  <c r="R332" i="1"/>
  <c r="O332" i="1"/>
  <c r="L332" i="1"/>
  <c r="I332" i="1"/>
  <c r="R331" i="1"/>
  <c r="O331" i="1"/>
  <c r="L331" i="1"/>
  <c r="I331" i="1"/>
  <c r="R330" i="1"/>
  <c r="O330" i="1"/>
  <c r="L330" i="1"/>
  <c r="I330" i="1"/>
  <c r="R329" i="1"/>
  <c r="O329" i="1"/>
  <c r="R328" i="1"/>
  <c r="O328" i="1"/>
  <c r="R327" i="1"/>
  <c r="O327" i="1"/>
  <c r="L327" i="1"/>
  <c r="I327" i="1"/>
  <c r="R326" i="1"/>
  <c r="O326" i="1"/>
  <c r="L326" i="1"/>
  <c r="I326" i="1"/>
  <c r="R325" i="1"/>
  <c r="O325" i="1"/>
  <c r="L325" i="1"/>
  <c r="I325" i="1"/>
  <c r="R324" i="1"/>
  <c r="O324" i="1"/>
  <c r="L324" i="1"/>
  <c r="I324" i="1"/>
  <c r="R323" i="1"/>
  <c r="O323" i="1"/>
  <c r="L323" i="1"/>
  <c r="I323" i="1"/>
  <c r="R322" i="1"/>
  <c r="O322" i="1"/>
  <c r="L322" i="1"/>
  <c r="I322" i="1"/>
  <c r="DP321" i="1"/>
  <c r="DO321" i="1"/>
  <c r="DL321" i="1"/>
  <c r="DM321" i="1" s="1"/>
  <c r="DI321" i="1"/>
  <c r="DJ321" i="1" s="1"/>
  <c r="DG321" i="1"/>
  <c r="DF321" i="1"/>
  <c r="DC321" i="1"/>
  <c r="DD321" i="1" s="1"/>
  <c r="CZ321" i="1"/>
  <c r="DA321" i="1" s="1"/>
  <c r="CW321" i="1"/>
  <c r="CX321" i="1" s="1"/>
  <c r="CU321" i="1"/>
  <c r="CT321" i="1"/>
  <c r="CR321" i="1"/>
  <c r="CQ321" i="1"/>
  <c r="CN321" i="1"/>
  <c r="CO321" i="1" s="1"/>
  <c r="CK321" i="1"/>
  <c r="CL321" i="1" s="1"/>
  <c r="CI321" i="1"/>
  <c r="CH321" i="1"/>
  <c r="CF321" i="1"/>
  <c r="CE321" i="1"/>
  <c r="CB321" i="1"/>
  <c r="CC321" i="1" s="1"/>
  <c r="BY321" i="1"/>
  <c r="BZ321" i="1" s="1"/>
  <c r="BV321" i="1"/>
  <c r="BW321" i="1" s="1"/>
  <c r="BT321" i="1"/>
  <c r="BS321" i="1"/>
  <c r="BP321" i="1"/>
  <c r="BQ321" i="1" s="1"/>
  <c r="BN321" i="1"/>
  <c r="BM321" i="1"/>
  <c r="BJ321" i="1"/>
  <c r="BK321" i="1" s="1"/>
  <c r="BH321" i="1"/>
  <c r="BG321" i="1"/>
  <c r="BD321" i="1"/>
  <c r="BE321" i="1" s="1"/>
  <c r="BB321" i="1"/>
  <c r="BA321" i="1"/>
  <c r="AX321" i="1"/>
  <c r="AY321" i="1" s="1"/>
  <c r="AU321" i="1"/>
  <c r="AV321" i="1" s="1"/>
  <c r="AR321" i="1"/>
  <c r="AS321" i="1" s="1"/>
  <c r="AO321" i="1"/>
  <c r="AP321" i="1" s="1"/>
  <c r="AM321" i="1"/>
  <c r="AL321" i="1"/>
  <c r="AI321" i="1"/>
  <c r="AJ321" i="1" s="1"/>
  <c r="AF321" i="1"/>
  <c r="AG321" i="1" s="1"/>
  <c r="AC321" i="1"/>
  <c r="AD321" i="1" s="1"/>
  <c r="AA321" i="1"/>
  <c r="Z321" i="1"/>
  <c r="X321" i="1"/>
  <c r="W321" i="1"/>
  <c r="T321" i="1"/>
  <c r="U321" i="1" s="1"/>
  <c r="R321" i="1"/>
  <c r="O321" i="1"/>
  <c r="L321" i="1"/>
  <c r="I321" i="1"/>
  <c r="DP320" i="1"/>
  <c r="DO320" i="1"/>
  <c r="DL320" i="1"/>
  <c r="DM320" i="1" s="1"/>
  <c r="DI320" i="1"/>
  <c r="DJ320" i="1" s="1"/>
  <c r="DF320" i="1"/>
  <c r="DG320" i="1" s="1"/>
  <c r="DC320" i="1"/>
  <c r="DD320" i="1" s="1"/>
  <c r="CZ320" i="1"/>
  <c r="DA320" i="1" s="1"/>
  <c r="CW320" i="1"/>
  <c r="CX320" i="1" s="1"/>
  <c r="CT320" i="1"/>
  <c r="CU320" i="1" s="1"/>
  <c r="CQ320" i="1"/>
  <c r="CR320" i="1" s="1"/>
  <c r="CN320" i="1"/>
  <c r="CO320" i="1" s="1"/>
  <c r="CK320" i="1"/>
  <c r="CL320" i="1" s="1"/>
  <c r="CI320" i="1"/>
  <c r="CH320" i="1"/>
  <c r="CF320" i="1"/>
  <c r="CE320" i="1"/>
  <c r="CB320" i="1"/>
  <c r="CC320" i="1" s="1"/>
  <c r="BY320" i="1"/>
  <c r="BZ320" i="1" s="1"/>
  <c r="BW320" i="1"/>
  <c r="BV320" i="1"/>
  <c r="BT320" i="1"/>
  <c r="BS320" i="1"/>
  <c r="BP320" i="1"/>
  <c r="BQ320" i="1" s="1"/>
  <c r="BN320" i="1"/>
  <c r="BM320" i="1"/>
  <c r="BK320" i="1"/>
  <c r="BJ320" i="1"/>
  <c r="BH320" i="1"/>
  <c r="BG320" i="1"/>
  <c r="BD320" i="1"/>
  <c r="BE320" i="1" s="1"/>
  <c r="BA320" i="1"/>
  <c r="BB320" i="1" s="1"/>
  <c r="AY320" i="1"/>
  <c r="AX320" i="1"/>
  <c r="AV320" i="1"/>
  <c r="AU320" i="1"/>
  <c r="AR320" i="1"/>
  <c r="AS320" i="1" s="1"/>
  <c r="AO320" i="1"/>
  <c r="AP320" i="1" s="1"/>
  <c r="AL320" i="1"/>
  <c r="AM320" i="1" s="1"/>
  <c r="AJ320" i="1"/>
  <c r="AI320" i="1"/>
  <c r="AF320" i="1"/>
  <c r="AG320" i="1" s="1"/>
  <c r="AC320" i="1"/>
  <c r="AD320" i="1" s="1"/>
  <c r="AA320" i="1"/>
  <c r="Z320" i="1"/>
  <c r="W320" i="1"/>
  <c r="X320" i="1" s="1"/>
  <c r="T320" i="1"/>
  <c r="U320" i="1" s="1"/>
  <c r="R320" i="1"/>
  <c r="O320" i="1"/>
  <c r="L320" i="1"/>
  <c r="I320" i="1"/>
  <c r="DP319" i="1"/>
  <c r="DO319" i="1"/>
  <c r="DL319" i="1"/>
  <c r="DM319" i="1" s="1"/>
  <c r="DI319" i="1"/>
  <c r="DJ319" i="1" s="1"/>
  <c r="DG319" i="1"/>
  <c r="DF319" i="1"/>
  <c r="DD319" i="1"/>
  <c r="DC319" i="1"/>
  <c r="CZ319" i="1"/>
  <c r="DA319" i="1" s="1"/>
  <c r="CW319" i="1"/>
  <c r="CX319" i="1" s="1"/>
  <c r="CT319" i="1"/>
  <c r="CU319" i="1" s="1"/>
  <c r="CR319" i="1"/>
  <c r="CQ319" i="1"/>
  <c r="CN319" i="1"/>
  <c r="CO319" i="1" s="1"/>
  <c r="CK319" i="1"/>
  <c r="CL319" i="1" s="1"/>
  <c r="CH319" i="1"/>
  <c r="CI319" i="1" s="1"/>
  <c r="CE319" i="1"/>
  <c r="CF319" i="1" s="1"/>
  <c r="CB319" i="1"/>
  <c r="CC319" i="1" s="1"/>
  <c r="BY319" i="1"/>
  <c r="BZ319" i="1" s="1"/>
  <c r="BW319" i="1"/>
  <c r="BV319" i="1"/>
  <c r="BS319" i="1"/>
  <c r="BT319" i="1" s="1"/>
  <c r="BP319" i="1"/>
  <c r="BQ319" i="1" s="1"/>
  <c r="BM319" i="1"/>
  <c r="BN319" i="1" s="1"/>
  <c r="BK319" i="1"/>
  <c r="BJ319" i="1"/>
  <c r="BH319" i="1"/>
  <c r="BG319" i="1"/>
  <c r="BD319" i="1"/>
  <c r="BE319" i="1" s="1"/>
  <c r="BA319" i="1"/>
  <c r="BB319" i="1" s="1"/>
  <c r="AX319" i="1"/>
  <c r="AY319" i="1" s="1"/>
  <c r="AU319" i="1"/>
  <c r="AV319" i="1" s="1"/>
  <c r="AR319" i="1"/>
  <c r="AS319" i="1" s="1"/>
  <c r="AO319" i="1"/>
  <c r="AP319" i="1" s="1"/>
  <c r="AL319" i="1"/>
  <c r="AM319" i="1" s="1"/>
  <c r="AJ319" i="1"/>
  <c r="AI319" i="1"/>
  <c r="AF319" i="1"/>
  <c r="AG319" i="1" s="1"/>
  <c r="AC319" i="1"/>
  <c r="AD319" i="1" s="1"/>
  <c r="AA319" i="1"/>
  <c r="Z319" i="1"/>
  <c r="X319" i="1"/>
  <c r="W319" i="1"/>
  <c r="T319" i="1"/>
  <c r="U319" i="1" s="1"/>
  <c r="R319" i="1"/>
  <c r="O319" i="1"/>
  <c r="L319" i="1"/>
  <c r="I319" i="1"/>
  <c r="DO318" i="1"/>
  <c r="DP318" i="1" s="1"/>
  <c r="DL318" i="1"/>
  <c r="DM318" i="1" s="1"/>
  <c r="DI318" i="1"/>
  <c r="DJ318" i="1" s="1"/>
  <c r="DG318" i="1"/>
  <c r="DF318" i="1"/>
  <c r="DD318" i="1"/>
  <c r="DC318" i="1"/>
  <c r="CZ318" i="1"/>
  <c r="DA318" i="1" s="1"/>
  <c r="CW318" i="1"/>
  <c r="CX318" i="1" s="1"/>
  <c r="CU318" i="1"/>
  <c r="CT318" i="1"/>
  <c r="CR318" i="1"/>
  <c r="CQ318" i="1"/>
  <c r="CN318" i="1"/>
  <c r="CO318" i="1" s="1"/>
  <c r="CL318" i="1"/>
  <c r="CK318" i="1"/>
  <c r="CH318" i="1"/>
  <c r="CI318" i="1" s="1"/>
  <c r="CE318" i="1"/>
  <c r="CF318" i="1" s="1"/>
  <c r="CB318" i="1"/>
  <c r="CC318" i="1" s="1"/>
  <c r="BY318" i="1"/>
  <c r="BZ318" i="1" s="1"/>
  <c r="BW318" i="1"/>
  <c r="BV318" i="1"/>
  <c r="BS318" i="1"/>
  <c r="BT318" i="1" s="1"/>
  <c r="BP318" i="1"/>
  <c r="BQ318" i="1" s="1"/>
  <c r="BM318" i="1"/>
  <c r="BN318" i="1" s="1"/>
  <c r="BJ318" i="1"/>
  <c r="BK318" i="1" s="1"/>
  <c r="BH318" i="1"/>
  <c r="BG318" i="1"/>
  <c r="BD318" i="1"/>
  <c r="BE318" i="1" s="1"/>
  <c r="BA318" i="1"/>
  <c r="BB318" i="1" s="1"/>
  <c r="AX318" i="1"/>
  <c r="AY318" i="1" s="1"/>
  <c r="AU318" i="1"/>
  <c r="AV318" i="1" s="1"/>
  <c r="AR318" i="1"/>
  <c r="AS318" i="1" s="1"/>
  <c r="AO318" i="1"/>
  <c r="AP318" i="1" s="1"/>
  <c r="AM318" i="1"/>
  <c r="AL318" i="1"/>
  <c r="AI318" i="1"/>
  <c r="AJ318" i="1" s="1"/>
  <c r="AF318" i="1"/>
  <c r="AG318" i="1" s="1"/>
  <c r="AD318" i="1"/>
  <c r="AC318" i="1"/>
  <c r="Z318" i="1"/>
  <c r="AA318" i="1" s="1"/>
  <c r="X318" i="1"/>
  <c r="W318" i="1"/>
  <c r="T318" i="1"/>
  <c r="U318" i="1" s="1"/>
  <c r="R318" i="1"/>
  <c r="O318" i="1"/>
  <c r="L318" i="1"/>
  <c r="I318" i="1"/>
  <c r="DO317" i="1"/>
  <c r="DP317" i="1" s="1"/>
  <c r="DL317" i="1"/>
  <c r="DM317" i="1" s="1"/>
  <c r="DJ317" i="1"/>
  <c r="DI317" i="1"/>
  <c r="DG317" i="1"/>
  <c r="DF317" i="1"/>
  <c r="DC317" i="1"/>
  <c r="DD317" i="1" s="1"/>
  <c r="CZ317" i="1"/>
  <c r="DA317" i="1" s="1"/>
  <c r="CW317" i="1"/>
  <c r="CX317" i="1" s="1"/>
  <c r="CU317" i="1"/>
  <c r="CT317" i="1"/>
  <c r="CR317" i="1"/>
  <c r="CQ317" i="1"/>
  <c r="CN317" i="1"/>
  <c r="CO317" i="1" s="1"/>
  <c r="CK317" i="1"/>
  <c r="CL317" i="1" s="1"/>
  <c r="CH317" i="1"/>
  <c r="CI317" i="1" s="1"/>
  <c r="CF317" i="1"/>
  <c r="CE317" i="1"/>
  <c r="CB317" i="1"/>
  <c r="CC317" i="1" s="1"/>
  <c r="BZ317" i="1"/>
  <c r="BY317" i="1"/>
  <c r="BV317" i="1"/>
  <c r="BW317" i="1" s="1"/>
  <c r="BT317" i="1"/>
  <c r="BS317" i="1"/>
  <c r="BP317" i="1"/>
  <c r="BQ317" i="1" s="1"/>
  <c r="BM317" i="1"/>
  <c r="BN317" i="1" s="1"/>
  <c r="BK317" i="1"/>
  <c r="BJ317" i="1"/>
  <c r="BG317" i="1"/>
  <c r="BH317" i="1" s="1"/>
  <c r="BD317" i="1"/>
  <c r="BE317" i="1" s="1"/>
  <c r="BA317" i="1"/>
  <c r="BB317" i="1" s="1"/>
  <c r="AY317" i="1"/>
  <c r="AX317" i="1"/>
  <c r="AV317" i="1"/>
  <c r="AU317" i="1"/>
  <c r="AR317" i="1"/>
  <c r="AS317" i="1" s="1"/>
  <c r="AO317" i="1"/>
  <c r="AP317" i="1" s="1"/>
  <c r="AM317" i="1"/>
  <c r="AL317" i="1"/>
  <c r="AJ317" i="1"/>
  <c r="AI317" i="1"/>
  <c r="AF317" i="1"/>
  <c r="AG317" i="1" s="1"/>
  <c r="AC317" i="1"/>
  <c r="AD317" i="1" s="1"/>
  <c r="Z317" i="1"/>
  <c r="AA317" i="1" s="1"/>
  <c r="X317" i="1"/>
  <c r="W317" i="1"/>
  <c r="T317" i="1"/>
  <c r="U317" i="1" s="1"/>
  <c r="R317" i="1"/>
  <c r="O317" i="1"/>
  <c r="L317" i="1"/>
  <c r="I317" i="1"/>
  <c r="DP316" i="1"/>
  <c r="DO316" i="1"/>
  <c r="DL316" i="1"/>
  <c r="DM316" i="1" s="1"/>
  <c r="DJ316" i="1"/>
  <c r="DI316" i="1"/>
  <c r="DF316" i="1"/>
  <c r="DG316" i="1" s="1"/>
  <c r="DC316" i="1"/>
  <c r="DD316" i="1" s="1"/>
  <c r="CZ316" i="1"/>
  <c r="DA316" i="1" s="1"/>
  <c r="CW316" i="1"/>
  <c r="CX316" i="1" s="1"/>
  <c r="CT316" i="1"/>
  <c r="CU316" i="1" s="1"/>
  <c r="CR316" i="1"/>
  <c r="CQ316" i="1"/>
  <c r="CN316" i="1"/>
  <c r="CO316" i="1" s="1"/>
  <c r="CK316" i="1"/>
  <c r="CL316" i="1" s="1"/>
  <c r="CH316" i="1"/>
  <c r="CI316" i="1" s="1"/>
  <c r="CF316" i="1"/>
  <c r="CE316" i="1"/>
  <c r="CB316" i="1"/>
  <c r="CC316" i="1" s="1"/>
  <c r="BY316" i="1"/>
  <c r="BZ316" i="1" s="1"/>
  <c r="BV316" i="1"/>
  <c r="BW316" i="1" s="1"/>
  <c r="BT316" i="1"/>
  <c r="BS316" i="1"/>
  <c r="BP316" i="1"/>
  <c r="BQ316" i="1" s="1"/>
  <c r="BM316" i="1"/>
  <c r="BN316" i="1" s="1"/>
  <c r="BJ316" i="1"/>
  <c r="BK316" i="1" s="1"/>
  <c r="BG316" i="1"/>
  <c r="BH316" i="1" s="1"/>
  <c r="BD316" i="1"/>
  <c r="BE316" i="1" s="1"/>
  <c r="BB316" i="1"/>
  <c r="BA316" i="1"/>
  <c r="AX316" i="1"/>
  <c r="AY316" i="1" s="1"/>
  <c r="AU316" i="1"/>
  <c r="AV316" i="1" s="1"/>
  <c r="AR316" i="1"/>
  <c r="AS316" i="1" s="1"/>
  <c r="AP316" i="1"/>
  <c r="AO316" i="1"/>
  <c r="AM316" i="1"/>
  <c r="AL316" i="1"/>
  <c r="AJ316" i="1"/>
  <c r="AI316" i="1"/>
  <c r="AF316" i="1"/>
  <c r="AG316" i="1" s="1"/>
  <c r="AC316" i="1"/>
  <c r="AD316" i="1" s="1"/>
  <c r="AA316" i="1"/>
  <c r="Z316" i="1"/>
  <c r="X316" i="1"/>
  <c r="W316" i="1"/>
  <c r="T316" i="1"/>
  <c r="U316" i="1" s="1"/>
  <c r="R316" i="1"/>
  <c r="O316" i="1"/>
  <c r="L316" i="1"/>
  <c r="I316" i="1"/>
  <c r="DP315" i="1"/>
  <c r="DO315" i="1"/>
  <c r="DL315" i="1"/>
  <c r="DM315" i="1" s="1"/>
  <c r="DI315" i="1"/>
  <c r="DJ315" i="1" s="1"/>
  <c r="DF315" i="1"/>
  <c r="DG315" i="1" s="1"/>
  <c r="DD315" i="1"/>
  <c r="DC315" i="1"/>
  <c r="CZ315" i="1"/>
  <c r="DA315" i="1" s="1"/>
  <c r="CX315" i="1"/>
  <c r="CW315" i="1"/>
  <c r="CU315" i="1"/>
  <c r="CT315" i="1"/>
  <c r="CR315" i="1"/>
  <c r="CQ315" i="1"/>
  <c r="CN315" i="1"/>
  <c r="CO315" i="1" s="1"/>
  <c r="CK315" i="1"/>
  <c r="CL315" i="1" s="1"/>
  <c r="CI315" i="1"/>
  <c r="CH315" i="1"/>
  <c r="CF315" i="1"/>
  <c r="CE315" i="1"/>
  <c r="CB315" i="1"/>
  <c r="CC315" i="1" s="1"/>
  <c r="BY315" i="1"/>
  <c r="BZ315" i="1" s="1"/>
  <c r="BW315" i="1"/>
  <c r="BV315" i="1"/>
  <c r="BT315" i="1"/>
  <c r="BS315" i="1"/>
  <c r="BP315" i="1"/>
  <c r="BQ315" i="1" s="1"/>
  <c r="BM315" i="1"/>
  <c r="BN315" i="1" s="1"/>
  <c r="BK315" i="1"/>
  <c r="BJ315" i="1"/>
  <c r="BH315" i="1"/>
  <c r="BG315" i="1"/>
  <c r="BD315" i="1"/>
  <c r="BE315" i="1" s="1"/>
  <c r="BA315" i="1"/>
  <c r="BB315" i="1" s="1"/>
  <c r="AX315" i="1"/>
  <c r="AY315" i="1" s="1"/>
  <c r="AV315" i="1"/>
  <c r="AU315" i="1"/>
  <c r="AR315" i="1"/>
  <c r="AS315" i="1" s="1"/>
  <c r="AO315" i="1"/>
  <c r="AP315" i="1" s="1"/>
  <c r="AL315" i="1"/>
  <c r="AM315" i="1" s="1"/>
  <c r="AJ315" i="1"/>
  <c r="AI315" i="1"/>
  <c r="AF315" i="1"/>
  <c r="AG315" i="1" s="1"/>
  <c r="AD315" i="1"/>
  <c r="AC315" i="1"/>
  <c r="AA315" i="1"/>
  <c r="Z315" i="1"/>
  <c r="X315" i="1"/>
  <c r="W315" i="1"/>
  <c r="T315" i="1"/>
  <c r="U315" i="1" s="1"/>
  <c r="R315" i="1"/>
  <c r="O315" i="1"/>
  <c r="L315" i="1"/>
  <c r="I315" i="1"/>
  <c r="DO314" i="1"/>
  <c r="DP314" i="1" s="1"/>
  <c r="DL314" i="1"/>
  <c r="DM314" i="1" s="1"/>
  <c r="DI314" i="1"/>
  <c r="DJ314" i="1" s="1"/>
  <c r="DG314" i="1"/>
  <c r="DF314" i="1"/>
  <c r="DD314" i="1"/>
  <c r="DC314" i="1"/>
  <c r="CZ314" i="1"/>
  <c r="DA314" i="1" s="1"/>
  <c r="CW314" i="1"/>
  <c r="CX314" i="1" s="1"/>
  <c r="CU314" i="1"/>
  <c r="CT314" i="1"/>
  <c r="CR314" i="1"/>
  <c r="CQ314" i="1"/>
  <c r="CN314" i="1"/>
  <c r="CO314" i="1" s="1"/>
  <c r="CK314" i="1"/>
  <c r="CL314" i="1" s="1"/>
  <c r="CH314" i="1"/>
  <c r="CI314" i="1" s="1"/>
  <c r="CE314" i="1"/>
  <c r="CF314" i="1" s="1"/>
  <c r="CB314" i="1"/>
  <c r="CC314" i="1" s="1"/>
  <c r="BY314" i="1"/>
  <c r="BZ314" i="1" s="1"/>
  <c r="BW314" i="1"/>
  <c r="BV314" i="1"/>
  <c r="BS314" i="1"/>
  <c r="BT314" i="1" s="1"/>
  <c r="BP314" i="1"/>
  <c r="BQ314" i="1" s="1"/>
  <c r="BN314" i="1"/>
  <c r="BM314" i="1"/>
  <c r="BK314" i="1"/>
  <c r="BJ314" i="1"/>
  <c r="BG314" i="1"/>
  <c r="BH314" i="1" s="1"/>
  <c r="BD314" i="1"/>
  <c r="BE314" i="1" s="1"/>
  <c r="BA314" i="1"/>
  <c r="BB314" i="1" s="1"/>
  <c r="AY314" i="1"/>
  <c r="AX314" i="1"/>
  <c r="AV314" i="1"/>
  <c r="AU314" i="1"/>
  <c r="AR314" i="1"/>
  <c r="AS314" i="1" s="1"/>
  <c r="AO314" i="1"/>
  <c r="AP314" i="1" s="1"/>
  <c r="AL314" i="1"/>
  <c r="AM314" i="1" s="1"/>
  <c r="AI314" i="1"/>
  <c r="AJ314" i="1" s="1"/>
  <c r="AF314" i="1"/>
  <c r="AG314" i="1" s="1"/>
  <c r="AC314" i="1"/>
  <c r="AD314" i="1" s="1"/>
  <c r="Z314" i="1"/>
  <c r="AA314" i="1" s="1"/>
  <c r="W314" i="1"/>
  <c r="X314" i="1" s="1"/>
  <c r="T314" i="1"/>
  <c r="U314" i="1" s="1"/>
  <c r="R314" i="1"/>
  <c r="O314" i="1"/>
  <c r="L314" i="1"/>
  <c r="I314" i="1"/>
  <c r="DO313" i="1"/>
  <c r="DP313" i="1" s="1"/>
  <c r="DL313" i="1"/>
  <c r="DM313" i="1" s="1"/>
  <c r="DI313" i="1"/>
  <c r="DJ313" i="1" s="1"/>
  <c r="DG313" i="1"/>
  <c r="DF313" i="1"/>
  <c r="DD313" i="1"/>
  <c r="DC313" i="1"/>
  <c r="CZ313" i="1"/>
  <c r="DA313" i="1" s="1"/>
  <c r="CW313" i="1"/>
  <c r="CX313" i="1" s="1"/>
  <c r="CT313" i="1"/>
  <c r="CU313" i="1" s="1"/>
  <c r="CQ313" i="1"/>
  <c r="CR313" i="1" s="1"/>
  <c r="CN313" i="1"/>
  <c r="CO313" i="1" s="1"/>
  <c r="CL313" i="1"/>
  <c r="CK313" i="1"/>
  <c r="CH313" i="1"/>
  <c r="CI313" i="1" s="1"/>
  <c r="CE313" i="1"/>
  <c r="CF313" i="1" s="1"/>
  <c r="CB313" i="1"/>
  <c r="CC313" i="1" s="1"/>
  <c r="BY313" i="1"/>
  <c r="BZ313" i="1" s="1"/>
  <c r="BW313" i="1"/>
  <c r="BV313" i="1"/>
  <c r="BS313" i="1"/>
  <c r="BT313" i="1" s="1"/>
  <c r="BP313" i="1"/>
  <c r="BQ313" i="1" s="1"/>
  <c r="BM313" i="1"/>
  <c r="BN313" i="1" s="1"/>
  <c r="BJ313" i="1"/>
  <c r="BK313" i="1" s="1"/>
  <c r="BG313" i="1"/>
  <c r="BH313" i="1" s="1"/>
  <c r="BE313" i="1"/>
  <c r="BD313" i="1"/>
  <c r="BA313" i="1"/>
  <c r="BB313" i="1" s="1"/>
  <c r="AX313" i="1"/>
  <c r="AY313" i="1" s="1"/>
  <c r="AU313" i="1"/>
  <c r="AV313" i="1" s="1"/>
  <c r="AS313" i="1"/>
  <c r="AR313" i="1"/>
  <c r="AO313" i="1"/>
  <c r="AP313" i="1" s="1"/>
  <c r="AM313" i="1"/>
  <c r="AL313" i="1"/>
  <c r="AI313" i="1"/>
  <c r="AJ313" i="1" s="1"/>
  <c r="AF313" i="1"/>
  <c r="AG313" i="1" s="1"/>
  <c r="AD313" i="1"/>
  <c r="AC313" i="1"/>
  <c r="Z313" i="1"/>
  <c r="AA313" i="1" s="1"/>
  <c r="W313" i="1"/>
  <c r="X313" i="1" s="1"/>
  <c r="T313" i="1"/>
  <c r="U313" i="1" s="1"/>
  <c r="R313" i="1"/>
  <c r="O313" i="1"/>
  <c r="L313" i="1"/>
  <c r="I313" i="1"/>
  <c r="DO312" i="1"/>
  <c r="DP312" i="1" s="1"/>
  <c r="DM312" i="1"/>
  <c r="DL312" i="1"/>
  <c r="DI312" i="1"/>
  <c r="DJ312" i="1" s="1"/>
  <c r="DF312" i="1"/>
  <c r="DG312" i="1" s="1"/>
  <c r="DC312" i="1"/>
  <c r="DD312" i="1" s="1"/>
  <c r="CZ312" i="1"/>
  <c r="DA312" i="1" s="1"/>
  <c r="CX312" i="1"/>
  <c r="CW312" i="1"/>
  <c r="CU312" i="1"/>
  <c r="CT312" i="1"/>
  <c r="CQ312" i="1"/>
  <c r="CR312" i="1" s="1"/>
  <c r="CN312" i="1"/>
  <c r="CO312" i="1" s="1"/>
  <c r="CL312" i="1"/>
  <c r="CK312" i="1"/>
  <c r="CI312" i="1"/>
  <c r="CH312" i="1"/>
  <c r="CE312" i="1"/>
  <c r="CF312" i="1" s="1"/>
  <c r="CB312" i="1"/>
  <c r="CC312" i="1" s="1"/>
  <c r="BY312" i="1"/>
  <c r="BZ312" i="1" s="1"/>
  <c r="BW312" i="1"/>
  <c r="BV312" i="1"/>
  <c r="BS312" i="1"/>
  <c r="BT312" i="1" s="1"/>
  <c r="BQ312" i="1"/>
  <c r="BP312" i="1"/>
  <c r="BM312" i="1"/>
  <c r="BN312" i="1" s="1"/>
  <c r="BK312" i="1"/>
  <c r="BJ312" i="1"/>
  <c r="BG312" i="1"/>
  <c r="BH312" i="1" s="1"/>
  <c r="BD312" i="1"/>
  <c r="BE312" i="1" s="1"/>
  <c r="BA312" i="1"/>
  <c r="BB312" i="1" s="1"/>
  <c r="AX312" i="1"/>
  <c r="AY312" i="1" s="1"/>
  <c r="AU312" i="1"/>
  <c r="AV312" i="1" s="1"/>
  <c r="AR312" i="1"/>
  <c r="AS312" i="1" s="1"/>
  <c r="AP312" i="1"/>
  <c r="AO312" i="1"/>
  <c r="AM312" i="1"/>
  <c r="AL312" i="1"/>
  <c r="AI312" i="1"/>
  <c r="AJ312" i="1" s="1"/>
  <c r="AG312" i="1"/>
  <c r="AF312" i="1"/>
  <c r="AD312" i="1"/>
  <c r="AC312" i="1"/>
  <c r="AA312" i="1"/>
  <c r="Z312" i="1"/>
  <c r="W312" i="1"/>
  <c r="X312" i="1" s="1"/>
  <c r="T312" i="1"/>
  <c r="U312" i="1" s="1"/>
  <c r="R312" i="1"/>
  <c r="O312" i="1"/>
  <c r="L312" i="1"/>
  <c r="I312" i="1"/>
  <c r="DO311" i="1"/>
  <c r="DP311" i="1" s="1"/>
  <c r="DM311" i="1"/>
  <c r="DL311" i="1"/>
  <c r="DI311" i="1"/>
  <c r="DJ311" i="1" s="1"/>
  <c r="DG311" i="1"/>
  <c r="DF311" i="1"/>
  <c r="DC311" i="1"/>
  <c r="DD311" i="1" s="1"/>
  <c r="CZ311" i="1"/>
  <c r="DA311" i="1" s="1"/>
  <c r="CW311" i="1"/>
  <c r="CX311" i="1" s="1"/>
  <c r="CT311" i="1"/>
  <c r="CU311" i="1" s="1"/>
  <c r="CQ311" i="1"/>
  <c r="CR311" i="1" s="1"/>
  <c r="CN311" i="1"/>
  <c r="CO311" i="1" s="1"/>
  <c r="CL311" i="1"/>
  <c r="CK311" i="1"/>
  <c r="CI311" i="1"/>
  <c r="CH311" i="1"/>
  <c r="CE311" i="1"/>
  <c r="CF311" i="1" s="1"/>
  <c r="CC311" i="1"/>
  <c r="CB311" i="1"/>
  <c r="BY311" i="1"/>
  <c r="BZ311" i="1" s="1"/>
  <c r="BW311" i="1"/>
  <c r="BV311" i="1"/>
  <c r="BS311" i="1"/>
  <c r="BT311" i="1" s="1"/>
  <c r="BQ311" i="1"/>
  <c r="BP311" i="1"/>
  <c r="BM311" i="1"/>
  <c r="BN311" i="1" s="1"/>
  <c r="BJ311" i="1"/>
  <c r="BK311" i="1" s="1"/>
  <c r="BG311" i="1"/>
  <c r="BH311" i="1" s="1"/>
  <c r="BD311" i="1"/>
  <c r="BE311" i="1" s="1"/>
  <c r="BA311" i="1"/>
  <c r="BB311" i="1" s="1"/>
  <c r="AX311" i="1"/>
  <c r="AY311" i="1" s="1"/>
  <c r="AU311" i="1"/>
  <c r="AV311" i="1" s="1"/>
  <c r="AR311" i="1"/>
  <c r="AS311" i="1" s="1"/>
  <c r="AO311" i="1"/>
  <c r="AP311" i="1" s="1"/>
  <c r="AL311" i="1"/>
  <c r="AM311" i="1" s="1"/>
  <c r="AI311" i="1"/>
  <c r="AJ311" i="1" s="1"/>
  <c r="AF311" i="1"/>
  <c r="AG311" i="1" s="1"/>
  <c r="AD311" i="1"/>
  <c r="AC311" i="1"/>
  <c r="Z311" i="1"/>
  <c r="AA311" i="1" s="1"/>
  <c r="W311" i="1"/>
  <c r="X311" i="1" s="1"/>
  <c r="T311" i="1"/>
  <c r="U311" i="1" s="1"/>
  <c r="R311" i="1"/>
  <c r="O311" i="1"/>
  <c r="L311" i="1"/>
  <c r="I311" i="1"/>
  <c r="DP310" i="1"/>
  <c r="DO310" i="1"/>
  <c r="DL310" i="1"/>
  <c r="DM310" i="1" s="1"/>
  <c r="DI310" i="1"/>
  <c r="DJ310" i="1" s="1"/>
  <c r="DF310" i="1"/>
  <c r="DG310" i="1" s="1"/>
  <c r="DD310" i="1"/>
  <c r="DC310" i="1"/>
  <c r="DA310" i="1"/>
  <c r="CZ310" i="1"/>
  <c r="CW310" i="1"/>
  <c r="CX310" i="1" s="1"/>
  <c r="CT310" i="1"/>
  <c r="CU310" i="1" s="1"/>
  <c r="CQ310" i="1"/>
  <c r="CR310" i="1" s="1"/>
  <c r="CN310" i="1"/>
  <c r="CO310" i="1" s="1"/>
  <c r="CK310" i="1"/>
  <c r="CL310" i="1" s="1"/>
  <c r="CH310" i="1"/>
  <c r="CI310" i="1" s="1"/>
  <c r="CE310" i="1"/>
  <c r="CF310" i="1" s="1"/>
  <c r="CB310" i="1"/>
  <c r="CC310" i="1" s="1"/>
  <c r="BY310" i="1"/>
  <c r="BZ310" i="1" s="1"/>
  <c r="BV310" i="1"/>
  <c r="BW310" i="1" s="1"/>
  <c r="BS310" i="1"/>
  <c r="BT310" i="1" s="1"/>
  <c r="BP310" i="1"/>
  <c r="BQ310" i="1" s="1"/>
  <c r="BM310" i="1"/>
  <c r="BN310" i="1" s="1"/>
  <c r="BJ310" i="1"/>
  <c r="BK310" i="1" s="1"/>
  <c r="BG310" i="1"/>
  <c r="BH310" i="1" s="1"/>
  <c r="BD310" i="1"/>
  <c r="BE310" i="1" s="1"/>
  <c r="BA310" i="1"/>
  <c r="BB310" i="1" s="1"/>
  <c r="AX310" i="1"/>
  <c r="AY310" i="1" s="1"/>
  <c r="AU310" i="1"/>
  <c r="AV310" i="1" s="1"/>
  <c r="AR310" i="1"/>
  <c r="AS310" i="1" s="1"/>
  <c r="AP310" i="1"/>
  <c r="AO310" i="1"/>
  <c r="AL310" i="1"/>
  <c r="AM310" i="1" s="1"/>
  <c r="AJ310" i="1"/>
  <c r="AI310" i="1"/>
  <c r="AF310" i="1"/>
  <c r="AG310" i="1" s="1"/>
  <c r="AC310" i="1"/>
  <c r="AD310" i="1" s="1"/>
  <c r="Z310" i="1"/>
  <c r="AA310" i="1" s="1"/>
  <c r="W310" i="1"/>
  <c r="X310" i="1" s="1"/>
  <c r="T310" i="1"/>
  <c r="U310" i="1" s="1"/>
  <c r="R310" i="1"/>
  <c r="O310" i="1"/>
  <c r="L310" i="1"/>
  <c r="I310" i="1"/>
  <c r="DP309" i="1"/>
  <c r="DO309" i="1"/>
  <c r="DL309" i="1"/>
  <c r="DM309" i="1" s="1"/>
  <c r="DI309" i="1"/>
  <c r="DJ309" i="1" s="1"/>
  <c r="DF309" i="1"/>
  <c r="DG309" i="1" s="1"/>
  <c r="DC309" i="1"/>
  <c r="DD309" i="1" s="1"/>
  <c r="DA309" i="1"/>
  <c r="CZ309" i="1"/>
  <c r="CW309" i="1"/>
  <c r="CX309" i="1" s="1"/>
  <c r="CT309" i="1"/>
  <c r="CU309" i="1" s="1"/>
  <c r="CQ309" i="1"/>
  <c r="CR309" i="1" s="1"/>
  <c r="CN309" i="1"/>
  <c r="CO309" i="1" s="1"/>
  <c r="CK309" i="1"/>
  <c r="CL309" i="1" s="1"/>
  <c r="CH309" i="1"/>
  <c r="CI309" i="1" s="1"/>
  <c r="CE309" i="1"/>
  <c r="CF309" i="1" s="1"/>
  <c r="CC309" i="1"/>
  <c r="CB309" i="1"/>
  <c r="BY309" i="1"/>
  <c r="BZ309" i="1" s="1"/>
  <c r="BV309" i="1"/>
  <c r="BW309" i="1" s="1"/>
  <c r="BS309" i="1"/>
  <c r="BT309" i="1" s="1"/>
  <c r="BP309" i="1"/>
  <c r="BQ309" i="1" s="1"/>
  <c r="BN309" i="1"/>
  <c r="BM309" i="1"/>
  <c r="BJ309" i="1"/>
  <c r="BK309" i="1" s="1"/>
  <c r="BG309" i="1"/>
  <c r="BH309" i="1" s="1"/>
  <c r="BD309" i="1"/>
  <c r="BE309" i="1" s="1"/>
  <c r="BA309" i="1"/>
  <c r="BB309" i="1" s="1"/>
  <c r="AX309" i="1"/>
  <c r="AY309" i="1" s="1"/>
  <c r="AU309" i="1"/>
  <c r="AV309" i="1" s="1"/>
  <c r="AR309" i="1"/>
  <c r="AS309" i="1" s="1"/>
  <c r="AO309" i="1"/>
  <c r="AP309" i="1" s="1"/>
  <c r="AL309" i="1"/>
  <c r="AM309" i="1" s="1"/>
  <c r="AI309" i="1"/>
  <c r="AJ309" i="1" s="1"/>
  <c r="AF309" i="1"/>
  <c r="AG309" i="1" s="1"/>
  <c r="AD309" i="1"/>
  <c r="AC309" i="1"/>
  <c r="Z309" i="1"/>
  <c r="AA309" i="1" s="1"/>
  <c r="W309" i="1"/>
  <c r="X309" i="1" s="1"/>
  <c r="T309" i="1"/>
  <c r="U309" i="1" s="1"/>
  <c r="R309" i="1"/>
  <c r="O309" i="1"/>
  <c r="L309" i="1"/>
  <c r="I309" i="1"/>
  <c r="DO308" i="1"/>
  <c r="DP308" i="1" s="1"/>
  <c r="DL308" i="1"/>
  <c r="DM308" i="1" s="1"/>
  <c r="DI308" i="1"/>
  <c r="DJ308" i="1" s="1"/>
  <c r="DF308" i="1"/>
  <c r="DG308" i="1" s="1"/>
  <c r="DC308" i="1"/>
  <c r="DD308" i="1" s="1"/>
  <c r="CZ308" i="1"/>
  <c r="DA308" i="1" s="1"/>
  <c r="CW308" i="1"/>
  <c r="CX308" i="1" s="1"/>
  <c r="CT308" i="1"/>
  <c r="CU308" i="1" s="1"/>
  <c r="CR308" i="1"/>
  <c r="CQ308" i="1"/>
  <c r="CN308" i="1"/>
  <c r="CO308" i="1" s="1"/>
  <c r="CK308" i="1"/>
  <c r="CL308" i="1" s="1"/>
  <c r="CH308" i="1"/>
  <c r="CI308" i="1" s="1"/>
  <c r="CE308" i="1"/>
  <c r="CF308" i="1" s="1"/>
  <c r="CB308" i="1"/>
  <c r="CC308" i="1" s="1"/>
  <c r="BY308" i="1"/>
  <c r="BZ308" i="1" s="1"/>
  <c r="BV308" i="1"/>
  <c r="BW308" i="1" s="1"/>
  <c r="BS308" i="1"/>
  <c r="BT308" i="1" s="1"/>
  <c r="BP308" i="1"/>
  <c r="BQ308" i="1" s="1"/>
  <c r="BM308" i="1"/>
  <c r="BN308" i="1" s="1"/>
  <c r="BJ308" i="1"/>
  <c r="BK308" i="1" s="1"/>
  <c r="BG308" i="1"/>
  <c r="BH308" i="1" s="1"/>
  <c r="BD308" i="1"/>
  <c r="BE308" i="1" s="1"/>
  <c r="BB308" i="1"/>
  <c r="BA308" i="1"/>
  <c r="AX308" i="1"/>
  <c r="AY308" i="1" s="1"/>
  <c r="AU308" i="1"/>
  <c r="AV308" i="1" s="1"/>
  <c r="AR308" i="1"/>
  <c r="AS308" i="1" s="1"/>
  <c r="AO308" i="1"/>
  <c r="AP308" i="1" s="1"/>
  <c r="AL308" i="1"/>
  <c r="AM308" i="1" s="1"/>
  <c r="AJ308" i="1"/>
  <c r="AI308" i="1"/>
  <c r="AF308" i="1"/>
  <c r="AG308" i="1" s="1"/>
  <c r="AD308" i="1"/>
  <c r="AC308" i="1"/>
  <c r="Z308" i="1"/>
  <c r="AA308" i="1" s="1"/>
  <c r="X308" i="1"/>
  <c r="W308" i="1"/>
  <c r="T308" i="1"/>
  <c r="U308" i="1" s="1"/>
  <c r="R308" i="1"/>
  <c r="O308" i="1"/>
  <c r="L308" i="1"/>
  <c r="I308" i="1"/>
  <c r="DO307" i="1"/>
  <c r="DP307" i="1" s="1"/>
  <c r="DL307" i="1"/>
  <c r="DM307" i="1" s="1"/>
  <c r="DI307" i="1"/>
  <c r="DJ307" i="1" s="1"/>
  <c r="DF307" i="1"/>
  <c r="DG307" i="1" s="1"/>
  <c r="DD307" i="1"/>
  <c r="DC307" i="1"/>
  <c r="CZ307" i="1"/>
  <c r="DA307" i="1" s="1"/>
  <c r="CW307" i="1"/>
  <c r="CX307" i="1" s="1"/>
  <c r="CT307" i="1"/>
  <c r="CU307" i="1" s="1"/>
  <c r="CQ307" i="1"/>
  <c r="CR307" i="1" s="1"/>
  <c r="CO307" i="1"/>
  <c r="CN307" i="1"/>
  <c r="CK307" i="1"/>
  <c r="CL307" i="1" s="1"/>
  <c r="CH307" i="1"/>
  <c r="CI307" i="1" s="1"/>
  <c r="CE307" i="1"/>
  <c r="CF307" i="1" s="1"/>
  <c r="CB307" i="1"/>
  <c r="CC307" i="1" s="1"/>
  <c r="BY307" i="1"/>
  <c r="BZ307" i="1" s="1"/>
  <c r="BV307" i="1"/>
  <c r="BW307" i="1" s="1"/>
  <c r="BT307" i="1"/>
  <c r="BS307" i="1"/>
  <c r="BP307" i="1"/>
  <c r="BQ307" i="1" s="1"/>
  <c r="BN307" i="1"/>
  <c r="BM307" i="1"/>
  <c r="BJ307" i="1"/>
  <c r="BK307" i="1" s="1"/>
  <c r="BG307" i="1"/>
  <c r="BH307" i="1" s="1"/>
  <c r="BD307" i="1"/>
  <c r="BE307" i="1" s="1"/>
  <c r="BA307" i="1"/>
  <c r="BB307" i="1" s="1"/>
  <c r="AX307" i="1"/>
  <c r="AY307" i="1" s="1"/>
  <c r="AU307" i="1"/>
  <c r="AV307" i="1" s="1"/>
  <c r="AR307" i="1"/>
  <c r="AS307" i="1" s="1"/>
  <c r="AO307" i="1"/>
  <c r="AP307" i="1" s="1"/>
  <c r="AL307" i="1"/>
  <c r="AM307" i="1" s="1"/>
  <c r="AJ307" i="1"/>
  <c r="AI307" i="1"/>
  <c r="AF307" i="1"/>
  <c r="AG307" i="1" s="1"/>
  <c r="AC307" i="1"/>
  <c r="AD307" i="1" s="1"/>
  <c r="Z307" i="1"/>
  <c r="AA307" i="1" s="1"/>
  <c r="W307" i="1"/>
  <c r="X307" i="1" s="1"/>
  <c r="T307" i="1"/>
  <c r="U307" i="1" s="1"/>
  <c r="R307" i="1"/>
  <c r="O307" i="1"/>
  <c r="L307" i="1"/>
  <c r="I307" i="1"/>
  <c r="DO306" i="1"/>
  <c r="DP306" i="1" s="1"/>
  <c r="DL306" i="1"/>
  <c r="DM306" i="1" s="1"/>
  <c r="DI306" i="1"/>
  <c r="DJ306" i="1" s="1"/>
  <c r="DF306" i="1"/>
  <c r="DG306" i="1" s="1"/>
  <c r="DC306" i="1"/>
  <c r="DD306" i="1" s="1"/>
  <c r="DA306" i="1"/>
  <c r="CZ306" i="1"/>
  <c r="CW306" i="1"/>
  <c r="CX306" i="1" s="1"/>
  <c r="CT306" i="1"/>
  <c r="CU306" i="1" s="1"/>
  <c r="CQ306" i="1"/>
  <c r="CR306" i="1" s="1"/>
  <c r="CN306" i="1"/>
  <c r="CO306" i="1" s="1"/>
  <c r="CK306" i="1"/>
  <c r="CL306" i="1" s="1"/>
  <c r="CH306" i="1"/>
  <c r="CI306" i="1" s="1"/>
  <c r="CE306" i="1"/>
  <c r="CF306" i="1" s="1"/>
  <c r="CC306" i="1"/>
  <c r="CB306" i="1"/>
  <c r="BZ306" i="1"/>
  <c r="BY306" i="1"/>
  <c r="BV306" i="1"/>
  <c r="BW306" i="1" s="1"/>
  <c r="BS306" i="1"/>
  <c r="BT306" i="1" s="1"/>
  <c r="BP306" i="1"/>
  <c r="BQ306" i="1" s="1"/>
  <c r="BM306" i="1"/>
  <c r="BN306" i="1" s="1"/>
  <c r="BJ306" i="1"/>
  <c r="BK306" i="1" s="1"/>
  <c r="BG306" i="1"/>
  <c r="BH306" i="1" s="1"/>
  <c r="BE306" i="1"/>
  <c r="BD306" i="1"/>
  <c r="BA306" i="1"/>
  <c r="BB306" i="1" s="1"/>
  <c r="AX306" i="1"/>
  <c r="AY306" i="1" s="1"/>
  <c r="AU306" i="1"/>
  <c r="AV306" i="1" s="1"/>
  <c r="AR306" i="1"/>
  <c r="AS306" i="1" s="1"/>
  <c r="AO306" i="1"/>
  <c r="AP306" i="1" s="1"/>
  <c r="AL306" i="1"/>
  <c r="AM306" i="1" s="1"/>
  <c r="AJ306" i="1"/>
  <c r="AI306" i="1"/>
  <c r="AF306" i="1"/>
  <c r="AG306" i="1" s="1"/>
  <c r="AC306" i="1"/>
  <c r="AD306" i="1" s="1"/>
  <c r="Z306" i="1"/>
  <c r="AA306" i="1" s="1"/>
  <c r="X306" i="1"/>
  <c r="W306" i="1"/>
  <c r="T306" i="1"/>
  <c r="U306" i="1" s="1"/>
  <c r="O306" i="1"/>
  <c r="L306" i="1"/>
  <c r="I306" i="1"/>
  <c r="DO305" i="1"/>
  <c r="DP305" i="1" s="1"/>
  <c r="DL305" i="1"/>
  <c r="DM305" i="1" s="1"/>
  <c r="DI305" i="1"/>
  <c r="DJ305" i="1" s="1"/>
  <c r="DF305" i="1"/>
  <c r="DG305" i="1" s="1"/>
  <c r="DC305" i="1"/>
  <c r="DD305" i="1" s="1"/>
  <c r="CZ305" i="1"/>
  <c r="DA305" i="1" s="1"/>
  <c r="CX305" i="1"/>
  <c r="CW305" i="1"/>
  <c r="CT305" i="1"/>
  <c r="CU305" i="1" s="1"/>
  <c r="CQ305" i="1"/>
  <c r="CR305" i="1" s="1"/>
  <c r="CN305" i="1"/>
  <c r="CO305" i="1" s="1"/>
  <c r="CL305" i="1"/>
  <c r="CK305" i="1"/>
  <c r="CI305" i="1"/>
  <c r="CH305" i="1"/>
  <c r="CE305" i="1"/>
  <c r="CF305" i="1" s="1"/>
  <c r="CC305" i="1"/>
  <c r="CB305" i="1"/>
  <c r="BY305" i="1"/>
  <c r="BZ305" i="1" s="1"/>
  <c r="BW305" i="1"/>
  <c r="BV305" i="1"/>
  <c r="BS305" i="1"/>
  <c r="BT305" i="1" s="1"/>
  <c r="BP305" i="1"/>
  <c r="BQ305" i="1" s="1"/>
  <c r="BM305" i="1"/>
  <c r="BN305" i="1" s="1"/>
  <c r="BJ305" i="1"/>
  <c r="BK305" i="1" s="1"/>
  <c r="BG305" i="1"/>
  <c r="BH305" i="1" s="1"/>
  <c r="BD305" i="1"/>
  <c r="BE305" i="1" s="1"/>
  <c r="BB305" i="1"/>
  <c r="BA305" i="1"/>
  <c r="AY305" i="1"/>
  <c r="AX305" i="1"/>
  <c r="AU305" i="1"/>
  <c r="AV305" i="1" s="1"/>
  <c r="AR305" i="1"/>
  <c r="AS305" i="1" s="1"/>
  <c r="AO305" i="1"/>
  <c r="AP305" i="1" s="1"/>
  <c r="AM305" i="1"/>
  <c r="AL305" i="1"/>
  <c r="AI305" i="1"/>
  <c r="AJ305" i="1" s="1"/>
  <c r="AG305" i="1"/>
  <c r="AF305" i="1"/>
  <c r="AC305" i="1"/>
  <c r="AD305" i="1" s="1"/>
  <c r="Z305" i="1"/>
  <c r="AA305" i="1" s="1"/>
  <c r="W305" i="1"/>
  <c r="X305" i="1" s="1"/>
  <c r="T305" i="1"/>
  <c r="U305" i="1" s="1"/>
  <c r="R305" i="1"/>
  <c r="O305" i="1"/>
  <c r="L305" i="1"/>
  <c r="I305" i="1"/>
  <c r="DO304" i="1"/>
  <c r="DP304" i="1" s="1"/>
  <c r="DM304" i="1"/>
  <c r="DL304" i="1"/>
  <c r="DJ304" i="1"/>
  <c r="DI304" i="1"/>
  <c r="DF304" i="1"/>
  <c r="DG304" i="1" s="1"/>
  <c r="DC304" i="1"/>
  <c r="DD304" i="1" s="1"/>
  <c r="CZ304" i="1"/>
  <c r="DA304" i="1" s="1"/>
  <c r="CX304" i="1"/>
  <c r="CW304" i="1"/>
  <c r="CU304" i="1"/>
  <c r="CT304" i="1"/>
  <c r="CQ304" i="1"/>
  <c r="CR304" i="1" s="1"/>
  <c r="CO304" i="1"/>
  <c r="CN304" i="1"/>
  <c r="CK304" i="1"/>
  <c r="CL304" i="1" s="1"/>
  <c r="CI304" i="1"/>
  <c r="CH304" i="1"/>
  <c r="CE304" i="1"/>
  <c r="CF304" i="1" s="1"/>
  <c r="CB304" i="1"/>
  <c r="CC304" i="1" s="1"/>
  <c r="BY304" i="1"/>
  <c r="BZ304" i="1" s="1"/>
  <c r="BV304" i="1"/>
  <c r="BW304" i="1" s="1"/>
  <c r="BS304" i="1"/>
  <c r="BT304" i="1" s="1"/>
  <c r="BP304" i="1"/>
  <c r="BQ304" i="1" s="1"/>
  <c r="BM304" i="1"/>
  <c r="BN304" i="1" s="1"/>
  <c r="BJ304" i="1"/>
  <c r="BK304" i="1" s="1"/>
  <c r="BG304" i="1"/>
  <c r="BH304" i="1" s="1"/>
  <c r="BD304" i="1"/>
  <c r="BE304" i="1" s="1"/>
  <c r="BA304" i="1"/>
  <c r="BB304" i="1" s="1"/>
  <c r="AX304" i="1"/>
  <c r="AY304" i="1" s="1"/>
  <c r="AU304" i="1"/>
  <c r="AV304" i="1" s="1"/>
  <c r="AR304" i="1"/>
  <c r="AS304" i="1" s="1"/>
  <c r="AO304" i="1"/>
  <c r="AP304" i="1" s="1"/>
  <c r="AM304" i="1"/>
  <c r="AL304" i="1"/>
  <c r="AI304" i="1"/>
  <c r="AJ304" i="1" s="1"/>
  <c r="AG304" i="1"/>
  <c r="AF304" i="1"/>
  <c r="AC304" i="1"/>
  <c r="AD304" i="1" s="1"/>
  <c r="Z304" i="1"/>
  <c r="AA304" i="1" s="1"/>
  <c r="W304" i="1"/>
  <c r="X304" i="1" s="1"/>
  <c r="T304" i="1"/>
  <c r="U304" i="1" s="1"/>
  <c r="R304" i="1"/>
  <c r="O304" i="1"/>
  <c r="L304" i="1"/>
  <c r="I304" i="1"/>
  <c r="DO303" i="1"/>
  <c r="DP303" i="1" s="1"/>
  <c r="DL303" i="1"/>
  <c r="DM303" i="1" s="1"/>
  <c r="DI303" i="1"/>
  <c r="DJ303" i="1" s="1"/>
  <c r="DG303" i="1"/>
  <c r="DF303" i="1"/>
  <c r="DC303" i="1"/>
  <c r="DD303" i="1" s="1"/>
  <c r="CZ303" i="1"/>
  <c r="DA303" i="1" s="1"/>
  <c r="CW303" i="1"/>
  <c r="CX303" i="1" s="1"/>
  <c r="CT303" i="1"/>
  <c r="CU303" i="1" s="1"/>
  <c r="CQ303" i="1"/>
  <c r="CR303" i="1" s="1"/>
  <c r="CO303" i="1"/>
  <c r="CN303" i="1"/>
  <c r="CK303" i="1"/>
  <c r="CL303" i="1" s="1"/>
  <c r="CI303" i="1"/>
  <c r="CH303" i="1"/>
  <c r="CE303" i="1"/>
  <c r="CF303" i="1" s="1"/>
  <c r="CB303" i="1"/>
  <c r="CC303" i="1" s="1"/>
  <c r="BY303" i="1"/>
  <c r="BZ303" i="1" s="1"/>
  <c r="BV303" i="1"/>
  <c r="BW303" i="1" s="1"/>
  <c r="BS303" i="1"/>
  <c r="BT303" i="1" s="1"/>
  <c r="BP303" i="1"/>
  <c r="BQ303" i="1" s="1"/>
  <c r="BM303" i="1"/>
  <c r="BN303" i="1" s="1"/>
  <c r="BJ303" i="1"/>
  <c r="BK303" i="1" s="1"/>
  <c r="BG303" i="1"/>
  <c r="BH303" i="1" s="1"/>
  <c r="BE303" i="1"/>
  <c r="BD303" i="1"/>
  <c r="BA303" i="1"/>
  <c r="BB303" i="1" s="1"/>
  <c r="AX303" i="1"/>
  <c r="AY303" i="1" s="1"/>
  <c r="AU303" i="1"/>
  <c r="AV303" i="1" s="1"/>
  <c r="AR303" i="1"/>
  <c r="AS303" i="1" s="1"/>
  <c r="AO303" i="1"/>
  <c r="AP303" i="1" s="1"/>
  <c r="AM303" i="1"/>
  <c r="AL303" i="1"/>
  <c r="AI303" i="1"/>
  <c r="AJ303" i="1" s="1"/>
  <c r="AF303" i="1"/>
  <c r="AG303" i="1" s="1"/>
  <c r="AC303" i="1"/>
  <c r="AD303" i="1" s="1"/>
  <c r="AA303" i="1"/>
  <c r="Z303" i="1"/>
  <c r="W303" i="1"/>
  <c r="X303" i="1" s="1"/>
  <c r="T303" i="1"/>
  <c r="U303" i="1" s="1"/>
  <c r="R303" i="1"/>
  <c r="O303" i="1"/>
  <c r="L303" i="1"/>
  <c r="I303" i="1"/>
  <c r="DO302" i="1"/>
  <c r="DP302" i="1" s="1"/>
  <c r="DL302" i="1"/>
  <c r="DM302" i="1" s="1"/>
  <c r="DJ302" i="1"/>
  <c r="DI302" i="1"/>
  <c r="DG302" i="1"/>
  <c r="DF302" i="1"/>
  <c r="DC302" i="1"/>
  <c r="DD302" i="1" s="1"/>
  <c r="DA302" i="1"/>
  <c r="CZ302" i="1"/>
  <c r="CW302" i="1"/>
  <c r="CX302" i="1" s="1"/>
  <c r="CU302" i="1"/>
  <c r="CT302" i="1"/>
  <c r="CQ302" i="1"/>
  <c r="CR302" i="1" s="1"/>
  <c r="CN302" i="1"/>
  <c r="CO302" i="1" s="1"/>
  <c r="CK302" i="1"/>
  <c r="CL302" i="1" s="1"/>
  <c r="CI302" i="1"/>
  <c r="CH302" i="1"/>
  <c r="CE302" i="1"/>
  <c r="CF302" i="1" s="1"/>
  <c r="CB302" i="1"/>
  <c r="CC302" i="1" s="1"/>
  <c r="BY302" i="1"/>
  <c r="BZ302" i="1" s="1"/>
  <c r="BW302" i="1"/>
  <c r="BV302" i="1"/>
  <c r="BS302" i="1"/>
  <c r="BT302" i="1" s="1"/>
  <c r="BQ302" i="1"/>
  <c r="BP302" i="1"/>
  <c r="BM302" i="1"/>
  <c r="BN302" i="1" s="1"/>
  <c r="BK302" i="1"/>
  <c r="BJ302" i="1"/>
  <c r="BG302" i="1"/>
  <c r="BH302" i="1" s="1"/>
  <c r="BD302" i="1"/>
  <c r="BE302" i="1" s="1"/>
  <c r="BA302" i="1"/>
  <c r="BB302" i="1" s="1"/>
  <c r="AX302" i="1"/>
  <c r="AY302" i="1" s="1"/>
  <c r="AU302" i="1"/>
  <c r="AV302" i="1" s="1"/>
  <c r="AR302" i="1"/>
  <c r="AS302" i="1" s="1"/>
  <c r="AP302" i="1"/>
  <c r="AO302" i="1"/>
  <c r="AL302" i="1"/>
  <c r="AM302" i="1" s="1"/>
  <c r="AI302" i="1"/>
  <c r="AJ302" i="1" s="1"/>
  <c r="AF302" i="1"/>
  <c r="AG302" i="1" s="1"/>
  <c r="AC302" i="1"/>
  <c r="AD302" i="1" s="1"/>
  <c r="Z302" i="1"/>
  <c r="AA302" i="1" s="1"/>
  <c r="W302" i="1"/>
  <c r="X302" i="1" s="1"/>
  <c r="T302" i="1"/>
  <c r="U302" i="1" s="1"/>
  <c r="L302" i="1"/>
  <c r="I302" i="1"/>
  <c r="DP301" i="1"/>
  <c r="DO301" i="1"/>
  <c r="DL301" i="1"/>
  <c r="DM301" i="1" s="1"/>
  <c r="DI301" i="1"/>
  <c r="DJ301" i="1" s="1"/>
  <c r="DF301" i="1"/>
  <c r="DG301" i="1" s="1"/>
  <c r="DD301" i="1"/>
  <c r="DC301" i="1"/>
  <c r="CZ301" i="1"/>
  <c r="DA301" i="1" s="1"/>
  <c r="CW301" i="1"/>
  <c r="CX301" i="1" s="1"/>
  <c r="CT301" i="1"/>
  <c r="CU301" i="1" s="1"/>
  <c r="CQ301" i="1"/>
  <c r="CR301" i="1" s="1"/>
  <c r="CN301" i="1"/>
  <c r="CO301" i="1" s="1"/>
  <c r="CK301" i="1"/>
  <c r="CL301" i="1" s="1"/>
  <c r="CH301" i="1"/>
  <c r="CI301" i="1" s="1"/>
  <c r="CF301" i="1"/>
  <c r="CE301" i="1"/>
  <c r="CB301" i="1"/>
  <c r="CC301" i="1" s="1"/>
  <c r="BY301" i="1"/>
  <c r="BZ301" i="1" s="1"/>
  <c r="BV301" i="1"/>
  <c r="BW301" i="1" s="1"/>
  <c r="BS301" i="1"/>
  <c r="BT301" i="1" s="1"/>
  <c r="BP301" i="1"/>
  <c r="BQ301" i="1" s="1"/>
  <c r="BM301" i="1"/>
  <c r="BN301" i="1" s="1"/>
  <c r="BJ301" i="1"/>
  <c r="BK301" i="1" s="1"/>
  <c r="BH301" i="1"/>
  <c r="BG301" i="1"/>
  <c r="BD301" i="1"/>
  <c r="BE301" i="1" s="1"/>
  <c r="BA301" i="1"/>
  <c r="BB301" i="1" s="1"/>
  <c r="AY301" i="1"/>
  <c r="AX301" i="1"/>
  <c r="AU301" i="1"/>
  <c r="AV301" i="1" s="1"/>
  <c r="AR301" i="1"/>
  <c r="AS301" i="1" s="1"/>
  <c r="AO301" i="1"/>
  <c r="AP301" i="1" s="1"/>
  <c r="AL301" i="1"/>
  <c r="AM301" i="1" s="1"/>
  <c r="AJ301" i="1"/>
  <c r="AI301" i="1"/>
  <c r="AF301" i="1"/>
  <c r="AG301" i="1" s="1"/>
  <c r="AC301" i="1"/>
  <c r="AD301" i="1" s="1"/>
  <c r="AA301" i="1"/>
  <c r="Z301" i="1"/>
  <c r="X301" i="1"/>
  <c r="W301" i="1"/>
  <c r="T301" i="1"/>
  <c r="U301" i="1" s="1"/>
  <c r="R301" i="1"/>
  <c r="O301" i="1"/>
  <c r="L301" i="1"/>
  <c r="I301" i="1"/>
  <c r="DO300" i="1"/>
  <c r="DP300" i="1" s="1"/>
  <c r="DL300" i="1"/>
  <c r="DM300" i="1" s="1"/>
  <c r="DI300" i="1"/>
  <c r="DJ300" i="1" s="1"/>
  <c r="DF300" i="1"/>
  <c r="DG300" i="1" s="1"/>
  <c r="DC300" i="1"/>
  <c r="DD300" i="1" s="1"/>
  <c r="CZ300" i="1"/>
  <c r="DA300" i="1" s="1"/>
  <c r="CW300" i="1"/>
  <c r="CX300" i="1" s="1"/>
  <c r="CT300" i="1"/>
  <c r="CU300" i="1" s="1"/>
  <c r="CQ300" i="1"/>
  <c r="CR300" i="1" s="1"/>
  <c r="CN300" i="1"/>
  <c r="CO300" i="1" s="1"/>
  <c r="CK300" i="1"/>
  <c r="CL300" i="1" s="1"/>
  <c r="CH300" i="1"/>
  <c r="CI300" i="1" s="1"/>
  <c r="CF300" i="1"/>
  <c r="CE300" i="1"/>
  <c r="CB300" i="1"/>
  <c r="CC300" i="1" s="1"/>
  <c r="BZ300" i="1"/>
  <c r="BY300" i="1"/>
  <c r="BV300" i="1"/>
  <c r="BW300" i="1" s="1"/>
  <c r="BT300" i="1"/>
  <c r="BS300" i="1"/>
  <c r="BP300" i="1"/>
  <c r="BQ300" i="1" s="1"/>
  <c r="BM300" i="1"/>
  <c r="BN300" i="1" s="1"/>
  <c r="BJ300" i="1"/>
  <c r="BK300" i="1" s="1"/>
  <c r="BH300" i="1"/>
  <c r="BG300" i="1"/>
  <c r="BD300" i="1"/>
  <c r="BE300" i="1" s="1"/>
  <c r="BA300" i="1"/>
  <c r="BB300" i="1" s="1"/>
  <c r="AX300" i="1"/>
  <c r="AY300" i="1" s="1"/>
  <c r="AV300" i="1"/>
  <c r="AU300" i="1"/>
  <c r="AR300" i="1"/>
  <c r="AS300" i="1" s="1"/>
  <c r="AO300" i="1"/>
  <c r="AP300" i="1" s="1"/>
  <c r="AL300" i="1"/>
  <c r="AM300" i="1" s="1"/>
  <c r="AI300" i="1"/>
  <c r="AJ300" i="1" s="1"/>
  <c r="AF300" i="1"/>
  <c r="AG300" i="1" s="1"/>
  <c r="AC300" i="1"/>
  <c r="AD300" i="1" s="1"/>
  <c r="Z300" i="1"/>
  <c r="AA300" i="1" s="1"/>
  <c r="X300" i="1"/>
  <c r="W300" i="1"/>
  <c r="T300" i="1"/>
  <c r="U300" i="1" s="1"/>
  <c r="R300" i="1"/>
  <c r="O300" i="1"/>
  <c r="L300" i="1"/>
  <c r="I300" i="1"/>
  <c r="DO299" i="1"/>
  <c r="DP299" i="1" s="1"/>
  <c r="DL299" i="1"/>
  <c r="DM299" i="1" s="1"/>
  <c r="DI299" i="1"/>
  <c r="DJ299" i="1" s="1"/>
  <c r="DG299" i="1"/>
  <c r="DF299" i="1"/>
  <c r="DC299" i="1"/>
  <c r="DD299" i="1" s="1"/>
  <c r="CZ299" i="1"/>
  <c r="DA299" i="1" s="1"/>
  <c r="CW299" i="1"/>
  <c r="CX299" i="1" s="1"/>
  <c r="CT299" i="1"/>
  <c r="CU299" i="1" s="1"/>
  <c r="CR299" i="1"/>
  <c r="CQ299" i="1"/>
  <c r="CN299" i="1"/>
  <c r="CO299" i="1" s="1"/>
  <c r="CK299" i="1"/>
  <c r="CL299" i="1" s="1"/>
  <c r="CH299" i="1"/>
  <c r="CI299" i="1" s="1"/>
  <c r="CE299" i="1"/>
  <c r="CF299" i="1" s="1"/>
  <c r="CB299" i="1"/>
  <c r="CC299" i="1" s="1"/>
  <c r="BZ299" i="1"/>
  <c r="BY299" i="1"/>
  <c r="BV299" i="1"/>
  <c r="BW299" i="1" s="1"/>
  <c r="BS299" i="1"/>
  <c r="BT299" i="1" s="1"/>
  <c r="BP299" i="1"/>
  <c r="BQ299" i="1" s="1"/>
  <c r="BN299" i="1"/>
  <c r="BM299" i="1"/>
  <c r="BJ299" i="1"/>
  <c r="BK299" i="1" s="1"/>
  <c r="BG299" i="1"/>
  <c r="BH299" i="1" s="1"/>
  <c r="BD299" i="1"/>
  <c r="BE299" i="1" s="1"/>
  <c r="BA299" i="1"/>
  <c r="BB299" i="1" s="1"/>
  <c r="AY299" i="1"/>
  <c r="AX299" i="1"/>
  <c r="AV299" i="1"/>
  <c r="AU299" i="1"/>
  <c r="AR299" i="1"/>
  <c r="AS299" i="1" s="1"/>
  <c r="AO299" i="1"/>
  <c r="AP299" i="1" s="1"/>
  <c r="AM299" i="1"/>
  <c r="AL299" i="1"/>
  <c r="AJ299" i="1"/>
  <c r="AI299" i="1"/>
  <c r="AF299" i="1"/>
  <c r="AG299" i="1" s="1"/>
  <c r="AC299" i="1"/>
  <c r="AD299" i="1" s="1"/>
  <c r="Z299" i="1"/>
  <c r="AA299" i="1" s="1"/>
  <c r="W299" i="1"/>
  <c r="X299" i="1" s="1"/>
  <c r="T299" i="1"/>
  <c r="U299" i="1" s="1"/>
  <c r="R299" i="1"/>
  <c r="O299" i="1"/>
  <c r="L299" i="1"/>
  <c r="I299" i="1"/>
  <c r="DO298" i="1"/>
  <c r="DP298" i="1" s="1"/>
  <c r="DL298" i="1"/>
  <c r="DM298" i="1" s="1"/>
  <c r="DJ298" i="1"/>
  <c r="DI298" i="1"/>
  <c r="DG298" i="1"/>
  <c r="DF298" i="1"/>
  <c r="DC298" i="1"/>
  <c r="DD298" i="1" s="1"/>
  <c r="CZ298" i="1"/>
  <c r="DA298" i="1" s="1"/>
  <c r="CW298" i="1"/>
  <c r="CX298" i="1" s="1"/>
  <c r="CT298" i="1"/>
  <c r="CU298" i="1" s="1"/>
  <c r="CR298" i="1"/>
  <c r="CQ298" i="1"/>
  <c r="CN298" i="1"/>
  <c r="CO298" i="1" s="1"/>
  <c r="CK298" i="1"/>
  <c r="CL298" i="1" s="1"/>
  <c r="CH298" i="1"/>
  <c r="CI298" i="1" s="1"/>
  <c r="CF298" i="1"/>
  <c r="CE298" i="1"/>
  <c r="CB298" i="1"/>
  <c r="CC298" i="1" s="1"/>
  <c r="BY298" i="1"/>
  <c r="BZ298" i="1" s="1"/>
  <c r="BV298" i="1"/>
  <c r="BW298" i="1" s="1"/>
  <c r="BT298" i="1"/>
  <c r="BS298" i="1"/>
  <c r="BP298" i="1"/>
  <c r="BQ298" i="1" s="1"/>
  <c r="BN298" i="1"/>
  <c r="BM298" i="1"/>
  <c r="BK298" i="1"/>
  <c r="BJ298" i="1"/>
  <c r="BH298" i="1"/>
  <c r="BG298" i="1"/>
  <c r="BD298" i="1"/>
  <c r="BE298" i="1" s="1"/>
  <c r="BA298" i="1"/>
  <c r="BB298" i="1" s="1"/>
  <c r="AX298" i="1"/>
  <c r="AY298" i="1" s="1"/>
  <c r="AV298" i="1"/>
  <c r="AU298" i="1"/>
  <c r="AR298" i="1"/>
  <c r="AS298" i="1" s="1"/>
  <c r="AP298" i="1"/>
  <c r="AO298" i="1"/>
  <c r="AL298" i="1"/>
  <c r="AM298" i="1" s="1"/>
  <c r="AJ298" i="1"/>
  <c r="AI298" i="1"/>
  <c r="AF298" i="1"/>
  <c r="AG298" i="1" s="1"/>
  <c r="AC298" i="1"/>
  <c r="AD298" i="1" s="1"/>
  <c r="AA298" i="1"/>
  <c r="Z298" i="1"/>
  <c r="W298" i="1"/>
  <c r="X298" i="1" s="1"/>
  <c r="U298" i="1"/>
  <c r="T298" i="1"/>
  <c r="R298" i="1"/>
  <c r="O298" i="1"/>
  <c r="L298" i="1"/>
  <c r="I298" i="1"/>
  <c r="DO297" i="1"/>
  <c r="DP297" i="1" s="1"/>
  <c r="DM297" i="1"/>
  <c r="DL297" i="1"/>
  <c r="DI297" i="1"/>
  <c r="DJ297" i="1" s="1"/>
  <c r="DF297" i="1"/>
  <c r="DG297" i="1" s="1"/>
  <c r="DD297" i="1"/>
  <c r="DC297" i="1"/>
  <c r="CZ297" i="1"/>
  <c r="DA297" i="1" s="1"/>
  <c r="CW297" i="1"/>
  <c r="CX297" i="1" s="1"/>
  <c r="CT297" i="1"/>
  <c r="CU297" i="1" s="1"/>
  <c r="CQ297" i="1"/>
  <c r="CR297" i="1" s="1"/>
  <c r="CO297" i="1"/>
  <c r="CN297" i="1"/>
  <c r="CK297" i="1"/>
  <c r="CL297" i="1" s="1"/>
  <c r="CI297" i="1"/>
  <c r="CH297" i="1"/>
  <c r="CE297" i="1"/>
  <c r="CF297" i="1" s="1"/>
  <c r="CB297" i="1"/>
  <c r="CC297" i="1" s="1"/>
  <c r="BY297" i="1"/>
  <c r="BZ297" i="1" s="1"/>
  <c r="BW297" i="1"/>
  <c r="BV297" i="1"/>
  <c r="BS297" i="1"/>
  <c r="BT297" i="1" s="1"/>
  <c r="BQ297" i="1"/>
  <c r="BP297" i="1"/>
  <c r="BM297" i="1"/>
  <c r="BN297" i="1" s="1"/>
  <c r="BJ297" i="1"/>
  <c r="BK297" i="1" s="1"/>
  <c r="BH297" i="1"/>
  <c r="BG297" i="1"/>
  <c r="BD297" i="1"/>
  <c r="BE297" i="1" s="1"/>
  <c r="BA297" i="1"/>
  <c r="BB297" i="1" s="1"/>
  <c r="AY297" i="1"/>
  <c r="AX297" i="1"/>
  <c r="AV297" i="1"/>
  <c r="AU297" i="1"/>
  <c r="AR297" i="1"/>
  <c r="AS297" i="1" s="1"/>
  <c r="AO297" i="1"/>
  <c r="AP297" i="1" s="1"/>
  <c r="AL297" i="1"/>
  <c r="AM297" i="1" s="1"/>
  <c r="AI297" i="1"/>
  <c r="AJ297" i="1" s="1"/>
  <c r="AG297" i="1"/>
  <c r="AF297" i="1"/>
  <c r="AC297" i="1"/>
  <c r="AD297" i="1" s="1"/>
  <c r="Z297" i="1"/>
  <c r="AA297" i="1" s="1"/>
  <c r="X297" i="1"/>
  <c r="W297" i="1"/>
  <c r="T297" i="1"/>
  <c r="U297" i="1" s="1"/>
  <c r="R297" i="1"/>
  <c r="O297" i="1"/>
  <c r="L297" i="1"/>
  <c r="I297" i="1"/>
  <c r="DP296" i="1"/>
  <c r="DO296" i="1"/>
  <c r="DL296" i="1"/>
  <c r="DM296" i="1" s="1"/>
  <c r="DI296" i="1"/>
  <c r="DJ296" i="1" s="1"/>
  <c r="DF296" i="1"/>
  <c r="DG296" i="1" s="1"/>
  <c r="DC296" i="1"/>
  <c r="DD296" i="1" s="1"/>
  <c r="CZ296" i="1"/>
  <c r="DA296" i="1" s="1"/>
  <c r="CW296" i="1"/>
  <c r="CX296" i="1" s="1"/>
  <c r="CT296" i="1"/>
  <c r="CU296" i="1" s="1"/>
  <c r="CQ296" i="1"/>
  <c r="CR296" i="1" s="1"/>
  <c r="CN296" i="1"/>
  <c r="CO296" i="1" s="1"/>
  <c r="CK296" i="1"/>
  <c r="CL296" i="1" s="1"/>
  <c r="CI296" i="1"/>
  <c r="CH296" i="1"/>
  <c r="CE296" i="1"/>
  <c r="CF296" i="1" s="1"/>
  <c r="CB296" i="1"/>
  <c r="CC296" i="1" s="1"/>
  <c r="BY296" i="1"/>
  <c r="BZ296" i="1" s="1"/>
  <c r="BV296" i="1"/>
  <c r="BW296" i="1" s="1"/>
  <c r="BS296" i="1"/>
  <c r="BT296" i="1" s="1"/>
  <c r="BP296" i="1"/>
  <c r="BQ296" i="1" s="1"/>
  <c r="BM296" i="1"/>
  <c r="BN296" i="1" s="1"/>
  <c r="BJ296" i="1"/>
  <c r="BK296" i="1" s="1"/>
  <c r="BG296" i="1"/>
  <c r="BH296" i="1" s="1"/>
  <c r="BD296" i="1"/>
  <c r="BE296" i="1" s="1"/>
  <c r="BA296" i="1"/>
  <c r="BB296" i="1" s="1"/>
  <c r="AY296" i="1"/>
  <c r="AX296" i="1"/>
  <c r="AV296" i="1"/>
  <c r="AU296" i="1"/>
  <c r="AR296" i="1"/>
  <c r="AS296" i="1" s="1"/>
  <c r="AO296" i="1"/>
  <c r="AP296" i="1" s="1"/>
  <c r="AL296" i="1"/>
  <c r="AM296" i="1" s="1"/>
  <c r="AI296" i="1"/>
  <c r="AJ296" i="1" s="1"/>
  <c r="AG296" i="1"/>
  <c r="AF296" i="1"/>
  <c r="AC296" i="1"/>
  <c r="AD296" i="1" s="1"/>
  <c r="Z296" i="1"/>
  <c r="AA296" i="1" s="1"/>
  <c r="W296" i="1"/>
  <c r="X296" i="1" s="1"/>
  <c r="T296" i="1"/>
  <c r="U296" i="1" s="1"/>
  <c r="R296" i="1"/>
  <c r="O296" i="1"/>
  <c r="L296" i="1"/>
  <c r="I296" i="1"/>
  <c r="DO295" i="1"/>
  <c r="DP295" i="1" s="1"/>
  <c r="DM295" i="1"/>
  <c r="DL295" i="1"/>
  <c r="DI295" i="1"/>
  <c r="DJ295" i="1" s="1"/>
  <c r="DF295" i="1"/>
  <c r="DG295" i="1" s="1"/>
  <c r="DC295" i="1"/>
  <c r="DD295" i="1" s="1"/>
  <c r="CZ295" i="1"/>
  <c r="DA295" i="1" s="1"/>
  <c r="CW295" i="1"/>
  <c r="CX295" i="1" s="1"/>
  <c r="CT295" i="1"/>
  <c r="CU295" i="1" s="1"/>
  <c r="CR295" i="1"/>
  <c r="CQ295" i="1"/>
  <c r="CN295" i="1"/>
  <c r="CO295" i="1" s="1"/>
  <c r="CL295" i="1"/>
  <c r="CK295" i="1"/>
  <c r="CH295" i="1"/>
  <c r="CI295" i="1" s="1"/>
  <c r="CE295" i="1"/>
  <c r="CF295" i="1" s="1"/>
  <c r="CB295" i="1"/>
  <c r="CC295" i="1" s="1"/>
  <c r="BZ295" i="1"/>
  <c r="BY295" i="1"/>
  <c r="BV295" i="1"/>
  <c r="BW295" i="1" s="1"/>
  <c r="BS295" i="1"/>
  <c r="BT295" i="1" s="1"/>
  <c r="BP295" i="1"/>
  <c r="BQ295" i="1" s="1"/>
  <c r="BM295" i="1"/>
  <c r="BN295" i="1" s="1"/>
  <c r="BJ295" i="1"/>
  <c r="BK295" i="1" s="1"/>
  <c r="BG295" i="1"/>
  <c r="BH295" i="1" s="1"/>
  <c r="BD295" i="1"/>
  <c r="BE295" i="1" s="1"/>
  <c r="BB295" i="1"/>
  <c r="BA295" i="1"/>
  <c r="AX295" i="1"/>
  <c r="AY295" i="1" s="1"/>
  <c r="AU295" i="1"/>
  <c r="AV295" i="1" s="1"/>
  <c r="AR295" i="1"/>
  <c r="AS295" i="1" s="1"/>
  <c r="AP295" i="1"/>
  <c r="AO295" i="1"/>
  <c r="AL295" i="1"/>
  <c r="AM295" i="1" s="1"/>
  <c r="AI295" i="1"/>
  <c r="AJ295" i="1" s="1"/>
  <c r="AF295" i="1"/>
  <c r="AG295" i="1" s="1"/>
  <c r="AC295" i="1"/>
  <c r="AD295" i="1" s="1"/>
  <c r="Z295" i="1"/>
  <c r="AA295" i="1" s="1"/>
  <c r="X295" i="1"/>
  <c r="W295" i="1"/>
  <c r="T295" i="1"/>
  <c r="U295" i="1" s="1"/>
  <c r="R295" i="1"/>
  <c r="O295" i="1"/>
  <c r="L295" i="1"/>
  <c r="I295" i="1"/>
  <c r="DO294" i="1"/>
  <c r="DP294" i="1" s="1"/>
  <c r="DL294" i="1"/>
  <c r="DM294" i="1" s="1"/>
  <c r="DJ294" i="1"/>
  <c r="DI294" i="1"/>
  <c r="DF294" i="1"/>
  <c r="DG294" i="1" s="1"/>
  <c r="DC294" i="1"/>
  <c r="DD294" i="1" s="1"/>
  <c r="CZ294" i="1"/>
  <c r="DA294" i="1" s="1"/>
  <c r="CW294" i="1"/>
  <c r="CX294" i="1" s="1"/>
  <c r="CT294" i="1"/>
  <c r="CU294" i="1" s="1"/>
  <c r="CQ294" i="1"/>
  <c r="CR294" i="1" s="1"/>
  <c r="CN294" i="1"/>
  <c r="CO294" i="1" s="1"/>
  <c r="CL294" i="1"/>
  <c r="CK294" i="1"/>
  <c r="CH294" i="1"/>
  <c r="CI294" i="1" s="1"/>
  <c r="CE294" i="1"/>
  <c r="CF294" i="1" s="1"/>
  <c r="CB294" i="1"/>
  <c r="CC294" i="1" s="1"/>
  <c r="BZ294" i="1"/>
  <c r="BY294" i="1"/>
  <c r="BV294" i="1"/>
  <c r="BW294" i="1" s="1"/>
  <c r="BS294" i="1"/>
  <c r="BT294" i="1" s="1"/>
  <c r="BP294" i="1"/>
  <c r="BQ294" i="1" s="1"/>
  <c r="BM294" i="1"/>
  <c r="BN294" i="1" s="1"/>
  <c r="BJ294" i="1"/>
  <c r="BK294" i="1" s="1"/>
  <c r="BG294" i="1"/>
  <c r="BH294" i="1" s="1"/>
  <c r="BD294" i="1"/>
  <c r="BE294" i="1" s="1"/>
  <c r="BB294" i="1"/>
  <c r="BA294" i="1"/>
  <c r="AX294" i="1"/>
  <c r="AY294" i="1" s="1"/>
  <c r="AU294" i="1"/>
  <c r="AV294" i="1" s="1"/>
  <c r="AR294" i="1"/>
  <c r="AS294" i="1" s="1"/>
  <c r="AP294" i="1"/>
  <c r="AO294" i="1"/>
  <c r="AL294" i="1"/>
  <c r="AM294" i="1" s="1"/>
  <c r="AI294" i="1"/>
  <c r="AJ294" i="1" s="1"/>
  <c r="AF294" i="1"/>
  <c r="AG294" i="1" s="1"/>
  <c r="AC294" i="1"/>
  <c r="AD294" i="1" s="1"/>
  <c r="Z294" i="1"/>
  <c r="AA294" i="1" s="1"/>
  <c r="W294" i="1"/>
  <c r="X294" i="1" s="1"/>
  <c r="T294" i="1"/>
  <c r="U294" i="1" s="1"/>
  <c r="R294" i="1"/>
  <c r="O294" i="1"/>
  <c r="L294" i="1"/>
  <c r="I294" i="1"/>
  <c r="DO293" i="1"/>
  <c r="DP293" i="1" s="1"/>
  <c r="DL293" i="1"/>
  <c r="DM293" i="1" s="1"/>
  <c r="DJ293" i="1"/>
  <c r="DI293" i="1"/>
  <c r="DF293" i="1"/>
  <c r="DG293" i="1" s="1"/>
  <c r="DC293" i="1"/>
  <c r="DD293" i="1" s="1"/>
  <c r="CZ293" i="1"/>
  <c r="DA293" i="1" s="1"/>
  <c r="CX293" i="1"/>
  <c r="CW293" i="1"/>
  <c r="CT293" i="1"/>
  <c r="CU293" i="1" s="1"/>
  <c r="CR293" i="1"/>
  <c r="CQ293" i="1"/>
  <c r="CN293" i="1"/>
  <c r="CO293" i="1" s="1"/>
  <c r="CK293" i="1"/>
  <c r="CL293" i="1" s="1"/>
  <c r="CH293" i="1"/>
  <c r="CI293" i="1" s="1"/>
  <c r="CE293" i="1"/>
  <c r="CF293" i="1" s="1"/>
  <c r="CB293" i="1"/>
  <c r="CC293" i="1" s="1"/>
  <c r="BZ293" i="1"/>
  <c r="BY293" i="1"/>
  <c r="BV293" i="1"/>
  <c r="BW293" i="1" s="1"/>
  <c r="BS293" i="1"/>
  <c r="BT293" i="1" s="1"/>
  <c r="BP293" i="1"/>
  <c r="BQ293" i="1" s="1"/>
  <c r="BN293" i="1"/>
  <c r="BM293" i="1"/>
  <c r="BJ293" i="1"/>
  <c r="BK293" i="1" s="1"/>
  <c r="BH293" i="1"/>
  <c r="BG293" i="1"/>
  <c r="BD293" i="1"/>
  <c r="BE293" i="1" s="1"/>
  <c r="BA293" i="1"/>
  <c r="BB293" i="1" s="1"/>
  <c r="AX293" i="1"/>
  <c r="AY293" i="1" s="1"/>
  <c r="AU293" i="1"/>
  <c r="AV293" i="1" s="1"/>
  <c r="AR293" i="1"/>
  <c r="AS293" i="1" s="1"/>
  <c r="AP293" i="1"/>
  <c r="AO293" i="1"/>
  <c r="AL293" i="1"/>
  <c r="AM293" i="1" s="1"/>
  <c r="AI293" i="1"/>
  <c r="AJ293" i="1" s="1"/>
  <c r="AF293" i="1"/>
  <c r="AG293" i="1" s="1"/>
  <c r="AD293" i="1"/>
  <c r="AC293" i="1"/>
  <c r="Z293" i="1"/>
  <c r="AA293" i="1" s="1"/>
  <c r="W293" i="1"/>
  <c r="X293" i="1" s="1"/>
  <c r="T293" i="1"/>
  <c r="U293" i="1" s="1"/>
  <c r="R293" i="1"/>
  <c r="O293" i="1"/>
  <c r="L293" i="1"/>
  <c r="I293" i="1"/>
  <c r="DO292" i="1"/>
  <c r="DP292" i="1" s="1"/>
  <c r="DL292" i="1"/>
  <c r="DM292" i="1" s="1"/>
  <c r="DJ292" i="1"/>
  <c r="DI292" i="1"/>
  <c r="DF292" i="1"/>
  <c r="DG292" i="1" s="1"/>
  <c r="DC292" i="1"/>
  <c r="DD292" i="1" s="1"/>
  <c r="CZ292" i="1"/>
  <c r="DA292" i="1" s="1"/>
  <c r="CX292" i="1"/>
  <c r="CW292" i="1"/>
  <c r="CT292" i="1"/>
  <c r="CU292" i="1" s="1"/>
  <c r="CR292" i="1"/>
  <c r="CQ292" i="1"/>
  <c r="CN292" i="1"/>
  <c r="CO292" i="1" s="1"/>
  <c r="CK292" i="1"/>
  <c r="CL292" i="1" s="1"/>
  <c r="CH292" i="1"/>
  <c r="CI292" i="1" s="1"/>
  <c r="CE292" i="1"/>
  <c r="CF292" i="1" s="1"/>
  <c r="CB292" i="1"/>
  <c r="CC292" i="1" s="1"/>
  <c r="BZ292" i="1"/>
  <c r="BY292" i="1"/>
  <c r="BV292" i="1"/>
  <c r="BW292" i="1" s="1"/>
  <c r="BS292" i="1"/>
  <c r="BT292" i="1" s="1"/>
  <c r="BP292" i="1"/>
  <c r="BQ292" i="1" s="1"/>
  <c r="BN292" i="1"/>
  <c r="BM292" i="1"/>
  <c r="BJ292" i="1"/>
  <c r="BK292" i="1" s="1"/>
  <c r="BH292" i="1"/>
  <c r="BG292" i="1"/>
  <c r="BD292" i="1"/>
  <c r="BE292" i="1" s="1"/>
  <c r="BA292" i="1"/>
  <c r="BB292" i="1" s="1"/>
  <c r="AX292" i="1"/>
  <c r="AY292" i="1" s="1"/>
  <c r="AU292" i="1"/>
  <c r="AV292" i="1" s="1"/>
  <c r="AR292" i="1"/>
  <c r="AS292" i="1" s="1"/>
  <c r="AP292" i="1"/>
  <c r="AO292" i="1"/>
  <c r="AL292" i="1"/>
  <c r="AM292" i="1" s="1"/>
  <c r="AI292" i="1"/>
  <c r="AJ292" i="1" s="1"/>
  <c r="AF292" i="1"/>
  <c r="AG292" i="1" s="1"/>
  <c r="AD292" i="1"/>
  <c r="AC292" i="1"/>
  <c r="Z292" i="1"/>
  <c r="AA292" i="1" s="1"/>
  <c r="W292" i="1"/>
  <c r="X292" i="1" s="1"/>
  <c r="T292" i="1"/>
  <c r="U292" i="1" s="1"/>
  <c r="R292" i="1"/>
  <c r="O292" i="1"/>
  <c r="L292" i="1"/>
  <c r="I292" i="1"/>
  <c r="DP291" i="1"/>
  <c r="DO291" i="1"/>
  <c r="DL291" i="1"/>
  <c r="DM291" i="1" s="1"/>
  <c r="DI291" i="1"/>
  <c r="DJ291" i="1" s="1"/>
  <c r="DF291" i="1"/>
  <c r="DG291" i="1" s="1"/>
  <c r="DC291" i="1"/>
  <c r="DD291" i="1" s="1"/>
  <c r="CZ291" i="1"/>
  <c r="DA291" i="1" s="1"/>
  <c r="CX291" i="1"/>
  <c r="CW291" i="1"/>
  <c r="CT291" i="1"/>
  <c r="CU291" i="1" s="1"/>
  <c r="CQ291" i="1"/>
  <c r="CR291" i="1" s="1"/>
  <c r="CN291" i="1"/>
  <c r="CO291" i="1" s="1"/>
  <c r="CK291" i="1"/>
  <c r="CL291" i="1" s="1"/>
  <c r="CH291" i="1"/>
  <c r="CI291" i="1" s="1"/>
  <c r="CE291" i="1"/>
  <c r="CF291" i="1" s="1"/>
  <c r="CB291" i="1"/>
  <c r="CC291" i="1" s="1"/>
  <c r="BY291" i="1"/>
  <c r="BZ291" i="1" s="1"/>
  <c r="BV291" i="1"/>
  <c r="BW291" i="1" s="1"/>
  <c r="BS291" i="1"/>
  <c r="BT291" i="1" s="1"/>
  <c r="BP291" i="1"/>
  <c r="BQ291" i="1" s="1"/>
  <c r="BN291" i="1"/>
  <c r="BM291" i="1"/>
  <c r="BJ291" i="1"/>
  <c r="BK291" i="1" s="1"/>
  <c r="BG291" i="1"/>
  <c r="BH291" i="1" s="1"/>
  <c r="BD291" i="1"/>
  <c r="BE291" i="1" s="1"/>
  <c r="BA291" i="1"/>
  <c r="BB291" i="1" s="1"/>
  <c r="AX291" i="1"/>
  <c r="AY291" i="1" s="1"/>
  <c r="AU291" i="1"/>
  <c r="AV291" i="1" s="1"/>
  <c r="AR291" i="1"/>
  <c r="AS291" i="1" s="1"/>
  <c r="AO291" i="1"/>
  <c r="AP291" i="1" s="1"/>
  <c r="AL291" i="1"/>
  <c r="AM291" i="1" s="1"/>
  <c r="AI291" i="1"/>
  <c r="AJ291" i="1" s="1"/>
  <c r="AF291" i="1"/>
  <c r="AG291" i="1" s="1"/>
  <c r="AC291" i="1"/>
  <c r="AD291" i="1" s="1"/>
  <c r="Z291" i="1"/>
  <c r="AA291" i="1" s="1"/>
  <c r="W291" i="1"/>
  <c r="X291" i="1" s="1"/>
  <c r="T291" i="1"/>
  <c r="U291" i="1" s="1"/>
  <c r="R291" i="1"/>
  <c r="O291" i="1"/>
  <c r="L291" i="1"/>
  <c r="I291" i="1"/>
  <c r="DO290" i="1"/>
  <c r="DP290" i="1" s="1"/>
  <c r="DL290" i="1"/>
  <c r="DM290" i="1" s="1"/>
  <c r="DI290" i="1"/>
  <c r="DJ290" i="1" s="1"/>
  <c r="DF290" i="1"/>
  <c r="DG290" i="1" s="1"/>
  <c r="DC290" i="1"/>
  <c r="DD290" i="1" s="1"/>
  <c r="CZ290" i="1"/>
  <c r="DA290" i="1" s="1"/>
  <c r="CX290" i="1"/>
  <c r="CW290" i="1"/>
  <c r="CT290" i="1"/>
  <c r="CU290" i="1" s="1"/>
  <c r="CQ290" i="1"/>
  <c r="CR290" i="1" s="1"/>
  <c r="CN290" i="1"/>
  <c r="CO290" i="1" s="1"/>
  <c r="CK290" i="1"/>
  <c r="CL290" i="1" s="1"/>
  <c r="CH290" i="1"/>
  <c r="CI290" i="1" s="1"/>
  <c r="CE290" i="1"/>
  <c r="CF290" i="1" s="1"/>
  <c r="CB290" i="1"/>
  <c r="CC290" i="1" s="1"/>
  <c r="BY290" i="1"/>
  <c r="BZ290" i="1" s="1"/>
  <c r="BV290" i="1"/>
  <c r="BW290" i="1" s="1"/>
  <c r="BS290" i="1"/>
  <c r="BT290" i="1" s="1"/>
  <c r="BP290" i="1"/>
  <c r="BQ290" i="1" s="1"/>
  <c r="BN290" i="1"/>
  <c r="BM290" i="1"/>
  <c r="BJ290" i="1"/>
  <c r="BK290" i="1" s="1"/>
  <c r="BG290" i="1"/>
  <c r="BH290" i="1" s="1"/>
  <c r="BD290" i="1"/>
  <c r="BE290" i="1" s="1"/>
  <c r="BA290" i="1"/>
  <c r="BB290" i="1" s="1"/>
  <c r="AX290" i="1"/>
  <c r="AY290" i="1" s="1"/>
  <c r="AV290" i="1"/>
  <c r="AU290" i="1"/>
  <c r="AR290" i="1"/>
  <c r="AS290" i="1" s="1"/>
  <c r="AP290" i="1"/>
  <c r="AO290" i="1"/>
  <c r="AL290" i="1"/>
  <c r="AM290" i="1" s="1"/>
  <c r="AI290" i="1"/>
  <c r="AJ290" i="1" s="1"/>
  <c r="AF290" i="1"/>
  <c r="AG290" i="1" s="1"/>
  <c r="AC290" i="1"/>
  <c r="AD290" i="1" s="1"/>
  <c r="Z290" i="1"/>
  <c r="AA290" i="1" s="1"/>
  <c r="X290" i="1"/>
  <c r="W290" i="1"/>
  <c r="T290" i="1"/>
  <c r="U290" i="1" s="1"/>
  <c r="I290" i="1"/>
  <c r="DO289" i="1"/>
  <c r="DP289" i="1" s="1"/>
  <c r="DL289" i="1"/>
  <c r="DM289" i="1" s="1"/>
  <c r="DI289" i="1"/>
  <c r="DJ289" i="1" s="1"/>
  <c r="DG289" i="1"/>
  <c r="DF289" i="1"/>
  <c r="DC289" i="1"/>
  <c r="DD289" i="1" s="1"/>
  <c r="CZ289" i="1"/>
  <c r="DA289" i="1" s="1"/>
  <c r="CW289" i="1"/>
  <c r="CX289" i="1" s="1"/>
  <c r="CT289" i="1"/>
  <c r="CU289" i="1" s="1"/>
  <c r="CQ289" i="1"/>
  <c r="CR289" i="1" s="1"/>
  <c r="CN289" i="1"/>
  <c r="CO289" i="1" s="1"/>
  <c r="CK289" i="1"/>
  <c r="CL289" i="1" s="1"/>
  <c r="CH289" i="1"/>
  <c r="CI289" i="1" s="1"/>
  <c r="CE289" i="1"/>
  <c r="CF289" i="1" s="1"/>
  <c r="CB289" i="1"/>
  <c r="CC289" i="1" s="1"/>
  <c r="BY289" i="1"/>
  <c r="BZ289" i="1" s="1"/>
  <c r="BV289" i="1"/>
  <c r="BW289" i="1" s="1"/>
  <c r="BS289" i="1"/>
  <c r="BT289" i="1" s="1"/>
  <c r="BQ289" i="1"/>
  <c r="BP289" i="1"/>
  <c r="BM289" i="1"/>
  <c r="BN289" i="1" s="1"/>
  <c r="BJ289" i="1"/>
  <c r="BK289" i="1" s="1"/>
  <c r="BG289" i="1"/>
  <c r="BH289" i="1" s="1"/>
  <c r="BD289" i="1"/>
  <c r="BE289" i="1" s="1"/>
  <c r="BA289" i="1"/>
  <c r="BB289" i="1" s="1"/>
  <c r="AX289" i="1"/>
  <c r="AY289" i="1" s="1"/>
  <c r="AU289" i="1"/>
  <c r="AV289" i="1" s="1"/>
  <c r="AR289" i="1"/>
  <c r="AS289" i="1" s="1"/>
  <c r="AP289" i="1"/>
  <c r="AO289" i="1"/>
  <c r="AL289" i="1"/>
  <c r="AM289" i="1" s="1"/>
  <c r="AI289" i="1"/>
  <c r="AJ289" i="1" s="1"/>
  <c r="AF289" i="1"/>
  <c r="AG289" i="1" s="1"/>
  <c r="AC289" i="1"/>
  <c r="AD289" i="1" s="1"/>
  <c r="Z289" i="1"/>
  <c r="AA289" i="1" s="1"/>
  <c r="W289" i="1"/>
  <c r="X289" i="1" s="1"/>
  <c r="T289" i="1"/>
  <c r="U289" i="1" s="1"/>
  <c r="R289" i="1"/>
  <c r="O289" i="1"/>
  <c r="L289" i="1"/>
  <c r="I289" i="1"/>
  <c r="DO288" i="1"/>
  <c r="DP288" i="1" s="1"/>
  <c r="DL288" i="1"/>
  <c r="DM288" i="1" s="1"/>
  <c r="DI288" i="1"/>
  <c r="DJ288" i="1" s="1"/>
  <c r="DG288" i="1"/>
  <c r="DF288" i="1"/>
  <c r="DC288" i="1"/>
  <c r="DD288" i="1" s="1"/>
  <c r="CZ288" i="1"/>
  <c r="DA288" i="1" s="1"/>
  <c r="CW288" i="1"/>
  <c r="CX288" i="1" s="1"/>
  <c r="CT288" i="1"/>
  <c r="CU288" i="1" s="1"/>
  <c r="CQ288" i="1"/>
  <c r="CR288" i="1" s="1"/>
  <c r="CN288" i="1"/>
  <c r="CO288" i="1" s="1"/>
  <c r="CK288" i="1"/>
  <c r="CL288" i="1" s="1"/>
  <c r="CH288" i="1"/>
  <c r="CI288" i="1" s="1"/>
  <c r="CE288" i="1"/>
  <c r="CF288" i="1" s="1"/>
  <c r="CC288" i="1"/>
  <c r="CB288" i="1"/>
  <c r="BY288" i="1"/>
  <c r="BZ288" i="1" s="1"/>
  <c r="BW288" i="1"/>
  <c r="BV288" i="1"/>
  <c r="BS288" i="1"/>
  <c r="BT288" i="1" s="1"/>
  <c r="BP288" i="1"/>
  <c r="BQ288" i="1" s="1"/>
  <c r="BM288" i="1"/>
  <c r="BN288" i="1" s="1"/>
  <c r="BJ288" i="1"/>
  <c r="BK288" i="1" s="1"/>
  <c r="BG288" i="1"/>
  <c r="BH288" i="1" s="1"/>
  <c r="BE288" i="1"/>
  <c r="BD288" i="1"/>
  <c r="BA288" i="1"/>
  <c r="BB288" i="1" s="1"/>
  <c r="AX288" i="1"/>
  <c r="AY288" i="1" s="1"/>
  <c r="AU288" i="1"/>
  <c r="AV288" i="1" s="1"/>
  <c r="AR288" i="1"/>
  <c r="AS288" i="1" s="1"/>
  <c r="AO288" i="1"/>
  <c r="AP288" i="1" s="1"/>
  <c r="AL288" i="1"/>
  <c r="AM288" i="1" s="1"/>
  <c r="AI288" i="1"/>
  <c r="AJ288" i="1" s="1"/>
  <c r="AF288" i="1"/>
  <c r="AG288" i="1" s="1"/>
  <c r="AC288" i="1"/>
  <c r="AD288" i="1" s="1"/>
  <c r="Z288" i="1"/>
  <c r="AA288" i="1" s="1"/>
  <c r="W288" i="1"/>
  <c r="X288" i="1" s="1"/>
  <c r="T288" i="1"/>
  <c r="U288" i="1" s="1"/>
  <c r="R288" i="1"/>
  <c r="O288" i="1"/>
  <c r="L288" i="1"/>
  <c r="I288" i="1"/>
  <c r="DO287" i="1"/>
  <c r="DP287" i="1" s="1"/>
  <c r="DL287" i="1"/>
  <c r="DM287" i="1" s="1"/>
  <c r="DJ287" i="1"/>
  <c r="DI287" i="1"/>
  <c r="DF287" i="1"/>
  <c r="DG287" i="1" s="1"/>
  <c r="DC287" i="1"/>
  <c r="DD287" i="1" s="1"/>
  <c r="CZ287" i="1"/>
  <c r="DA287" i="1" s="1"/>
  <c r="CW287" i="1"/>
  <c r="CX287" i="1" s="1"/>
  <c r="CT287" i="1"/>
  <c r="CU287" i="1" s="1"/>
  <c r="CQ287" i="1"/>
  <c r="CR287" i="1" s="1"/>
  <c r="CO287" i="1"/>
  <c r="CN287" i="1"/>
  <c r="CK287" i="1"/>
  <c r="CL287" i="1" s="1"/>
  <c r="CH287" i="1"/>
  <c r="CI287" i="1" s="1"/>
  <c r="CE287" i="1"/>
  <c r="CF287" i="1" s="1"/>
  <c r="CC287" i="1"/>
  <c r="CB287" i="1"/>
  <c r="BY287" i="1"/>
  <c r="BZ287" i="1" s="1"/>
  <c r="BV287" i="1"/>
  <c r="BW287" i="1" s="1"/>
  <c r="BS287" i="1"/>
  <c r="BT287" i="1" s="1"/>
  <c r="BP287" i="1"/>
  <c r="BQ287" i="1" s="1"/>
  <c r="BM287" i="1"/>
  <c r="BN287" i="1" s="1"/>
  <c r="BJ287" i="1"/>
  <c r="BK287" i="1" s="1"/>
  <c r="BG287" i="1"/>
  <c r="BH287" i="1" s="1"/>
  <c r="BD287" i="1"/>
  <c r="BE287" i="1" s="1"/>
  <c r="BB287" i="1"/>
  <c r="BA287" i="1"/>
  <c r="AX287" i="1"/>
  <c r="AY287" i="1" s="1"/>
  <c r="AU287" i="1"/>
  <c r="AV287" i="1" s="1"/>
  <c r="AR287" i="1"/>
  <c r="AS287" i="1" s="1"/>
  <c r="AO287" i="1"/>
  <c r="AP287" i="1" s="1"/>
  <c r="AM287" i="1"/>
  <c r="AL287" i="1"/>
  <c r="AI287" i="1"/>
  <c r="AJ287" i="1" s="1"/>
  <c r="AF287" i="1"/>
  <c r="AG287" i="1" s="1"/>
  <c r="AC287" i="1"/>
  <c r="AD287" i="1" s="1"/>
  <c r="Z287" i="1"/>
  <c r="AA287" i="1" s="1"/>
  <c r="W287" i="1"/>
  <c r="X287" i="1" s="1"/>
  <c r="T287" i="1"/>
  <c r="U287" i="1" s="1"/>
  <c r="O287" i="1"/>
  <c r="L287" i="1"/>
  <c r="I287" i="1"/>
  <c r="DO286" i="1"/>
  <c r="DP286" i="1" s="1"/>
  <c r="DL286" i="1"/>
  <c r="DM286" i="1" s="1"/>
  <c r="DI286" i="1"/>
  <c r="DJ286" i="1" s="1"/>
  <c r="DF286" i="1"/>
  <c r="DG286" i="1" s="1"/>
  <c r="DD286" i="1"/>
  <c r="DC286" i="1"/>
  <c r="CZ286" i="1"/>
  <c r="DA286" i="1" s="1"/>
  <c r="CW286" i="1"/>
  <c r="CX286" i="1" s="1"/>
  <c r="CT286" i="1"/>
  <c r="CU286" i="1" s="1"/>
  <c r="CQ286" i="1"/>
  <c r="CR286" i="1" s="1"/>
  <c r="CN286" i="1"/>
  <c r="CO286" i="1" s="1"/>
  <c r="CK286" i="1"/>
  <c r="CL286" i="1" s="1"/>
  <c r="CH286" i="1"/>
  <c r="CI286" i="1" s="1"/>
  <c r="CE286" i="1"/>
  <c r="CF286" i="1" s="1"/>
  <c r="CB286" i="1"/>
  <c r="CC286" i="1" s="1"/>
  <c r="BZ286" i="1"/>
  <c r="BY286" i="1"/>
  <c r="BV286" i="1"/>
  <c r="BW286" i="1" s="1"/>
  <c r="BT286" i="1"/>
  <c r="BS286" i="1"/>
  <c r="BP286" i="1"/>
  <c r="BQ286" i="1" s="1"/>
  <c r="BM286" i="1"/>
  <c r="BN286" i="1" s="1"/>
  <c r="BJ286" i="1"/>
  <c r="BK286" i="1" s="1"/>
  <c r="BH286" i="1"/>
  <c r="BG286" i="1"/>
  <c r="BD286" i="1"/>
  <c r="BE286" i="1" s="1"/>
  <c r="BA286" i="1"/>
  <c r="BB286" i="1" s="1"/>
  <c r="AX286" i="1"/>
  <c r="AY286" i="1" s="1"/>
  <c r="AU286" i="1"/>
  <c r="AV286" i="1" s="1"/>
  <c r="AR286" i="1"/>
  <c r="AS286" i="1" s="1"/>
  <c r="AO286" i="1"/>
  <c r="AP286" i="1" s="1"/>
  <c r="AL286" i="1"/>
  <c r="AM286" i="1" s="1"/>
  <c r="AI286" i="1"/>
  <c r="AJ286" i="1" s="1"/>
  <c r="AF286" i="1"/>
  <c r="AG286" i="1" s="1"/>
  <c r="AC286" i="1"/>
  <c r="AD286" i="1" s="1"/>
  <c r="Z286" i="1"/>
  <c r="AA286" i="1" s="1"/>
  <c r="X286" i="1"/>
  <c r="W286" i="1"/>
  <c r="T286" i="1"/>
  <c r="U286" i="1" s="1"/>
  <c r="R286" i="1"/>
  <c r="O286" i="1"/>
  <c r="L286" i="1"/>
  <c r="I286" i="1"/>
  <c r="DO285" i="1"/>
  <c r="DP285" i="1" s="1"/>
  <c r="DL285" i="1"/>
  <c r="DM285" i="1" s="1"/>
  <c r="DI285" i="1"/>
  <c r="DJ285" i="1" s="1"/>
  <c r="DG285" i="1"/>
  <c r="DF285" i="1"/>
  <c r="DC285" i="1"/>
  <c r="DD285" i="1" s="1"/>
  <c r="CZ285" i="1"/>
  <c r="DA285" i="1" s="1"/>
  <c r="CW285" i="1"/>
  <c r="CX285" i="1" s="1"/>
  <c r="CU285" i="1"/>
  <c r="CT285" i="1"/>
  <c r="CR285" i="1"/>
  <c r="CQ285" i="1"/>
  <c r="CN285" i="1"/>
  <c r="CO285" i="1" s="1"/>
  <c r="CK285" i="1"/>
  <c r="CL285" i="1" s="1"/>
  <c r="CH285" i="1"/>
  <c r="CI285" i="1" s="1"/>
  <c r="CE285" i="1"/>
  <c r="CF285" i="1" s="1"/>
  <c r="CB285" i="1"/>
  <c r="CC285" i="1" s="1"/>
  <c r="BY285" i="1"/>
  <c r="BZ285" i="1" s="1"/>
  <c r="BV285" i="1"/>
  <c r="BW285" i="1" s="1"/>
  <c r="BS285" i="1"/>
  <c r="BT285" i="1" s="1"/>
  <c r="BP285" i="1"/>
  <c r="BQ285" i="1" s="1"/>
  <c r="BM285" i="1"/>
  <c r="BN285" i="1" s="1"/>
  <c r="BK285" i="1"/>
  <c r="BJ285" i="1"/>
  <c r="BH285" i="1"/>
  <c r="BG285" i="1"/>
  <c r="BD285" i="1"/>
  <c r="BE285" i="1" s="1"/>
  <c r="BA285" i="1"/>
  <c r="BB285" i="1" s="1"/>
  <c r="AX285" i="1"/>
  <c r="AY285" i="1" s="1"/>
  <c r="AU285" i="1"/>
  <c r="AV285" i="1" s="1"/>
  <c r="AR285" i="1"/>
  <c r="AS285" i="1" s="1"/>
  <c r="AP285" i="1"/>
  <c r="AO285" i="1"/>
  <c r="AL285" i="1"/>
  <c r="AM285" i="1" s="1"/>
  <c r="AI285" i="1"/>
  <c r="AJ285" i="1" s="1"/>
  <c r="AF285" i="1"/>
  <c r="AG285" i="1" s="1"/>
  <c r="AD285" i="1"/>
  <c r="AC285" i="1"/>
  <c r="Z285" i="1"/>
  <c r="AA285" i="1" s="1"/>
  <c r="W285" i="1"/>
  <c r="X285" i="1" s="1"/>
  <c r="T285" i="1"/>
  <c r="U285" i="1" s="1"/>
  <c r="R285" i="1"/>
  <c r="O285" i="1"/>
  <c r="L285" i="1"/>
  <c r="I285" i="1"/>
  <c r="DP284" i="1"/>
  <c r="DO284" i="1"/>
  <c r="DL284" i="1"/>
  <c r="DM284" i="1" s="1"/>
  <c r="DI284" i="1"/>
  <c r="DJ284" i="1" s="1"/>
  <c r="DG284" i="1"/>
  <c r="DF284" i="1"/>
  <c r="DC284" i="1"/>
  <c r="DD284" i="1" s="1"/>
  <c r="DA284" i="1"/>
  <c r="CZ284" i="1"/>
  <c r="CW284" i="1"/>
  <c r="CX284" i="1" s="1"/>
  <c r="CT284" i="1"/>
  <c r="CU284" i="1" s="1"/>
  <c r="CR284" i="1"/>
  <c r="CQ284" i="1"/>
  <c r="CO284" i="1"/>
  <c r="CN284" i="1"/>
  <c r="CK284" i="1"/>
  <c r="CL284" i="1" s="1"/>
  <c r="CH284" i="1"/>
  <c r="CI284" i="1" s="1"/>
  <c r="CE284" i="1"/>
  <c r="CF284" i="1" s="1"/>
  <c r="CB284" i="1"/>
  <c r="CC284" i="1" s="1"/>
  <c r="BY284" i="1"/>
  <c r="BZ284" i="1" s="1"/>
  <c r="BW284" i="1"/>
  <c r="BV284" i="1"/>
  <c r="BS284" i="1"/>
  <c r="BT284" i="1" s="1"/>
  <c r="BQ284" i="1"/>
  <c r="BP284" i="1"/>
  <c r="BM284" i="1"/>
  <c r="BN284" i="1" s="1"/>
  <c r="BK284" i="1"/>
  <c r="BJ284" i="1"/>
  <c r="BG284" i="1"/>
  <c r="BH284" i="1" s="1"/>
  <c r="BD284" i="1"/>
  <c r="BE284" i="1" s="1"/>
  <c r="BA284" i="1"/>
  <c r="BB284" i="1" s="1"/>
  <c r="AX284" i="1"/>
  <c r="AY284" i="1" s="1"/>
  <c r="AV284" i="1"/>
  <c r="AU284" i="1"/>
  <c r="AR284" i="1"/>
  <c r="AS284" i="1" s="1"/>
  <c r="AO284" i="1"/>
  <c r="AP284" i="1" s="1"/>
  <c r="AL284" i="1"/>
  <c r="AM284" i="1" s="1"/>
  <c r="AJ284" i="1"/>
  <c r="AI284" i="1"/>
  <c r="AG284" i="1"/>
  <c r="AF284" i="1"/>
  <c r="AC284" i="1"/>
  <c r="AD284" i="1" s="1"/>
  <c r="AA284" i="1"/>
  <c r="Z284" i="1"/>
  <c r="W284" i="1"/>
  <c r="X284" i="1" s="1"/>
  <c r="U284" i="1"/>
  <c r="T284" i="1"/>
  <c r="R284" i="1"/>
  <c r="O284" i="1"/>
  <c r="L284" i="1"/>
  <c r="I284" i="1"/>
  <c r="DO283" i="1"/>
  <c r="DP283" i="1" s="1"/>
  <c r="DL283" i="1"/>
  <c r="DM283" i="1" s="1"/>
  <c r="DI283" i="1"/>
  <c r="DJ283" i="1" s="1"/>
  <c r="DF283" i="1"/>
  <c r="DG283" i="1" s="1"/>
  <c r="DC283" i="1"/>
  <c r="DD283" i="1" s="1"/>
  <c r="CZ283" i="1"/>
  <c r="DA283" i="1" s="1"/>
  <c r="CW283" i="1"/>
  <c r="CX283" i="1" s="1"/>
  <c r="CU283" i="1"/>
  <c r="CT283" i="1"/>
  <c r="CR283" i="1"/>
  <c r="CQ283" i="1"/>
  <c r="CN283" i="1"/>
  <c r="CO283" i="1" s="1"/>
  <c r="CK283" i="1"/>
  <c r="CL283" i="1" s="1"/>
  <c r="CI283" i="1"/>
  <c r="CH283" i="1"/>
  <c r="CE283" i="1"/>
  <c r="CF283" i="1" s="1"/>
  <c r="CB283" i="1"/>
  <c r="CC283" i="1" s="1"/>
  <c r="BY283" i="1"/>
  <c r="BZ283" i="1" s="1"/>
  <c r="BV283" i="1"/>
  <c r="BW283" i="1" s="1"/>
  <c r="BS283" i="1"/>
  <c r="BT283" i="1" s="1"/>
  <c r="BQ283" i="1"/>
  <c r="BP283" i="1"/>
  <c r="BM283" i="1"/>
  <c r="BN283" i="1" s="1"/>
  <c r="BK283" i="1"/>
  <c r="BJ283" i="1"/>
  <c r="BG283" i="1"/>
  <c r="BH283" i="1" s="1"/>
  <c r="BE283" i="1"/>
  <c r="BD283" i="1"/>
  <c r="BA283" i="1"/>
  <c r="BB283" i="1" s="1"/>
  <c r="AY283" i="1"/>
  <c r="AX283" i="1"/>
  <c r="AU283" i="1"/>
  <c r="AV283" i="1" s="1"/>
  <c r="AR283" i="1"/>
  <c r="AS283" i="1" s="1"/>
  <c r="AO283" i="1"/>
  <c r="AP283" i="1" s="1"/>
  <c r="AL283" i="1"/>
  <c r="AM283" i="1" s="1"/>
  <c r="AJ283" i="1"/>
  <c r="AI283" i="1"/>
  <c r="AF283" i="1"/>
  <c r="AG283" i="1" s="1"/>
  <c r="AC283" i="1"/>
  <c r="AD283" i="1" s="1"/>
  <c r="AA283" i="1"/>
  <c r="Z283" i="1"/>
  <c r="W283" i="1"/>
  <c r="X283" i="1" s="1"/>
  <c r="U283" i="1"/>
  <c r="T283" i="1"/>
  <c r="R283" i="1"/>
  <c r="O283" i="1"/>
  <c r="L283" i="1"/>
  <c r="I283" i="1"/>
  <c r="DO282" i="1"/>
  <c r="DP282" i="1" s="1"/>
  <c r="DM282" i="1"/>
  <c r="DL282" i="1"/>
  <c r="DI282" i="1"/>
  <c r="DJ282" i="1" s="1"/>
  <c r="DF282" i="1"/>
  <c r="DG282" i="1" s="1"/>
  <c r="DC282" i="1"/>
  <c r="DD282" i="1" s="1"/>
  <c r="CZ282" i="1"/>
  <c r="DA282" i="1" s="1"/>
  <c r="CW282" i="1"/>
  <c r="CX282" i="1" s="1"/>
  <c r="CT282" i="1"/>
  <c r="CU282" i="1" s="1"/>
  <c r="CR282" i="1"/>
  <c r="CQ282" i="1"/>
  <c r="CN282" i="1"/>
  <c r="CO282" i="1" s="1"/>
  <c r="CK282" i="1"/>
  <c r="CL282" i="1" s="1"/>
  <c r="CH282" i="1"/>
  <c r="CI282" i="1" s="1"/>
  <c r="CE282" i="1"/>
  <c r="CF282" i="1" s="1"/>
  <c r="CB282" i="1"/>
  <c r="CC282" i="1" s="1"/>
  <c r="BY282" i="1"/>
  <c r="BZ282" i="1" s="1"/>
  <c r="BV282" i="1"/>
  <c r="BW282" i="1" s="1"/>
  <c r="BS282" i="1"/>
  <c r="BT282" i="1" s="1"/>
  <c r="BQ282" i="1"/>
  <c r="BP282" i="1"/>
  <c r="BM282" i="1"/>
  <c r="BN282" i="1" s="1"/>
  <c r="BJ282" i="1"/>
  <c r="BK282" i="1" s="1"/>
  <c r="BG282" i="1"/>
  <c r="BH282" i="1" s="1"/>
  <c r="BD282" i="1"/>
  <c r="BE282" i="1" s="1"/>
  <c r="BA282" i="1"/>
  <c r="BB282" i="1" s="1"/>
  <c r="AY282" i="1"/>
  <c r="AX282" i="1"/>
  <c r="AV282" i="1"/>
  <c r="AU282" i="1"/>
  <c r="AR282" i="1"/>
  <c r="AS282" i="1" s="1"/>
  <c r="AO282" i="1"/>
  <c r="AP282" i="1" s="1"/>
  <c r="AL282" i="1"/>
  <c r="AM282" i="1" s="1"/>
  <c r="AJ282" i="1"/>
  <c r="AI282" i="1"/>
  <c r="AG282" i="1"/>
  <c r="AF282" i="1"/>
  <c r="AC282" i="1"/>
  <c r="AD282" i="1" s="1"/>
  <c r="AA282" i="1"/>
  <c r="Z282" i="1"/>
  <c r="W282" i="1"/>
  <c r="X282" i="1" s="1"/>
  <c r="T282" i="1"/>
  <c r="U282" i="1" s="1"/>
  <c r="R282" i="1"/>
  <c r="O282" i="1"/>
  <c r="L282" i="1"/>
  <c r="I282" i="1"/>
  <c r="DO281" i="1"/>
  <c r="DP281" i="1" s="1"/>
  <c r="DL281" i="1"/>
  <c r="DM281" i="1" s="1"/>
  <c r="DI281" i="1"/>
  <c r="DJ281" i="1" s="1"/>
  <c r="DG281" i="1"/>
  <c r="DF281" i="1"/>
  <c r="DC281" i="1"/>
  <c r="DD281" i="1" s="1"/>
  <c r="CZ281" i="1"/>
  <c r="DA281" i="1" s="1"/>
  <c r="CW281" i="1"/>
  <c r="CX281" i="1" s="1"/>
  <c r="CT281" i="1"/>
  <c r="CU281" i="1" s="1"/>
  <c r="CR281" i="1"/>
  <c r="CQ281" i="1"/>
  <c r="CN281" i="1"/>
  <c r="CO281" i="1" s="1"/>
  <c r="CK281" i="1"/>
  <c r="CL281" i="1" s="1"/>
  <c r="CH281" i="1"/>
  <c r="CI281" i="1" s="1"/>
  <c r="CE281" i="1"/>
  <c r="CF281" i="1" s="1"/>
  <c r="CB281" i="1"/>
  <c r="CC281" i="1" s="1"/>
  <c r="BY281" i="1"/>
  <c r="BZ281" i="1" s="1"/>
  <c r="BV281" i="1"/>
  <c r="BW281" i="1" s="1"/>
  <c r="BS281" i="1"/>
  <c r="BT281" i="1" s="1"/>
  <c r="BQ281" i="1"/>
  <c r="BP281" i="1"/>
  <c r="BM281" i="1"/>
  <c r="BN281" i="1" s="1"/>
  <c r="BK281" i="1"/>
  <c r="BJ281" i="1"/>
  <c r="BH281" i="1"/>
  <c r="BG281" i="1"/>
  <c r="BD281" i="1"/>
  <c r="BE281" i="1" s="1"/>
  <c r="BA281" i="1"/>
  <c r="BB281" i="1" s="1"/>
  <c r="AY281" i="1"/>
  <c r="AX281" i="1"/>
  <c r="AU281" i="1"/>
  <c r="AV281" i="1" s="1"/>
  <c r="AR281" i="1"/>
  <c r="AS281" i="1" s="1"/>
  <c r="AO281" i="1"/>
  <c r="AP281" i="1" s="1"/>
  <c r="AL281" i="1"/>
  <c r="AM281" i="1" s="1"/>
  <c r="AI281" i="1"/>
  <c r="AJ281" i="1" s="1"/>
  <c r="AG281" i="1"/>
  <c r="AF281" i="1"/>
  <c r="AC281" i="1"/>
  <c r="AD281" i="1" s="1"/>
  <c r="Z281" i="1"/>
  <c r="AA281" i="1" s="1"/>
  <c r="W281" i="1"/>
  <c r="X281" i="1" s="1"/>
  <c r="T281" i="1"/>
  <c r="U281" i="1" s="1"/>
  <c r="R281" i="1"/>
  <c r="O281" i="1"/>
  <c r="L281" i="1"/>
  <c r="I281" i="1"/>
  <c r="DO280" i="1"/>
  <c r="DP280" i="1" s="1"/>
  <c r="DL280" i="1"/>
  <c r="DM280" i="1" s="1"/>
  <c r="DI280" i="1"/>
  <c r="DJ280" i="1" s="1"/>
  <c r="DG280" i="1"/>
  <c r="DF280" i="1"/>
  <c r="DC280" i="1"/>
  <c r="DD280" i="1" s="1"/>
  <c r="CZ280" i="1"/>
  <c r="DA280" i="1" s="1"/>
  <c r="CW280" i="1"/>
  <c r="CX280" i="1" s="1"/>
  <c r="CU280" i="1"/>
  <c r="CT280" i="1"/>
  <c r="CQ280" i="1"/>
  <c r="CR280" i="1" s="1"/>
  <c r="CN280" i="1"/>
  <c r="CO280" i="1" s="1"/>
  <c r="CK280" i="1"/>
  <c r="CL280" i="1" s="1"/>
  <c r="CH280" i="1"/>
  <c r="CI280" i="1" s="1"/>
  <c r="CF280" i="1"/>
  <c r="CE280" i="1"/>
  <c r="CB280" i="1"/>
  <c r="CC280" i="1" s="1"/>
  <c r="BY280" i="1"/>
  <c r="BZ280" i="1" s="1"/>
  <c r="BW280" i="1"/>
  <c r="BV280" i="1"/>
  <c r="BT280" i="1"/>
  <c r="BS280" i="1"/>
  <c r="BP280" i="1"/>
  <c r="BQ280" i="1" s="1"/>
  <c r="BM280" i="1"/>
  <c r="BN280" i="1" s="1"/>
  <c r="BJ280" i="1"/>
  <c r="BK280" i="1" s="1"/>
  <c r="BG280" i="1"/>
  <c r="BH280" i="1" s="1"/>
  <c r="BE280" i="1"/>
  <c r="BD280" i="1"/>
  <c r="BA280" i="1"/>
  <c r="BB280" i="1" s="1"/>
  <c r="AX280" i="1"/>
  <c r="AY280" i="1" s="1"/>
  <c r="AU280" i="1"/>
  <c r="AV280" i="1" s="1"/>
  <c r="AR280" i="1"/>
  <c r="AS280" i="1" s="1"/>
  <c r="AO280" i="1"/>
  <c r="AP280" i="1" s="1"/>
  <c r="AL280" i="1"/>
  <c r="AM280" i="1" s="1"/>
  <c r="AI280" i="1"/>
  <c r="AJ280" i="1" s="1"/>
  <c r="AF280" i="1"/>
  <c r="AG280" i="1" s="1"/>
  <c r="AC280" i="1"/>
  <c r="AD280" i="1" s="1"/>
  <c r="Z280" i="1"/>
  <c r="AA280" i="1" s="1"/>
  <c r="W280" i="1"/>
  <c r="X280" i="1" s="1"/>
  <c r="T280" i="1"/>
  <c r="U280" i="1" s="1"/>
  <c r="R280" i="1"/>
  <c r="O280" i="1"/>
  <c r="DO279" i="1"/>
  <c r="DP279" i="1" s="1"/>
  <c r="DM279" i="1"/>
  <c r="DL279" i="1"/>
  <c r="DJ279" i="1"/>
  <c r="DI279" i="1"/>
  <c r="DF279" i="1"/>
  <c r="DG279" i="1" s="1"/>
  <c r="DC279" i="1"/>
  <c r="DD279" i="1" s="1"/>
  <c r="DA279" i="1"/>
  <c r="CZ279" i="1"/>
  <c r="CW279" i="1"/>
  <c r="CX279" i="1" s="1"/>
  <c r="CT279" i="1"/>
  <c r="CU279" i="1" s="1"/>
  <c r="CR279" i="1"/>
  <c r="CQ279" i="1"/>
  <c r="CN279" i="1"/>
  <c r="CO279" i="1" s="1"/>
  <c r="CL279" i="1"/>
  <c r="CK279" i="1"/>
  <c r="CH279" i="1"/>
  <c r="CI279" i="1" s="1"/>
  <c r="CF279" i="1"/>
  <c r="CE279" i="1"/>
  <c r="CB279" i="1"/>
  <c r="CC279" i="1" s="1"/>
  <c r="BY279" i="1"/>
  <c r="BZ279" i="1" s="1"/>
  <c r="BV279" i="1"/>
  <c r="BW279" i="1" s="1"/>
  <c r="BS279" i="1"/>
  <c r="BT279" i="1" s="1"/>
  <c r="BQ279" i="1"/>
  <c r="BP279" i="1"/>
  <c r="BM279" i="1"/>
  <c r="BN279" i="1" s="1"/>
  <c r="BJ279" i="1"/>
  <c r="BK279" i="1" s="1"/>
  <c r="BH279" i="1"/>
  <c r="BG279" i="1"/>
  <c r="BE279" i="1"/>
  <c r="BD279" i="1"/>
  <c r="BA279" i="1"/>
  <c r="BB279" i="1" s="1"/>
  <c r="AX279" i="1"/>
  <c r="AY279" i="1" s="1"/>
  <c r="AU279" i="1"/>
  <c r="AV279" i="1" s="1"/>
  <c r="AS279" i="1"/>
  <c r="AR279" i="1"/>
  <c r="AP279" i="1"/>
  <c r="AO279" i="1"/>
  <c r="AL279" i="1"/>
  <c r="AM279" i="1" s="1"/>
  <c r="AI279" i="1"/>
  <c r="AJ279" i="1" s="1"/>
  <c r="AF279" i="1"/>
  <c r="AG279" i="1" s="1"/>
  <c r="AC279" i="1"/>
  <c r="AD279" i="1" s="1"/>
  <c r="Z279" i="1"/>
  <c r="AA279" i="1" s="1"/>
  <c r="X279" i="1"/>
  <c r="W279" i="1"/>
  <c r="T279" i="1"/>
  <c r="U279" i="1" s="1"/>
  <c r="R279" i="1"/>
  <c r="O279" i="1"/>
  <c r="L279" i="1"/>
  <c r="I279" i="1"/>
  <c r="DP278" i="1"/>
  <c r="DO278" i="1"/>
  <c r="DL278" i="1"/>
  <c r="DM278" i="1" s="1"/>
  <c r="DJ278" i="1"/>
  <c r="DI278" i="1"/>
  <c r="DF278" i="1"/>
  <c r="DG278" i="1" s="1"/>
  <c r="DC278" i="1"/>
  <c r="DD278" i="1" s="1"/>
  <c r="DA278" i="1"/>
  <c r="CZ278" i="1"/>
  <c r="CW278" i="1"/>
  <c r="CX278" i="1" s="1"/>
  <c r="CT278" i="1"/>
  <c r="CU278" i="1" s="1"/>
  <c r="CR278" i="1"/>
  <c r="CQ278" i="1"/>
  <c r="CN278" i="1"/>
  <c r="CO278" i="1" s="1"/>
  <c r="CL278" i="1"/>
  <c r="CK278" i="1"/>
  <c r="CH278" i="1"/>
  <c r="CI278" i="1" s="1"/>
  <c r="CF278" i="1"/>
  <c r="CE278" i="1"/>
  <c r="CB278" i="1"/>
  <c r="CC278" i="1" s="1"/>
  <c r="BZ278" i="1"/>
  <c r="BY278" i="1"/>
  <c r="BV278" i="1"/>
  <c r="BW278" i="1" s="1"/>
  <c r="BS278" i="1"/>
  <c r="BT278" i="1" s="1"/>
  <c r="BQ278" i="1"/>
  <c r="BP278" i="1"/>
  <c r="BN278" i="1"/>
  <c r="BM278" i="1"/>
  <c r="BJ278" i="1"/>
  <c r="BK278" i="1" s="1"/>
  <c r="BH278" i="1"/>
  <c r="BG278" i="1"/>
  <c r="BD278" i="1"/>
  <c r="BE278" i="1" s="1"/>
  <c r="BA278" i="1"/>
  <c r="BB278" i="1" s="1"/>
  <c r="AX278" i="1"/>
  <c r="AY278" i="1" s="1"/>
  <c r="AV278" i="1"/>
  <c r="AU278" i="1"/>
  <c r="AS278" i="1"/>
  <c r="AR278" i="1"/>
  <c r="AP278" i="1"/>
  <c r="AO278" i="1"/>
  <c r="AL278" i="1"/>
  <c r="AM278" i="1" s="1"/>
  <c r="AJ278" i="1"/>
  <c r="AI278" i="1"/>
  <c r="AG278" i="1"/>
  <c r="AF278" i="1"/>
  <c r="AC278" i="1"/>
  <c r="AD278" i="1" s="1"/>
  <c r="Z278" i="1"/>
  <c r="AA278" i="1" s="1"/>
  <c r="W278" i="1"/>
  <c r="X278" i="1" s="1"/>
  <c r="U278" i="1"/>
  <c r="T278" i="1"/>
  <c r="R278" i="1"/>
  <c r="O278" i="1"/>
  <c r="L278" i="1"/>
  <c r="I278" i="1"/>
  <c r="DO277" i="1"/>
  <c r="DP277" i="1" s="1"/>
  <c r="DM277" i="1"/>
  <c r="DL277" i="1"/>
  <c r="DJ277" i="1"/>
  <c r="DI277" i="1"/>
  <c r="DF277" i="1"/>
  <c r="DG277" i="1" s="1"/>
  <c r="DC277" i="1"/>
  <c r="DD277" i="1" s="1"/>
  <c r="CZ277" i="1"/>
  <c r="DA277" i="1" s="1"/>
  <c r="CX277" i="1"/>
  <c r="CW277" i="1"/>
  <c r="CU277" i="1"/>
  <c r="CT277" i="1"/>
  <c r="CQ277" i="1"/>
  <c r="CR277" i="1" s="1"/>
  <c r="CN277" i="1"/>
  <c r="CO277" i="1" s="1"/>
  <c r="CK277" i="1"/>
  <c r="CL277" i="1" s="1"/>
  <c r="CI277" i="1"/>
  <c r="CH277" i="1"/>
  <c r="CE277" i="1"/>
  <c r="CF277" i="1" s="1"/>
  <c r="CB277" i="1"/>
  <c r="CC277" i="1" s="1"/>
  <c r="BY277" i="1"/>
  <c r="BZ277" i="1" s="1"/>
  <c r="BV277" i="1"/>
  <c r="BW277" i="1" s="1"/>
  <c r="BS277" i="1"/>
  <c r="BT277" i="1" s="1"/>
  <c r="BP277" i="1"/>
  <c r="BQ277" i="1" s="1"/>
  <c r="BM277" i="1"/>
  <c r="BN277" i="1" s="1"/>
  <c r="BK277" i="1"/>
  <c r="BJ277" i="1"/>
  <c r="BG277" i="1"/>
  <c r="BH277" i="1" s="1"/>
  <c r="BE277" i="1"/>
  <c r="BD277" i="1"/>
  <c r="BA277" i="1"/>
  <c r="BB277" i="1" s="1"/>
  <c r="AY277" i="1"/>
  <c r="AX277" i="1"/>
  <c r="AU277" i="1"/>
  <c r="AV277" i="1" s="1"/>
  <c r="AS277" i="1"/>
  <c r="AR277" i="1"/>
  <c r="AO277" i="1"/>
  <c r="AP277" i="1" s="1"/>
  <c r="AL277" i="1"/>
  <c r="AM277" i="1" s="1"/>
  <c r="AI277" i="1"/>
  <c r="AJ277" i="1" s="1"/>
  <c r="AG277" i="1"/>
  <c r="AF277" i="1"/>
  <c r="AD277" i="1"/>
  <c r="AC277" i="1"/>
  <c r="Z277" i="1"/>
  <c r="AA277" i="1" s="1"/>
  <c r="W277" i="1"/>
  <c r="X277" i="1" s="1"/>
  <c r="T277" i="1"/>
  <c r="U277" i="1" s="1"/>
  <c r="R277" i="1"/>
  <c r="O277" i="1"/>
  <c r="L277" i="1"/>
  <c r="I277" i="1"/>
  <c r="DO276" i="1"/>
  <c r="DP276" i="1" s="1"/>
  <c r="DL276" i="1"/>
  <c r="DM276" i="1" s="1"/>
  <c r="DJ276" i="1"/>
  <c r="DI276" i="1"/>
  <c r="DG276" i="1"/>
  <c r="DF276" i="1"/>
  <c r="DC276" i="1"/>
  <c r="DD276" i="1" s="1"/>
  <c r="CZ276" i="1"/>
  <c r="DA276" i="1" s="1"/>
  <c r="CW276" i="1"/>
  <c r="CX276" i="1" s="1"/>
  <c r="CU276" i="1"/>
  <c r="CT276" i="1"/>
  <c r="CQ276" i="1"/>
  <c r="CR276" i="1" s="1"/>
  <c r="CN276" i="1"/>
  <c r="CO276" i="1" s="1"/>
  <c r="CK276" i="1"/>
  <c r="CL276" i="1" s="1"/>
  <c r="CH276" i="1"/>
  <c r="CI276" i="1" s="1"/>
  <c r="CE276" i="1"/>
  <c r="CF276" i="1" s="1"/>
  <c r="CB276" i="1"/>
  <c r="CC276" i="1" s="1"/>
  <c r="BY276" i="1"/>
  <c r="BZ276" i="1" s="1"/>
  <c r="BV276" i="1"/>
  <c r="BW276" i="1" s="1"/>
  <c r="BS276" i="1"/>
  <c r="BT276" i="1" s="1"/>
  <c r="BQ276" i="1"/>
  <c r="BP276" i="1"/>
  <c r="BM276" i="1"/>
  <c r="BN276" i="1" s="1"/>
  <c r="BK276" i="1"/>
  <c r="BJ276" i="1"/>
  <c r="BG276" i="1"/>
  <c r="BH276" i="1" s="1"/>
  <c r="BE276" i="1"/>
  <c r="BD276" i="1"/>
  <c r="BA276" i="1"/>
  <c r="BB276" i="1" s="1"/>
  <c r="AX276" i="1"/>
  <c r="AY276" i="1" s="1"/>
  <c r="AU276" i="1"/>
  <c r="AV276" i="1" s="1"/>
  <c r="AS276" i="1"/>
  <c r="AR276" i="1"/>
  <c r="AP276" i="1"/>
  <c r="AO276" i="1"/>
  <c r="AL276" i="1"/>
  <c r="AM276" i="1" s="1"/>
  <c r="AI276" i="1"/>
  <c r="AJ276" i="1" s="1"/>
  <c r="AF276" i="1"/>
  <c r="AG276" i="1" s="1"/>
  <c r="AD276" i="1"/>
  <c r="AC276" i="1"/>
  <c r="Z276" i="1"/>
  <c r="AA276" i="1" s="1"/>
  <c r="W276" i="1"/>
  <c r="X276" i="1" s="1"/>
  <c r="U276" i="1"/>
  <c r="T276" i="1"/>
  <c r="R276" i="1"/>
  <c r="O276" i="1"/>
  <c r="L276" i="1"/>
  <c r="I276" i="1"/>
  <c r="DO275" i="1"/>
  <c r="DP275" i="1" s="1"/>
  <c r="DL275" i="1"/>
  <c r="DM275" i="1" s="1"/>
  <c r="DJ275" i="1"/>
  <c r="DI275" i="1"/>
  <c r="DG275" i="1"/>
  <c r="DF275" i="1"/>
  <c r="DC275" i="1"/>
  <c r="DD275" i="1" s="1"/>
  <c r="CZ275" i="1"/>
  <c r="DA275" i="1" s="1"/>
  <c r="CW275" i="1"/>
  <c r="CX275" i="1" s="1"/>
  <c r="CT275" i="1"/>
  <c r="CU275" i="1" s="1"/>
  <c r="CQ275" i="1"/>
  <c r="CR275" i="1" s="1"/>
  <c r="CN275" i="1"/>
  <c r="CO275" i="1" s="1"/>
  <c r="CK275" i="1"/>
  <c r="CL275" i="1" s="1"/>
  <c r="CH275" i="1"/>
  <c r="CI275" i="1" s="1"/>
  <c r="CE275" i="1"/>
  <c r="CF275" i="1" s="1"/>
  <c r="CC275" i="1"/>
  <c r="CB275" i="1"/>
  <c r="BY275" i="1"/>
  <c r="BZ275" i="1" s="1"/>
  <c r="BW275" i="1"/>
  <c r="BV275" i="1"/>
  <c r="BS275" i="1"/>
  <c r="BT275" i="1" s="1"/>
  <c r="BQ275" i="1"/>
  <c r="BP275" i="1"/>
  <c r="BM275" i="1"/>
  <c r="BN275" i="1" s="1"/>
  <c r="BJ275" i="1"/>
  <c r="BK275" i="1" s="1"/>
  <c r="BG275" i="1"/>
  <c r="BH275" i="1" s="1"/>
  <c r="BE275" i="1"/>
  <c r="BD275" i="1"/>
  <c r="BB275" i="1"/>
  <c r="BA275" i="1"/>
  <c r="AX275" i="1"/>
  <c r="AY275" i="1" s="1"/>
  <c r="AU275" i="1"/>
  <c r="AV275" i="1" s="1"/>
  <c r="AR275" i="1"/>
  <c r="AS275" i="1" s="1"/>
  <c r="AP275" i="1"/>
  <c r="AO275" i="1"/>
  <c r="AL275" i="1"/>
  <c r="AM275" i="1" s="1"/>
  <c r="AI275" i="1"/>
  <c r="AJ275" i="1" s="1"/>
  <c r="AF275" i="1"/>
  <c r="AG275" i="1" s="1"/>
  <c r="AD275" i="1"/>
  <c r="AC275" i="1"/>
  <c r="AA275" i="1"/>
  <c r="Z275" i="1"/>
  <c r="W275" i="1"/>
  <c r="X275" i="1" s="1"/>
  <c r="T275" i="1"/>
  <c r="U275" i="1" s="1"/>
  <c r="R275" i="1"/>
  <c r="O275" i="1"/>
  <c r="L275" i="1"/>
  <c r="I275" i="1"/>
  <c r="DO274" i="1"/>
  <c r="DP274" i="1" s="1"/>
  <c r="DL274" i="1"/>
  <c r="DM274" i="1" s="1"/>
  <c r="DI274" i="1"/>
  <c r="DJ274" i="1" s="1"/>
  <c r="DF274" i="1"/>
  <c r="DG274" i="1" s="1"/>
  <c r="DC274" i="1"/>
  <c r="DD274" i="1" s="1"/>
  <c r="CZ274" i="1"/>
  <c r="DA274" i="1" s="1"/>
  <c r="CW274" i="1"/>
  <c r="CX274" i="1" s="1"/>
  <c r="CU274" i="1"/>
  <c r="CT274" i="1"/>
  <c r="CQ274" i="1"/>
  <c r="CR274" i="1" s="1"/>
  <c r="CO274" i="1"/>
  <c r="CN274" i="1"/>
  <c r="CK274" i="1"/>
  <c r="CL274" i="1" s="1"/>
  <c r="CH274" i="1"/>
  <c r="CI274" i="1" s="1"/>
  <c r="CE274" i="1"/>
  <c r="CF274" i="1" s="1"/>
  <c r="CC274" i="1"/>
  <c r="CB274" i="1"/>
  <c r="BY274" i="1"/>
  <c r="BZ274" i="1" s="1"/>
  <c r="BV274" i="1"/>
  <c r="BW274" i="1" s="1"/>
  <c r="BS274" i="1"/>
  <c r="BT274" i="1" s="1"/>
  <c r="BP274" i="1"/>
  <c r="BQ274" i="1" s="1"/>
  <c r="BN274" i="1"/>
  <c r="BM274" i="1"/>
  <c r="BJ274" i="1"/>
  <c r="BK274" i="1" s="1"/>
  <c r="BG274" i="1"/>
  <c r="BH274" i="1" s="1"/>
  <c r="BD274" i="1"/>
  <c r="BE274" i="1" s="1"/>
  <c r="BB274" i="1"/>
  <c r="BA274" i="1"/>
  <c r="AX274" i="1"/>
  <c r="AY274" i="1" s="1"/>
  <c r="AU274" i="1"/>
  <c r="AV274" i="1" s="1"/>
  <c r="AS274" i="1"/>
  <c r="AR274" i="1"/>
  <c r="AO274" i="1"/>
  <c r="AP274" i="1" s="1"/>
  <c r="AM274" i="1"/>
  <c r="AL274" i="1"/>
  <c r="AI274" i="1"/>
  <c r="AJ274" i="1" s="1"/>
  <c r="AF274" i="1"/>
  <c r="AG274" i="1" s="1"/>
  <c r="AD274" i="1"/>
  <c r="AC274" i="1"/>
  <c r="AA274" i="1"/>
  <c r="Z274" i="1"/>
  <c r="W274" i="1"/>
  <c r="X274" i="1" s="1"/>
  <c r="T274" i="1"/>
  <c r="U274" i="1" s="1"/>
  <c r="R274" i="1"/>
  <c r="O274" i="1"/>
  <c r="L274" i="1"/>
  <c r="I274" i="1"/>
  <c r="DO273" i="1"/>
  <c r="DP273" i="1" s="1"/>
  <c r="DL273" i="1"/>
  <c r="DM273" i="1" s="1"/>
  <c r="DI273" i="1"/>
  <c r="DJ273" i="1" s="1"/>
  <c r="DG273" i="1"/>
  <c r="DF273" i="1"/>
  <c r="DC273" i="1"/>
  <c r="DD273" i="1" s="1"/>
  <c r="DA273" i="1"/>
  <c r="CZ273" i="1"/>
  <c r="CW273" i="1"/>
  <c r="CX273" i="1" s="1"/>
  <c r="CT273" i="1"/>
  <c r="CU273" i="1" s="1"/>
  <c r="CQ273" i="1"/>
  <c r="CR273" i="1" s="1"/>
  <c r="CO273" i="1"/>
  <c r="CN273" i="1"/>
  <c r="CK273" i="1"/>
  <c r="CL273" i="1" s="1"/>
  <c r="CH273" i="1"/>
  <c r="CI273" i="1" s="1"/>
  <c r="CE273" i="1"/>
  <c r="CF273" i="1" s="1"/>
  <c r="CB273" i="1"/>
  <c r="CC273" i="1" s="1"/>
  <c r="BZ273" i="1"/>
  <c r="BY273" i="1"/>
  <c r="BV273" i="1"/>
  <c r="BW273" i="1" s="1"/>
  <c r="BS273" i="1"/>
  <c r="BT273" i="1" s="1"/>
  <c r="BP273" i="1"/>
  <c r="BQ273" i="1" s="1"/>
  <c r="BN273" i="1"/>
  <c r="BM273" i="1"/>
  <c r="BJ273" i="1"/>
  <c r="BK273" i="1" s="1"/>
  <c r="BG273" i="1"/>
  <c r="BH273" i="1" s="1"/>
  <c r="BD273" i="1"/>
  <c r="BE273" i="1" s="1"/>
  <c r="BA273" i="1"/>
  <c r="BB273" i="1" s="1"/>
  <c r="AY273" i="1"/>
  <c r="AX273" i="1"/>
  <c r="AU273" i="1"/>
  <c r="AV273" i="1" s="1"/>
  <c r="AS273" i="1"/>
  <c r="AR273" i="1"/>
  <c r="AP273" i="1"/>
  <c r="AO273" i="1"/>
  <c r="AM273" i="1"/>
  <c r="AL273" i="1"/>
  <c r="AI273" i="1"/>
  <c r="AJ273" i="1" s="1"/>
  <c r="AG273" i="1"/>
  <c r="AF273" i="1"/>
  <c r="AC273" i="1"/>
  <c r="AD273" i="1" s="1"/>
  <c r="AA273" i="1"/>
  <c r="Z273" i="1"/>
  <c r="W273" i="1"/>
  <c r="X273" i="1" s="1"/>
  <c r="U273" i="1"/>
  <c r="T273" i="1"/>
  <c r="R273" i="1"/>
  <c r="O273" i="1"/>
  <c r="L273" i="1"/>
  <c r="I273" i="1"/>
  <c r="DO272" i="1"/>
  <c r="DP272" i="1" s="1"/>
  <c r="DM272" i="1"/>
  <c r="DL272" i="1"/>
  <c r="DI272" i="1"/>
  <c r="DJ272" i="1" s="1"/>
  <c r="DF272" i="1"/>
  <c r="DG272" i="1" s="1"/>
  <c r="DD272" i="1"/>
  <c r="DC272" i="1"/>
  <c r="CZ272" i="1"/>
  <c r="DA272" i="1" s="1"/>
  <c r="CW272" i="1"/>
  <c r="CX272" i="1" s="1"/>
  <c r="CU272" i="1"/>
  <c r="CT272" i="1"/>
  <c r="CR272" i="1"/>
  <c r="CQ272" i="1"/>
  <c r="CN272" i="1"/>
  <c r="CO272" i="1" s="1"/>
  <c r="CK272" i="1"/>
  <c r="CL272" i="1" s="1"/>
  <c r="CH272" i="1"/>
  <c r="CI272" i="1" s="1"/>
  <c r="CE272" i="1"/>
  <c r="CF272" i="1" s="1"/>
  <c r="CC272" i="1"/>
  <c r="CB272" i="1"/>
  <c r="BY272" i="1"/>
  <c r="BZ272" i="1" s="1"/>
  <c r="BV272" i="1"/>
  <c r="BW272" i="1" s="1"/>
  <c r="BT272" i="1"/>
  <c r="BS272" i="1"/>
  <c r="BP272" i="1"/>
  <c r="BQ272" i="1" s="1"/>
  <c r="BM272" i="1"/>
  <c r="BN272" i="1" s="1"/>
  <c r="BJ272" i="1"/>
  <c r="BK272" i="1" s="1"/>
  <c r="BG272" i="1"/>
  <c r="BH272" i="1" s="1"/>
  <c r="BD272" i="1"/>
  <c r="BE272" i="1" s="1"/>
  <c r="BA272" i="1"/>
  <c r="BB272" i="1" s="1"/>
  <c r="AY272" i="1"/>
  <c r="AX272" i="1"/>
  <c r="AU272" i="1"/>
  <c r="AV272" i="1" s="1"/>
  <c r="AR272" i="1"/>
  <c r="AS272" i="1" s="1"/>
  <c r="AO272" i="1"/>
  <c r="AP272" i="1" s="1"/>
  <c r="AL272" i="1"/>
  <c r="AM272" i="1" s="1"/>
  <c r="AJ272" i="1"/>
  <c r="AI272" i="1"/>
  <c r="AF272" i="1"/>
  <c r="AG272" i="1" s="1"/>
  <c r="AC272" i="1"/>
  <c r="AD272" i="1" s="1"/>
  <c r="AA272" i="1"/>
  <c r="Z272" i="1"/>
  <c r="X272" i="1"/>
  <c r="W272" i="1"/>
  <c r="T272" i="1"/>
  <c r="U272" i="1" s="1"/>
  <c r="O272" i="1"/>
  <c r="L272" i="1"/>
  <c r="I272" i="1"/>
  <c r="DP271" i="1"/>
  <c r="DO271" i="1"/>
  <c r="DL271" i="1"/>
  <c r="DM271" i="1" s="1"/>
  <c r="DI271" i="1"/>
  <c r="DJ271" i="1" s="1"/>
  <c r="DF271" i="1"/>
  <c r="DG271" i="1" s="1"/>
  <c r="DC271" i="1"/>
  <c r="DD271" i="1" s="1"/>
  <c r="DA271" i="1"/>
  <c r="CZ271" i="1"/>
  <c r="CW271" i="1"/>
  <c r="CX271" i="1" s="1"/>
  <c r="CT271" i="1"/>
  <c r="CU271" i="1" s="1"/>
  <c r="CQ271" i="1"/>
  <c r="CR271" i="1" s="1"/>
  <c r="CN271" i="1"/>
  <c r="CO271" i="1" s="1"/>
  <c r="CK271" i="1"/>
  <c r="CL271" i="1" s="1"/>
  <c r="CH271" i="1"/>
  <c r="CI271" i="1" s="1"/>
  <c r="CE271" i="1"/>
  <c r="CF271" i="1" s="1"/>
  <c r="CB271" i="1"/>
  <c r="CC271" i="1" s="1"/>
  <c r="BY271" i="1"/>
  <c r="BZ271" i="1" s="1"/>
  <c r="BV271" i="1"/>
  <c r="BW271" i="1" s="1"/>
  <c r="BS271" i="1"/>
  <c r="BT271" i="1" s="1"/>
  <c r="BP271" i="1"/>
  <c r="BQ271" i="1" s="1"/>
  <c r="BM271" i="1"/>
  <c r="BN271" i="1" s="1"/>
  <c r="BK271" i="1"/>
  <c r="BJ271" i="1"/>
  <c r="BG271" i="1"/>
  <c r="BH271" i="1" s="1"/>
  <c r="BD271" i="1"/>
  <c r="BE271" i="1" s="1"/>
  <c r="BA271" i="1"/>
  <c r="BB271" i="1" s="1"/>
  <c r="AX271" i="1"/>
  <c r="AY271" i="1" s="1"/>
  <c r="AU271" i="1"/>
  <c r="AV271" i="1" s="1"/>
  <c r="AR271" i="1"/>
  <c r="AS271" i="1" s="1"/>
  <c r="AO271" i="1"/>
  <c r="AP271" i="1" s="1"/>
  <c r="AL271" i="1"/>
  <c r="AM271" i="1" s="1"/>
  <c r="AI271" i="1"/>
  <c r="AJ271" i="1" s="1"/>
  <c r="AG271" i="1"/>
  <c r="AF271" i="1"/>
  <c r="AC271" i="1"/>
  <c r="AD271" i="1" s="1"/>
  <c r="Z271" i="1"/>
  <c r="AA271" i="1" s="1"/>
  <c r="W271" i="1"/>
  <c r="X271" i="1" s="1"/>
  <c r="T271" i="1"/>
  <c r="U271" i="1" s="1"/>
  <c r="R271" i="1"/>
  <c r="O271" i="1"/>
  <c r="L271" i="1"/>
  <c r="I271" i="1"/>
  <c r="DO270" i="1"/>
  <c r="DP270" i="1" s="1"/>
  <c r="DL270" i="1"/>
  <c r="DM270" i="1" s="1"/>
  <c r="DI270" i="1"/>
  <c r="DJ270" i="1" s="1"/>
  <c r="DF270" i="1"/>
  <c r="DG270" i="1" s="1"/>
  <c r="DC270" i="1"/>
  <c r="DD270" i="1" s="1"/>
  <c r="DA270" i="1"/>
  <c r="CZ270" i="1"/>
  <c r="CW270" i="1"/>
  <c r="CX270" i="1" s="1"/>
  <c r="CT270" i="1"/>
  <c r="CU270" i="1" s="1"/>
  <c r="CQ270" i="1"/>
  <c r="CR270" i="1" s="1"/>
  <c r="CO270" i="1"/>
  <c r="CN270" i="1"/>
  <c r="CK270" i="1"/>
  <c r="CL270" i="1" s="1"/>
  <c r="CI270" i="1"/>
  <c r="CH270" i="1"/>
  <c r="CE270" i="1"/>
  <c r="CF270" i="1" s="1"/>
  <c r="CB270" i="1"/>
  <c r="CC270" i="1" s="1"/>
  <c r="BY270" i="1"/>
  <c r="BZ270" i="1" s="1"/>
  <c r="BV270" i="1"/>
  <c r="BW270" i="1" s="1"/>
  <c r="BS270" i="1"/>
  <c r="BT270" i="1" s="1"/>
  <c r="BP270" i="1"/>
  <c r="BQ270" i="1" s="1"/>
  <c r="BM270" i="1"/>
  <c r="BN270" i="1" s="1"/>
  <c r="BJ270" i="1"/>
  <c r="BK270" i="1" s="1"/>
  <c r="BG270" i="1"/>
  <c r="BH270" i="1" s="1"/>
  <c r="BD270" i="1"/>
  <c r="BE270" i="1" s="1"/>
  <c r="BA270" i="1"/>
  <c r="BB270" i="1" s="1"/>
  <c r="AX270" i="1"/>
  <c r="AY270" i="1" s="1"/>
  <c r="AU270" i="1"/>
  <c r="AV270" i="1" s="1"/>
  <c r="AR270" i="1"/>
  <c r="AS270" i="1" s="1"/>
  <c r="AO270" i="1"/>
  <c r="AP270" i="1" s="1"/>
  <c r="AL270" i="1"/>
  <c r="AM270" i="1" s="1"/>
  <c r="AJ270" i="1"/>
  <c r="AI270" i="1"/>
  <c r="AF270" i="1"/>
  <c r="AG270" i="1" s="1"/>
  <c r="AC270" i="1"/>
  <c r="AD270" i="1" s="1"/>
  <c r="Z270" i="1"/>
  <c r="AA270" i="1" s="1"/>
  <c r="X270" i="1"/>
  <c r="W270" i="1"/>
  <c r="T270" i="1"/>
  <c r="U270" i="1" s="1"/>
  <c r="R270" i="1"/>
  <c r="O270" i="1"/>
  <c r="L270" i="1"/>
  <c r="I270" i="1"/>
  <c r="DP269" i="1"/>
  <c r="DO269" i="1"/>
  <c r="DL269" i="1"/>
  <c r="DM269" i="1" s="1"/>
  <c r="DI269" i="1"/>
  <c r="DJ269" i="1" s="1"/>
  <c r="DF269" i="1"/>
  <c r="DG269" i="1" s="1"/>
  <c r="DC269" i="1"/>
  <c r="DD269" i="1" s="1"/>
  <c r="CZ269" i="1"/>
  <c r="DA269" i="1" s="1"/>
  <c r="CW269" i="1"/>
  <c r="CX269" i="1" s="1"/>
  <c r="CT269" i="1"/>
  <c r="CU269" i="1" s="1"/>
  <c r="CQ269" i="1"/>
  <c r="CR269" i="1" s="1"/>
  <c r="CN269" i="1"/>
  <c r="CO269" i="1" s="1"/>
  <c r="CK269" i="1"/>
  <c r="CL269" i="1" s="1"/>
  <c r="CH269" i="1"/>
  <c r="CI269" i="1" s="1"/>
  <c r="CE269" i="1"/>
  <c r="CF269" i="1" s="1"/>
  <c r="CB269" i="1"/>
  <c r="CC269" i="1" s="1"/>
  <c r="BY269" i="1"/>
  <c r="BZ269" i="1" s="1"/>
  <c r="BV269" i="1"/>
  <c r="BW269" i="1" s="1"/>
  <c r="BS269" i="1"/>
  <c r="BT269" i="1" s="1"/>
  <c r="BP269" i="1"/>
  <c r="BQ269" i="1" s="1"/>
  <c r="BM269" i="1"/>
  <c r="BN269" i="1" s="1"/>
  <c r="BJ269" i="1"/>
  <c r="BK269" i="1" s="1"/>
  <c r="BH269" i="1"/>
  <c r="BG269" i="1"/>
  <c r="BD269" i="1"/>
  <c r="BE269" i="1" s="1"/>
  <c r="BA269" i="1"/>
  <c r="BB269" i="1" s="1"/>
  <c r="AY269" i="1"/>
  <c r="AX269" i="1"/>
  <c r="AU269" i="1"/>
  <c r="AV269" i="1" s="1"/>
  <c r="AR269" i="1"/>
  <c r="AS269" i="1" s="1"/>
  <c r="AO269" i="1"/>
  <c r="AP269" i="1" s="1"/>
  <c r="AL269" i="1"/>
  <c r="AM269" i="1" s="1"/>
  <c r="AI269" i="1"/>
  <c r="AJ269" i="1" s="1"/>
  <c r="AG269" i="1"/>
  <c r="AF269" i="1"/>
  <c r="AC269" i="1"/>
  <c r="AD269" i="1" s="1"/>
  <c r="AA269" i="1"/>
  <c r="Z269" i="1"/>
  <c r="W269" i="1"/>
  <c r="X269" i="1" s="1"/>
  <c r="T269" i="1"/>
  <c r="U269" i="1" s="1"/>
  <c r="R269" i="1"/>
  <c r="O269" i="1"/>
  <c r="L269" i="1"/>
  <c r="I269" i="1"/>
  <c r="DP268" i="1"/>
  <c r="DO268" i="1"/>
  <c r="DL268" i="1"/>
  <c r="DM268" i="1" s="1"/>
  <c r="DI268" i="1"/>
  <c r="DJ268" i="1" s="1"/>
  <c r="DF268" i="1"/>
  <c r="DG268" i="1" s="1"/>
  <c r="DD268" i="1"/>
  <c r="DC268" i="1"/>
  <c r="DA268" i="1"/>
  <c r="CZ268" i="1"/>
  <c r="CW268" i="1"/>
  <c r="CX268" i="1" s="1"/>
  <c r="CT268" i="1"/>
  <c r="CU268" i="1" s="1"/>
  <c r="CQ268" i="1"/>
  <c r="CR268" i="1" s="1"/>
  <c r="CO268" i="1"/>
  <c r="CN268" i="1"/>
  <c r="CK268" i="1"/>
  <c r="CL268" i="1" s="1"/>
  <c r="CI268" i="1"/>
  <c r="CH268" i="1"/>
  <c r="CE268" i="1"/>
  <c r="CF268" i="1" s="1"/>
  <c r="CB268" i="1"/>
  <c r="CC268" i="1" s="1"/>
  <c r="BY268" i="1"/>
  <c r="BZ268" i="1" s="1"/>
  <c r="BV268" i="1"/>
  <c r="BW268" i="1" s="1"/>
  <c r="BS268" i="1"/>
  <c r="BT268" i="1" s="1"/>
  <c r="BP268" i="1"/>
  <c r="BQ268" i="1" s="1"/>
  <c r="BM268" i="1"/>
  <c r="BN268" i="1" s="1"/>
  <c r="BK268" i="1"/>
  <c r="BJ268" i="1"/>
  <c r="BG268" i="1"/>
  <c r="BH268" i="1" s="1"/>
  <c r="BD268" i="1"/>
  <c r="BE268" i="1" s="1"/>
  <c r="BA268" i="1"/>
  <c r="BB268" i="1" s="1"/>
  <c r="AY268" i="1"/>
  <c r="AX268" i="1"/>
  <c r="AU268" i="1"/>
  <c r="AV268" i="1" s="1"/>
  <c r="AR268" i="1"/>
  <c r="AS268" i="1" s="1"/>
  <c r="AO268" i="1"/>
  <c r="AP268" i="1" s="1"/>
  <c r="AL268" i="1"/>
  <c r="AM268" i="1" s="1"/>
  <c r="AI268" i="1"/>
  <c r="AJ268" i="1" s="1"/>
  <c r="AG268" i="1"/>
  <c r="AF268" i="1"/>
  <c r="AC268" i="1"/>
  <c r="AD268" i="1" s="1"/>
  <c r="Z268" i="1"/>
  <c r="AA268" i="1" s="1"/>
  <c r="W268" i="1"/>
  <c r="X268" i="1" s="1"/>
  <c r="T268" i="1"/>
  <c r="U268" i="1" s="1"/>
  <c r="R268" i="1"/>
  <c r="O268" i="1"/>
  <c r="L268" i="1"/>
  <c r="I268" i="1"/>
  <c r="DO267" i="1"/>
  <c r="DP267" i="1" s="1"/>
  <c r="DL267" i="1"/>
  <c r="DM267" i="1" s="1"/>
  <c r="DI267" i="1"/>
  <c r="DJ267" i="1" s="1"/>
  <c r="DG267" i="1"/>
  <c r="DF267" i="1"/>
  <c r="DD267" i="1"/>
  <c r="DC267" i="1"/>
  <c r="CZ267" i="1"/>
  <c r="DA267" i="1" s="1"/>
  <c r="CW267" i="1"/>
  <c r="CX267" i="1" s="1"/>
  <c r="CT267" i="1"/>
  <c r="CU267" i="1" s="1"/>
  <c r="CQ267" i="1"/>
  <c r="CR267" i="1" s="1"/>
  <c r="CO267" i="1"/>
  <c r="CN267" i="1"/>
  <c r="CK267" i="1"/>
  <c r="CL267" i="1" s="1"/>
  <c r="CH267" i="1"/>
  <c r="CI267" i="1" s="1"/>
  <c r="CE267" i="1"/>
  <c r="CF267" i="1" s="1"/>
  <c r="CB267" i="1"/>
  <c r="CC267" i="1" s="1"/>
  <c r="BY267" i="1"/>
  <c r="BZ267" i="1" s="1"/>
  <c r="BV267" i="1"/>
  <c r="BW267" i="1" s="1"/>
  <c r="BS267" i="1"/>
  <c r="BT267" i="1" s="1"/>
  <c r="BP267" i="1"/>
  <c r="BQ267" i="1" s="1"/>
  <c r="BM267" i="1"/>
  <c r="BN267" i="1" s="1"/>
  <c r="BJ267" i="1"/>
  <c r="BK267" i="1" s="1"/>
  <c r="BH267" i="1"/>
  <c r="BG267" i="1"/>
  <c r="BD267" i="1"/>
  <c r="BE267" i="1" s="1"/>
  <c r="BA267" i="1"/>
  <c r="BB267" i="1" s="1"/>
  <c r="AX267" i="1"/>
  <c r="AY267" i="1" s="1"/>
  <c r="AU267" i="1"/>
  <c r="AV267" i="1" s="1"/>
  <c r="AR267" i="1"/>
  <c r="AS267" i="1" s="1"/>
  <c r="AO267" i="1"/>
  <c r="AP267" i="1" s="1"/>
  <c r="AL267" i="1"/>
  <c r="AM267" i="1" s="1"/>
  <c r="AI267" i="1"/>
  <c r="AJ267" i="1" s="1"/>
  <c r="AF267" i="1"/>
  <c r="AG267" i="1" s="1"/>
  <c r="AC267" i="1"/>
  <c r="AD267" i="1" s="1"/>
  <c r="Z267" i="1"/>
  <c r="AA267" i="1" s="1"/>
  <c r="X267" i="1"/>
  <c r="W267" i="1"/>
  <c r="T267" i="1"/>
  <c r="U267" i="1" s="1"/>
  <c r="R267" i="1"/>
  <c r="O267" i="1"/>
  <c r="L267" i="1"/>
  <c r="I267" i="1"/>
  <c r="DP266" i="1"/>
  <c r="DO266" i="1"/>
  <c r="DL266" i="1"/>
  <c r="DM266" i="1" s="1"/>
  <c r="DI266" i="1"/>
  <c r="DJ266" i="1" s="1"/>
  <c r="DF266" i="1"/>
  <c r="DG266" i="1" s="1"/>
  <c r="DC266" i="1"/>
  <c r="DD266" i="1" s="1"/>
  <c r="CZ266" i="1"/>
  <c r="DA266" i="1" s="1"/>
  <c r="CW266" i="1"/>
  <c r="CX266" i="1" s="1"/>
  <c r="CT266" i="1"/>
  <c r="CU266" i="1" s="1"/>
  <c r="CQ266" i="1"/>
  <c r="CR266" i="1" s="1"/>
  <c r="CN266" i="1"/>
  <c r="CO266" i="1" s="1"/>
  <c r="CK266" i="1"/>
  <c r="CL266" i="1" s="1"/>
  <c r="CH266" i="1"/>
  <c r="CI266" i="1" s="1"/>
  <c r="CE266" i="1"/>
  <c r="CF266" i="1" s="1"/>
  <c r="CB266" i="1"/>
  <c r="CC266" i="1" s="1"/>
  <c r="BY266" i="1"/>
  <c r="BZ266" i="1" s="1"/>
  <c r="BV266" i="1"/>
  <c r="BW266" i="1" s="1"/>
  <c r="BS266" i="1"/>
  <c r="BT266" i="1" s="1"/>
  <c r="BP266" i="1"/>
  <c r="BQ266" i="1" s="1"/>
  <c r="BM266" i="1"/>
  <c r="BN266" i="1" s="1"/>
  <c r="BK266" i="1"/>
  <c r="BJ266" i="1"/>
  <c r="BG266" i="1"/>
  <c r="BH266" i="1" s="1"/>
  <c r="BD266" i="1"/>
  <c r="BE266" i="1" s="1"/>
  <c r="BA266" i="1"/>
  <c r="BB266" i="1" s="1"/>
  <c r="AX266" i="1"/>
  <c r="AY266" i="1" s="1"/>
  <c r="AU266" i="1"/>
  <c r="AV266" i="1" s="1"/>
  <c r="AR266" i="1"/>
  <c r="AS266" i="1" s="1"/>
  <c r="AO266" i="1"/>
  <c r="AP266" i="1" s="1"/>
  <c r="AL266" i="1"/>
  <c r="AM266" i="1" s="1"/>
  <c r="AI266" i="1"/>
  <c r="AJ266" i="1" s="1"/>
  <c r="AF266" i="1"/>
  <c r="AG266" i="1" s="1"/>
  <c r="AC266" i="1"/>
  <c r="AD266" i="1" s="1"/>
  <c r="Z266" i="1"/>
  <c r="AA266" i="1" s="1"/>
  <c r="W266" i="1"/>
  <c r="X266" i="1" s="1"/>
  <c r="T266" i="1"/>
  <c r="U266" i="1" s="1"/>
  <c r="R266" i="1"/>
  <c r="O266" i="1"/>
  <c r="L266" i="1"/>
  <c r="I266" i="1"/>
  <c r="DO265" i="1"/>
  <c r="DP265" i="1" s="1"/>
  <c r="DL265" i="1"/>
  <c r="DM265" i="1" s="1"/>
  <c r="DI265" i="1"/>
  <c r="DJ265" i="1" s="1"/>
  <c r="DG265" i="1"/>
  <c r="DF265" i="1"/>
  <c r="DC265" i="1"/>
  <c r="DD265" i="1" s="1"/>
  <c r="DA265" i="1"/>
  <c r="CZ265" i="1"/>
  <c r="CW265" i="1"/>
  <c r="CX265" i="1" s="1"/>
  <c r="CT265" i="1"/>
  <c r="CU265" i="1" s="1"/>
  <c r="CR265" i="1"/>
  <c r="CQ265" i="1"/>
  <c r="CN265" i="1"/>
  <c r="CO265" i="1" s="1"/>
  <c r="CK265" i="1"/>
  <c r="CL265" i="1" s="1"/>
  <c r="CH265" i="1"/>
  <c r="CI265" i="1" s="1"/>
  <c r="CE265" i="1"/>
  <c r="CF265" i="1" s="1"/>
  <c r="CB265" i="1"/>
  <c r="CC265" i="1" s="1"/>
  <c r="BY265" i="1"/>
  <c r="BZ265" i="1" s="1"/>
  <c r="BV265" i="1"/>
  <c r="BW265" i="1" s="1"/>
  <c r="BS265" i="1"/>
  <c r="BT265" i="1" s="1"/>
  <c r="BP265" i="1"/>
  <c r="BQ265" i="1" s="1"/>
  <c r="BM265" i="1"/>
  <c r="BN265" i="1" s="1"/>
  <c r="BJ265" i="1"/>
  <c r="BK265" i="1" s="1"/>
  <c r="BH265" i="1"/>
  <c r="BG265" i="1"/>
  <c r="BE265" i="1"/>
  <c r="BD265" i="1"/>
  <c r="BA265" i="1"/>
  <c r="BB265" i="1" s="1"/>
  <c r="AX265" i="1"/>
  <c r="AY265" i="1" s="1"/>
  <c r="AU265" i="1"/>
  <c r="AV265" i="1" s="1"/>
  <c r="AR265" i="1"/>
  <c r="AS265" i="1" s="1"/>
  <c r="AO265" i="1"/>
  <c r="AP265" i="1" s="1"/>
  <c r="AM265" i="1"/>
  <c r="AL265" i="1"/>
  <c r="AI265" i="1"/>
  <c r="AJ265" i="1" s="1"/>
  <c r="AG265" i="1"/>
  <c r="AF265" i="1"/>
  <c r="AC265" i="1"/>
  <c r="AD265" i="1" s="1"/>
  <c r="AA265" i="1"/>
  <c r="Z265" i="1"/>
  <c r="W265" i="1"/>
  <c r="X265" i="1" s="1"/>
  <c r="T265" i="1"/>
  <c r="U265" i="1" s="1"/>
  <c r="R265" i="1"/>
  <c r="O265" i="1"/>
  <c r="L265" i="1"/>
  <c r="I265" i="1"/>
  <c r="DP264" i="1"/>
  <c r="DO264" i="1"/>
  <c r="DL264" i="1"/>
  <c r="DM264" i="1" s="1"/>
  <c r="DI264" i="1"/>
  <c r="DJ264" i="1" s="1"/>
  <c r="DF264" i="1"/>
  <c r="DG264" i="1" s="1"/>
  <c r="DD264" i="1"/>
  <c r="DC264" i="1"/>
  <c r="CZ264" i="1"/>
  <c r="DA264" i="1" s="1"/>
  <c r="CW264" i="1"/>
  <c r="CX264" i="1" s="1"/>
  <c r="CT264" i="1"/>
  <c r="CU264" i="1" s="1"/>
  <c r="CQ264" i="1"/>
  <c r="CR264" i="1" s="1"/>
  <c r="CN264" i="1"/>
  <c r="CO264" i="1" s="1"/>
  <c r="CK264" i="1"/>
  <c r="CL264" i="1" s="1"/>
  <c r="CI264" i="1"/>
  <c r="CH264" i="1"/>
  <c r="CE264" i="1"/>
  <c r="CF264" i="1" s="1"/>
  <c r="CB264" i="1"/>
  <c r="CC264" i="1" s="1"/>
  <c r="BY264" i="1"/>
  <c r="BZ264" i="1" s="1"/>
  <c r="BV264" i="1"/>
  <c r="BW264" i="1" s="1"/>
  <c r="BT264" i="1"/>
  <c r="BS264" i="1"/>
  <c r="BP264" i="1"/>
  <c r="BQ264" i="1" s="1"/>
  <c r="BM264" i="1"/>
  <c r="BN264" i="1" s="1"/>
  <c r="BJ264" i="1"/>
  <c r="BK264" i="1" s="1"/>
  <c r="BG264" i="1"/>
  <c r="BH264" i="1" s="1"/>
  <c r="BD264" i="1"/>
  <c r="BE264" i="1" s="1"/>
  <c r="BA264" i="1"/>
  <c r="BB264" i="1" s="1"/>
  <c r="AY264" i="1"/>
  <c r="AX264" i="1"/>
  <c r="AU264" i="1"/>
  <c r="AV264" i="1" s="1"/>
  <c r="AR264" i="1"/>
  <c r="AS264" i="1" s="1"/>
  <c r="AO264" i="1"/>
  <c r="AP264" i="1" s="1"/>
  <c r="AL264" i="1"/>
  <c r="AM264" i="1" s="1"/>
  <c r="AJ264" i="1"/>
  <c r="AI264" i="1"/>
  <c r="AF264" i="1"/>
  <c r="AG264" i="1" s="1"/>
  <c r="AC264" i="1"/>
  <c r="AD264" i="1" s="1"/>
  <c r="Z264" i="1"/>
  <c r="AA264" i="1" s="1"/>
  <c r="W264" i="1"/>
  <c r="X264" i="1" s="1"/>
  <c r="T264" i="1"/>
  <c r="U264" i="1" s="1"/>
  <c r="R264" i="1"/>
  <c r="O264" i="1"/>
  <c r="L264" i="1"/>
  <c r="I264" i="1"/>
  <c r="DO263" i="1"/>
  <c r="DP263" i="1" s="1"/>
  <c r="DL263" i="1"/>
  <c r="DM263" i="1" s="1"/>
  <c r="DI263" i="1"/>
  <c r="DJ263" i="1" s="1"/>
  <c r="DG263" i="1"/>
  <c r="DF263" i="1"/>
  <c r="DC263" i="1"/>
  <c r="DD263" i="1" s="1"/>
  <c r="CZ263" i="1"/>
  <c r="DA263" i="1" s="1"/>
  <c r="CW263" i="1"/>
  <c r="CX263" i="1" s="1"/>
  <c r="CT263" i="1"/>
  <c r="CU263" i="1" s="1"/>
  <c r="CR263" i="1"/>
  <c r="CQ263" i="1"/>
  <c r="CN263" i="1"/>
  <c r="CO263" i="1" s="1"/>
  <c r="CK263" i="1"/>
  <c r="CL263" i="1" s="1"/>
  <c r="CH263" i="1"/>
  <c r="CI263" i="1" s="1"/>
  <c r="CF263" i="1"/>
  <c r="CE263" i="1"/>
  <c r="CB263" i="1"/>
  <c r="CC263" i="1" s="1"/>
  <c r="BY263" i="1"/>
  <c r="BZ263" i="1" s="1"/>
  <c r="BV263" i="1"/>
  <c r="BW263" i="1" s="1"/>
  <c r="BS263" i="1"/>
  <c r="BT263" i="1" s="1"/>
  <c r="BP263" i="1"/>
  <c r="BQ263" i="1" s="1"/>
  <c r="BM263" i="1"/>
  <c r="BN263" i="1" s="1"/>
  <c r="BK263" i="1"/>
  <c r="BJ263" i="1"/>
  <c r="BH263" i="1"/>
  <c r="BG263" i="1"/>
  <c r="BD263" i="1"/>
  <c r="BE263" i="1" s="1"/>
  <c r="BA263" i="1"/>
  <c r="BB263" i="1" s="1"/>
  <c r="AX263" i="1"/>
  <c r="AY263" i="1" s="1"/>
  <c r="AU263" i="1"/>
  <c r="AV263" i="1" s="1"/>
  <c r="AR263" i="1"/>
  <c r="AS263" i="1" s="1"/>
  <c r="AO263" i="1"/>
  <c r="AP263" i="1" s="1"/>
  <c r="AL263" i="1"/>
  <c r="AM263" i="1" s="1"/>
  <c r="AI263" i="1"/>
  <c r="AJ263" i="1" s="1"/>
  <c r="AF263" i="1"/>
  <c r="AG263" i="1" s="1"/>
  <c r="AC263" i="1"/>
  <c r="AD263" i="1" s="1"/>
  <c r="Z263" i="1"/>
  <c r="AA263" i="1" s="1"/>
  <c r="X263" i="1"/>
  <c r="W263" i="1"/>
  <c r="T263" i="1"/>
  <c r="U263" i="1" s="1"/>
  <c r="L263" i="1"/>
  <c r="I263" i="1"/>
  <c r="DO262" i="1"/>
  <c r="DP262" i="1" s="1"/>
  <c r="DM262" i="1"/>
  <c r="DL262" i="1"/>
  <c r="DI262" i="1"/>
  <c r="DJ262" i="1" s="1"/>
  <c r="DF262" i="1"/>
  <c r="DG262" i="1" s="1"/>
  <c r="DD262" i="1"/>
  <c r="DC262" i="1"/>
  <c r="CZ262" i="1"/>
  <c r="DA262" i="1" s="1"/>
  <c r="CW262" i="1"/>
  <c r="CX262" i="1" s="1"/>
  <c r="CT262" i="1"/>
  <c r="CU262" i="1" s="1"/>
  <c r="CQ262" i="1"/>
  <c r="CR262" i="1" s="1"/>
  <c r="CO262" i="1"/>
  <c r="CN262" i="1"/>
  <c r="CK262" i="1"/>
  <c r="CL262" i="1" s="1"/>
  <c r="CH262" i="1"/>
  <c r="CI262" i="1" s="1"/>
  <c r="CE262" i="1"/>
  <c r="CF262" i="1" s="1"/>
  <c r="CC262" i="1"/>
  <c r="CB262" i="1"/>
  <c r="BY262" i="1"/>
  <c r="BZ262" i="1" s="1"/>
  <c r="BV262" i="1"/>
  <c r="BW262" i="1" s="1"/>
  <c r="BS262" i="1"/>
  <c r="BT262" i="1" s="1"/>
  <c r="BP262" i="1"/>
  <c r="BQ262" i="1" s="1"/>
  <c r="BM262" i="1"/>
  <c r="BN262" i="1" s="1"/>
  <c r="BJ262" i="1"/>
  <c r="BK262" i="1" s="1"/>
  <c r="BH262" i="1"/>
  <c r="BG262" i="1"/>
  <c r="BD262" i="1"/>
  <c r="BE262" i="1" s="1"/>
  <c r="BA262" i="1"/>
  <c r="BB262" i="1" s="1"/>
  <c r="AX262" i="1"/>
  <c r="AY262" i="1" s="1"/>
  <c r="AU262" i="1"/>
  <c r="AV262" i="1" s="1"/>
  <c r="AR262" i="1"/>
  <c r="AS262" i="1" s="1"/>
  <c r="AO262" i="1"/>
  <c r="AP262" i="1" s="1"/>
  <c r="AL262" i="1"/>
  <c r="AM262" i="1" s="1"/>
  <c r="AI262" i="1"/>
  <c r="AJ262" i="1" s="1"/>
  <c r="AF262" i="1"/>
  <c r="AG262" i="1" s="1"/>
  <c r="AC262" i="1"/>
  <c r="AD262" i="1" s="1"/>
  <c r="Z262" i="1"/>
  <c r="AA262" i="1" s="1"/>
  <c r="W262" i="1"/>
  <c r="X262" i="1" s="1"/>
  <c r="T262" i="1"/>
  <c r="U262" i="1" s="1"/>
  <c r="R262" i="1"/>
  <c r="O262" i="1"/>
  <c r="L262" i="1"/>
  <c r="I262" i="1"/>
  <c r="DO261" i="1"/>
  <c r="DP261" i="1" s="1"/>
  <c r="DL261" i="1"/>
  <c r="DM261" i="1" s="1"/>
  <c r="DI261" i="1"/>
  <c r="DJ261" i="1" s="1"/>
  <c r="DF261" i="1"/>
  <c r="DG261" i="1" s="1"/>
  <c r="DD261" i="1"/>
  <c r="DC261" i="1"/>
  <c r="CZ261" i="1"/>
  <c r="DA261" i="1" s="1"/>
  <c r="CW261" i="1"/>
  <c r="CX261" i="1" s="1"/>
  <c r="CT261" i="1"/>
  <c r="CU261" i="1" s="1"/>
  <c r="CQ261" i="1"/>
  <c r="CR261" i="1" s="1"/>
  <c r="CN261" i="1"/>
  <c r="CO261" i="1" s="1"/>
  <c r="CK261" i="1"/>
  <c r="CL261" i="1" s="1"/>
  <c r="CH261" i="1"/>
  <c r="CI261" i="1" s="1"/>
  <c r="CE261" i="1"/>
  <c r="CF261" i="1" s="1"/>
  <c r="CB261" i="1"/>
  <c r="CC261" i="1" s="1"/>
  <c r="BY261" i="1"/>
  <c r="BZ261" i="1" s="1"/>
  <c r="BV261" i="1"/>
  <c r="BW261" i="1" s="1"/>
  <c r="BS261" i="1"/>
  <c r="BT261" i="1" s="1"/>
  <c r="BP261" i="1"/>
  <c r="BQ261" i="1" s="1"/>
  <c r="BM261" i="1"/>
  <c r="BN261" i="1" s="1"/>
  <c r="BJ261" i="1"/>
  <c r="BK261" i="1" s="1"/>
  <c r="BH261" i="1"/>
  <c r="BG261" i="1"/>
  <c r="BD261" i="1"/>
  <c r="BE261" i="1" s="1"/>
  <c r="BA261" i="1"/>
  <c r="BB261" i="1" s="1"/>
  <c r="AX261" i="1"/>
  <c r="AY261" i="1" s="1"/>
  <c r="AU261" i="1"/>
  <c r="AV261" i="1" s="1"/>
  <c r="AS261" i="1"/>
  <c r="AR261" i="1"/>
  <c r="AO261" i="1"/>
  <c r="AP261" i="1" s="1"/>
  <c r="AL261" i="1"/>
  <c r="AM261" i="1" s="1"/>
  <c r="AI261" i="1"/>
  <c r="AJ261" i="1" s="1"/>
  <c r="AF261" i="1"/>
  <c r="AG261" i="1" s="1"/>
  <c r="AC261" i="1"/>
  <c r="AD261" i="1" s="1"/>
  <c r="Z261" i="1"/>
  <c r="AA261" i="1" s="1"/>
  <c r="W261" i="1"/>
  <c r="X261" i="1" s="1"/>
  <c r="T261" i="1"/>
  <c r="U261" i="1" s="1"/>
  <c r="R261" i="1"/>
  <c r="O261" i="1"/>
  <c r="L261" i="1"/>
  <c r="I261" i="1"/>
  <c r="DO260" i="1"/>
  <c r="DP260" i="1" s="1"/>
  <c r="DL260" i="1"/>
  <c r="DM260" i="1" s="1"/>
  <c r="DI260" i="1"/>
  <c r="DJ260" i="1" s="1"/>
  <c r="DF260" i="1"/>
  <c r="DG260" i="1" s="1"/>
  <c r="DD260" i="1"/>
  <c r="DC260" i="1"/>
  <c r="CZ260" i="1"/>
  <c r="DA260" i="1" s="1"/>
  <c r="CW260" i="1"/>
  <c r="CX260" i="1" s="1"/>
  <c r="CT260" i="1"/>
  <c r="CU260" i="1" s="1"/>
  <c r="CQ260" i="1"/>
  <c r="CR260" i="1" s="1"/>
  <c r="CO260" i="1"/>
  <c r="CN260" i="1"/>
  <c r="CK260" i="1"/>
  <c r="CL260" i="1" s="1"/>
  <c r="CH260" i="1"/>
  <c r="CI260" i="1" s="1"/>
  <c r="CE260" i="1"/>
  <c r="CF260" i="1" s="1"/>
  <c r="CB260" i="1"/>
  <c r="CC260" i="1" s="1"/>
  <c r="BY260" i="1"/>
  <c r="BZ260" i="1" s="1"/>
  <c r="BV260" i="1"/>
  <c r="BW260" i="1" s="1"/>
  <c r="BS260" i="1"/>
  <c r="BT260" i="1" s="1"/>
  <c r="BP260" i="1"/>
  <c r="BQ260" i="1" s="1"/>
  <c r="BM260" i="1"/>
  <c r="BN260" i="1" s="1"/>
  <c r="BJ260" i="1"/>
  <c r="BK260" i="1" s="1"/>
  <c r="BG260" i="1"/>
  <c r="BH260" i="1" s="1"/>
  <c r="BD260" i="1"/>
  <c r="BE260" i="1" s="1"/>
  <c r="BA260" i="1"/>
  <c r="BB260" i="1" s="1"/>
  <c r="AX260" i="1"/>
  <c r="AY260" i="1" s="1"/>
  <c r="AV260" i="1"/>
  <c r="AU260" i="1"/>
  <c r="AR260" i="1"/>
  <c r="AS260" i="1" s="1"/>
  <c r="AO260" i="1"/>
  <c r="AP260" i="1" s="1"/>
  <c r="AL260" i="1"/>
  <c r="AM260" i="1" s="1"/>
  <c r="AI260" i="1"/>
  <c r="AJ260" i="1" s="1"/>
  <c r="AG260" i="1"/>
  <c r="AF260" i="1"/>
  <c r="AC260" i="1"/>
  <c r="AD260" i="1" s="1"/>
  <c r="Z260" i="1"/>
  <c r="AA260" i="1" s="1"/>
  <c r="W260" i="1"/>
  <c r="X260" i="1" s="1"/>
  <c r="T260" i="1"/>
  <c r="U260" i="1" s="1"/>
  <c r="R260" i="1"/>
  <c r="O260" i="1"/>
  <c r="L260" i="1"/>
  <c r="I260" i="1"/>
  <c r="DO259" i="1"/>
  <c r="DP259" i="1" s="1"/>
  <c r="DL259" i="1"/>
  <c r="DM259" i="1" s="1"/>
  <c r="DI259" i="1"/>
  <c r="DJ259" i="1" s="1"/>
  <c r="DF259" i="1"/>
  <c r="DG259" i="1" s="1"/>
  <c r="DC259" i="1"/>
  <c r="DD259" i="1" s="1"/>
  <c r="CZ259" i="1"/>
  <c r="DA259" i="1" s="1"/>
  <c r="CW259" i="1"/>
  <c r="CX259" i="1" s="1"/>
  <c r="CT259" i="1"/>
  <c r="CU259" i="1" s="1"/>
  <c r="CQ259" i="1"/>
  <c r="CR259" i="1" s="1"/>
  <c r="CO259" i="1"/>
  <c r="CN259" i="1"/>
  <c r="CK259" i="1"/>
  <c r="CL259" i="1" s="1"/>
  <c r="CH259" i="1"/>
  <c r="CI259" i="1" s="1"/>
  <c r="CE259" i="1"/>
  <c r="CF259" i="1" s="1"/>
  <c r="CB259" i="1"/>
  <c r="CC259" i="1" s="1"/>
  <c r="BY259" i="1"/>
  <c r="BZ259" i="1" s="1"/>
  <c r="BV259" i="1"/>
  <c r="BW259" i="1" s="1"/>
  <c r="BS259" i="1"/>
  <c r="BT259" i="1" s="1"/>
  <c r="BP259" i="1"/>
  <c r="BQ259" i="1" s="1"/>
  <c r="BM259" i="1"/>
  <c r="BN259" i="1" s="1"/>
  <c r="BJ259" i="1"/>
  <c r="BK259" i="1" s="1"/>
  <c r="BH259" i="1"/>
  <c r="BG259" i="1"/>
  <c r="BD259" i="1"/>
  <c r="BE259" i="1" s="1"/>
  <c r="BA259" i="1"/>
  <c r="BB259" i="1" s="1"/>
  <c r="AX259" i="1"/>
  <c r="AY259" i="1" s="1"/>
  <c r="AU259" i="1"/>
  <c r="AV259" i="1" s="1"/>
  <c r="AS259" i="1"/>
  <c r="AR259" i="1"/>
  <c r="AO259" i="1"/>
  <c r="AP259" i="1" s="1"/>
  <c r="AL259" i="1"/>
  <c r="AM259" i="1" s="1"/>
  <c r="AI259" i="1"/>
  <c r="AJ259" i="1" s="1"/>
  <c r="AF259" i="1"/>
  <c r="AG259" i="1" s="1"/>
  <c r="AC259" i="1"/>
  <c r="AD259" i="1" s="1"/>
  <c r="Z259" i="1"/>
  <c r="AA259" i="1" s="1"/>
  <c r="W259" i="1"/>
  <c r="X259" i="1" s="1"/>
  <c r="T259" i="1"/>
  <c r="U259" i="1" s="1"/>
  <c r="R259" i="1"/>
  <c r="O259" i="1"/>
  <c r="L259" i="1"/>
  <c r="I259" i="1"/>
  <c r="DO258" i="1"/>
  <c r="DP258" i="1" s="1"/>
  <c r="DL258" i="1"/>
  <c r="DM258" i="1" s="1"/>
  <c r="DI258" i="1"/>
  <c r="DJ258" i="1" s="1"/>
  <c r="DF258" i="1"/>
  <c r="DG258" i="1" s="1"/>
  <c r="DC258" i="1"/>
  <c r="DD258" i="1" s="1"/>
  <c r="CZ258" i="1"/>
  <c r="DA258" i="1" s="1"/>
  <c r="CW258" i="1"/>
  <c r="CX258" i="1" s="1"/>
  <c r="CT258" i="1"/>
  <c r="CU258" i="1" s="1"/>
  <c r="CQ258" i="1"/>
  <c r="CR258" i="1" s="1"/>
  <c r="CO258" i="1"/>
  <c r="CN258" i="1"/>
  <c r="CK258" i="1"/>
  <c r="CL258" i="1" s="1"/>
  <c r="CH258" i="1"/>
  <c r="CI258" i="1" s="1"/>
  <c r="CE258" i="1"/>
  <c r="CF258" i="1" s="1"/>
  <c r="CC258" i="1"/>
  <c r="CB258" i="1"/>
  <c r="BY258" i="1"/>
  <c r="BZ258" i="1" s="1"/>
  <c r="BV258" i="1"/>
  <c r="BW258" i="1" s="1"/>
  <c r="BS258" i="1"/>
  <c r="BT258" i="1" s="1"/>
  <c r="BP258" i="1"/>
  <c r="BQ258" i="1" s="1"/>
  <c r="BM258" i="1"/>
  <c r="BN258" i="1" s="1"/>
  <c r="BJ258" i="1"/>
  <c r="BK258" i="1" s="1"/>
  <c r="BH258" i="1"/>
  <c r="BG258" i="1"/>
  <c r="BD258" i="1"/>
  <c r="BE258" i="1" s="1"/>
  <c r="BA258" i="1"/>
  <c r="BB258" i="1" s="1"/>
  <c r="AX258" i="1"/>
  <c r="AY258" i="1" s="1"/>
  <c r="AU258" i="1"/>
  <c r="AV258" i="1" s="1"/>
  <c r="AS258" i="1"/>
  <c r="AR258" i="1"/>
  <c r="AO258" i="1"/>
  <c r="AP258" i="1" s="1"/>
  <c r="AL258" i="1"/>
  <c r="AM258" i="1" s="1"/>
  <c r="AI258" i="1"/>
  <c r="AJ258" i="1" s="1"/>
  <c r="AF258" i="1"/>
  <c r="AG258" i="1" s="1"/>
  <c r="AC258" i="1"/>
  <c r="AD258" i="1" s="1"/>
  <c r="Z258" i="1"/>
  <c r="AA258" i="1" s="1"/>
  <c r="W258" i="1"/>
  <c r="X258" i="1" s="1"/>
  <c r="T258" i="1"/>
  <c r="U258" i="1" s="1"/>
  <c r="R258" i="1"/>
  <c r="O258" i="1"/>
  <c r="L258" i="1"/>
  <c r="I258" i="1"/>
  <c r="DO257" i="1"/>
  <c r="DP257" i="1" s="1"/>
  <c r="DL257" i="1"/>
  <c r="DM257" i="1" s="1"/>
  <c r="DI257" i="1"/>
  <c r="DJ257" i="1" s="1"/>
  <c r="DF257" i="1"/>
  <c r="DG257" i="1" s="1"/>
  <c r="DD257" i="1"/>
  <c r="DC257" i="1"/>
  <c r="CZ257" i="1"/>
  <c r="DA257" i="1" s="1"/>
  <c r="CW257" i="1"/>
  <c r="CX257" i="1" s="1"/>
  <c r="CT257" i="1"/>
  <c r="CU257" i="1" s="1"/>
  <c r="CQ257" i="1"/>
  <c r="CR257" i="1" s="1"/>
  <c r="CO257" i="1"/>
  <c r="CN257" i="1"/>
  <c r="CK257" i="1"/>
  <c r="CL257" i="1" s="1"/>
  <c r="CH257" i="1"/>
  <c r="CI257" i="1" s="1"/>
  <c r="CE257" i="1"/>
  <c r="CF257" i="1" s="1"/>
  <c r="CB257" i="1"/>
  <c r="CC257" i="1" s="1"/>
  <c r="BY257" i="1"/>
  <c r="BZ257" i="1" s="1"/>
  <c r="BV257" i="1"/>
  <c r="BW257" i="1" s="1"/>
  <c r="BS257" i="1"/>
  <c r="BT257" i="1" s="1"/>
  <c r="BP257" i="1"/>
  <c r="BQ257" i="1" s="1"/>
  <c r="BM257" i="1"/>
  <c r="BN257" i="1" s="1"/>
  <c r="BJ257" i="1"/>
  <c r="BK257" i="1" s="1"/>
  <c r="BG257" i="1"/>
  <c r="BH257" i="1" s="1"/>
  <c r="BD257" i="1"/>
  <c r="BE257" i="1" s="1"/>
  <c r="BA257" i="1"/>
  <c r="BB257" i="1" s="1"/>
  <c r="AX257" i="1"/>
  <c r="AY257" i="1" s="1"/>
  <c r="AU257" i="1"/>
  <c r="AV257" i="1" s="1"/>
  <c r="AS257" i="1"/>
  <c r="AR257" i="1"/>
  <c r="AO257" i="1"/>
  <c r="AP257" i="1" s="1"/>
  <c r="AL257" i="1"/>
  <c r="AM257" i="1" s="1"/>
  <c r="AI257" i="1"/>
  <c r="AJ257" i="1" s="1"/>
  <c r="AF257" i="1"/>
  <c r="AG257" i="1" s="1"/>
  <c r="AC257" i="1"/>
  <c r="AD257" i="1" s="1"/>
  <c r="Z257" i="1"/>
  <c r="AA257" i="1" s="1"/>
  <c r="W257" i="1"/>
  <c r="X257" i="1" s="1"/>
  <c r="T257" i="1"/>
  <c r="U257" i="1" s="1"/>
  <c r="R257" i="1"/>
  <c r="O257" i="1"/>
  <c r="L257" i="1"/>
  <c r="I257" i="1"/>
  <c r="DO256" i="1"/>
  <c r="DP256" i="1" s="1"/>
  <c r="DL256" i="1"/>
  <c r="DM256" i="1" s="1"/>
  <c r="DI256" i="1"/>
  <c r="DJ256" i="1" s="1"/>
  <c r="DF256" i="1"/>
  <c r="DG256" i="1" s="1"/>
  <c r="DC256" i="1"/>
  <c r="DD256" i="1" s="1"/>
  <c r="CZ256" i="1"/>
  <c r="DA256" i="1" s="1"/>
  <c r="CW256" i="1"/>
  <c r="CX256" i="1" s="1"/>
  <c r="CT256" i="1"/>
  <c r="CU256" i="1" s="1"/>
  <c r="CQ256" i="1"/>
  <c r="CR256" i="1" s="1"/>
  <c r="CO256" i="1"/>
  <c r="CN256" i="1"/>
  <c r="CK256" i="1"/>
  <c r="CL256" i="1" s="1"/>
  <c r="CH256" i="1"/>
  <c r="CI256" i="1" s="1"/>
  <c r="CE256" i="1"/>
  <c r="CF256" i="1" s="1"/>
  <c r="CB256" i="1"/>
  <c r="CC256" i="1" s="1"/>
  <c r="BY256" i="1"/>
  <c r="BZ256" i="1" s="1"/>
  <c r="BV256" i="1"/>
  <c r="BW256" i="1" s="1"/>
  <c r="BS256" i="1"/>
  <c r="BT256" i="1" s="1"/>
  <c r="BP256" i="1"/>
  <c r="BQ256" i="1" s="1"/>
  <c r="BM256" i="1"/>
  <c r="BN256" i="1" s="1"/>
  <c r="BJ256" i="1"/>
  <c r="BK256" i="1" s="1"/>
  <c r="BG256" i="1"/>
  <c r="BH256" i="1" s="1"/>
  <c r="BD256" i="1"/>
  <c r="BE256" i="1" s="1"/>
  <c r="BA256" i="1"/>
  <c r="BB256" i="1" s="1"/>
  <c r="AX256" i="1"/>
  <c r="AY256" i="1" s="1"/>
  <c r="AV256" i="1"/>
  <c r="AU256" i="1"/>
  <c r="AR256" i="1"/>
  <c r="AS256" i="1" s="1"/>
  <c r="AO256" i="1"/>
  <c r="AP256" i="1" s="1"/>
  <c r="AL256" i="1"/>
  <c r="AM256" i="1" s="1"/>
  <c r="AI256" i="1"/>
  <c r="AJ256" i="1" s="1"/>
  <c r="AG256" i="1"/>
  <c r="AF256" i="1"/>
  <c r="AC256" i="1"/>
  <c r="AD256" i="1" s="1"/>
  <c r="Z256" i="1"/>
  <c r="AA256" i="1" s="1"/>
  <c r="W256" i="1"/>
  <c r="X256" i="1" s="1"/>
  <c r="T256" i="1"/>
  <c r="U256" i="1" s="1"/>
  <c r="R256" i="1"/>
  <c r="O256" i="1"/>
  <c r="L256" i="1"/>
  <c r="I256" i="1"/>
  <c r="DO255" i="1"/>
  <c r="DP255" i="1" s="1"/>
  <c r="DL255" i="1"/>
  <c r="DM255" i="1" s="1"/>
  <c r="DI255" i="1"/>
  <c r="DJ255" i="1" s="1"/>
  <c r="DF255" i="1"/>
  <c r="DG255" i="1" s="1"/>
  <c r="DD255" i="1"/>
  <c r="DC255" i="1"/>
  <c r="CZ255" i="1"/>
  <c r="DA255" i="1" s="1"/>
  <c r="CW255" i="1"/>
  <c r="CX255" i="1" s="1"/>
  <c r="CT255" i="1"/>
  <c r="CU255" i="1" s="1"/>
  <c r="CQ255" i="1"/>
  <c r="CR255" i="1" s="1"/>
  <c r="CO255" i="1"/>
  <c r="CN255" i="1"/>
  <c r="CK255" i="1"/>
  <c r="CL255" i="1" s="1"/>
  <c r="CH255" i="1"/>
  <c r="CI255" i="1" s="1"/>
  <c r="CE255" i="1"/>
  <c r="CF255" i="1" s="1"/>
  <c r="CB255" i="1"/>
  <c r="CC255" i="1" s="1"/>
  <c r="BY255" i="1"/>
  <c r="BZ255" i="1" s="1"/>
  <c r="BV255" i="1"/>
  <c r="BW255" i="1" s="1"/>
  <c r="BS255" i="1"/>
  <c r="BT255" i="1" s="1"/>
  <c r="BP255" i="1"/>
  <c r="BQ255" i="1" s="1"/>
  <c r="BM255" i="1"/>
  <c r="BN255" i="1" s="1"/>
  <c r="BJ255" i="1"/>
  <c r="BK255" i="1" s="1"/>
  <c r="BH255" i="1"/>
  <c r="BG255" i="1"/>
  <c r="BD255" i="1"/>
  <c r="BE255" i="1" s="1"/>
  <c r="BA255" i="1"/>
  <c r="BB255" i="1" s="1"/>
  <c r="AX255" i="1"/>
  <c r="AY255" i="1" s="1"/>
  <c r="AU255" i="1"/>
  <c r="AV255" i="1" s="1"/>
  <c r="AS255" i="1"/>
  <c r="AR255" i="1"/>
  <c r="AO255" i="1"/>
  <c r="AP255" i="1" s="1"/>
  <c r="AL255" i="1"/>
  <c r="AM255" i="1" s="1"/>
  <c r="AI255" i="1"/>
  <c r="AJ255" i="1" s="1"/>
  <c r="AF255" i="1"/>
  <c r="AG255" i="1" s="1"/>
  <c r="AC255" i="1"/>
  <c r="AD255" i="1" s="1"/>
  <c r="Z255" i="1"/>
  <c r="AA255" i="1" s="1"/>
  <c r="W255" i="1"/>
  <c r="X255" i="1" s="1"/>
  <c r="T255" i="1"/>
  <c r="U255" i="1" s="1"/>
  <c r="R255" i="1"/>
  <c r="O255" i="1"/>
  <c r="L255" i="1"/>
  <c r="I255" i="1"/>
  <c r="DO254" i="1"/>
  <c r="DP254" i="1" s="1"/>
  <c r="DL254" i="1"/>
  <c r="DM254" i="1" s="1"/>
  <c r="DI254" i="1"/>
  <c r="DJ254" i="1" s="1"/>
  <c r="DF254" i="1"/>
  <c r="DG254" i="1" s="1"/>
  <c r="DC254" i="1"/>
  <c r="DD254" i="1" s="1"/>
  <c r="CZ254" i="1"/>
  <c r="DA254" i="1" s="1"/>
  <c r="CW254" i="1"/>
  <c r="CX254" i="1" s="1"/>
  <c r="CT254" i="1"/>
  <c r="CU254" i="1" s="1"/>
  <c r="CR254" i="1"/>
  <c r="CQ254" i="1"/>
  <c r="CO254" i="1"/>
  <c r="CN254" i="1"/>
  <c r="CK254" i="1"/>
  <c r="CL254" i="1" s="1"/>
  <c r="CH254" i="1"/>
  <c r="CI254" i="1" s="1"/>
  <c r="CE254" i="1"/>
  <c r="CF254" i="1" s="1"/>
  <c r="CB254" i="1"/>
  <c r="CC254" i="1" s="1"/>
  <c r="BY254" i="1"/>
  <c r="BZ254" i="1" s="1"/>
  <c r="BV254" i="1"/>
  <c r="BW254" i="1" s="1"/>
  <c r="BS254" i="1"/>
  <c r="BT254" i="1" s="1"/>
  <c r="BP254" i="1"/>
  <c r="BQ254" i="1" s="1"/>
  <c r="BM254" i="1"/>
  <c r="BN254" i="1" s="1"/>
  <c r="BJ254" i="1"/>
  <c r="BK254" i="1" s="1"/>
  <c r="BG254" i="1"/>
  <c r="BH254" i="1" s="1"/>
  <c r="BD254" i="1"/>
  <c r="BE254" i="1" s="1"/>
  <c r="BA254" i="1"/>
  <c r="BB254" i="1" s="1"/>
  <c r="AX254" i="1"/>
  <c r="AY254" i="1" s="1"/>
  <c r="AU254" i="1"/>
  <c r="AV254" i="1" s="1"/>
  <c r="AS254" i="1"/>
  <c r="AR254" i="1"/>
  <c r="AO254" i="1"/>
  <c r="AP254" i="1" s="1"/>
  <c r="AL254" i="1"/>
  <c r="AM254" i="1" s="1"/>
  <c r="AI254" i="1"/>
  <c r="AJ254" i="1" s="1"/>
  <c r="AF254" i="1"/>
  <c r="AG254" i="1" s="1"/>
  <c r="AC254" i="1"/>
  <c r="AD254" i="1" s="1"/>
  <c r="Z254" i="1"/>
  <c r="AA254" i="1" s="1"/>
  <c r="W254" i="1"/>
  <c r="X254" i="1" s="1"/>
  <c r="T254" i="1"/>
  <c r="U254" i="1" s="1"/>
  <c r="R254" i="1"/>
  <c r="O254" i="1"/>
  <c r="L254" i="1"/>
  <c r="I254" i="1"/>
  <c r="DO253" i="1"/>
  <c r="DP253" i="1" s="1"/>
  <c r="DL253" i="1"/>
  <c r="DM253" i="1" s="1"/>
  <c r="DI253" i="1"/>
  <c r="DJ253" i="1" s="1"/>
  <c r="DF253" i="1"/>
  <c r="DG253" i="1" s="1"/>
  <c r="DC253" i="1"/>
  <c r="DD253" i="1" s="1"/>
  <c r="CZ253" i="1"/>
  <c r="DA253" i="1" s="1"/>
  <c r="CW253" i="1"/>
  <c r="CX253" i="1" s="1"/>
  <c r="CT253" i="1"/>
  <c r="CU253" i="1" s="1"/>
  <c r="CQ253" i="1"/>
  <c r="CR253" i="1" s="1"/>
  <c r="CO253" i="1"/>
  <c r="CN253" i="1"/>
  <c r="CK253" i="1"/>
  <c r="CL253" i="1" s="1"/>
  <c r="CH253" i="1"/>
  <c r="CI253" i="1" s="1"/>
  <c r="CE253" i="1"/>
  <c r="CF253" i="1" s="1"/>
  <c r="CB253" i="1"/>
  <c r="CC253" i="1" s="1"/>
  <c r="BY253" i="1"/>
  <c r="BZ253" i="1" s="1"/>
  <c r="BV253" i="1"/>
  <c r="BW253" i="1" s="1"/>
  <c r="BS253" i="1"/>
  <c r="BT253" i="1" s="1"/>
  <c r="BP253" i="1"/>
  <c r="BQ253" i="1" s="1"/>
  <c r="BM253" i="1"/>
  <c r="BN253" i="1" s="1"/>
  <c r="BJ253" i="1"/>
  <c r="BK253" i="1" s="1"/>
  <c r="BG253" i="1"/>
  <c r="BH253" i="1" s="1"/>
  <c r="BD253" i="1"/>
  <c r="BE253" i="1" s="1"/>
  <c r="BA253" i="1"/>
  <c r="BB253" i="1" s="1"/>
  <c r="AX253" i="1"/>
  <c r="AY253" i="1" s="1"/>
  <c r="AU253" i="1"/>
  <c r="AV253" i="1" s="1"/>
  <c r="AS253" i="1"/>
  <c r="AR253" i="1"/>
  <c r="AO253" i="1"/>
  <c r="AP253" i="1" s="1"/>
  <c r="AL253" i="1"/>
  <c r="AM253" i="1" s="1"/>
  <c r="AI253" i="1"/>
  <c r="AJ253" i="1" s="1"/>
  <c r="AF253" i="1"/>
  <c r="AG253" i="1" s="1"/>
  <c r="AC253" i="1"/>
  <c r="AD253" i="1" s="1"/>
  <c r="Z253" i="1"/>
  <c r="AA253" i="1" s="1"/>
  <c r="W253" i="1"/>
  <c r="X253" i="1" s="1"/>
  <c r="T253" i="1"/>
  <c r="U253" i="1" s="1"/>
  <c r="R253" i="1"/>
  <c r="O253" i="1"/>
  <c r="L253" i="1"/>
  <c r="I253" i="1"/>
  <c r="DO252" i="1"/>
  <c r="DP252" i="1" s="1"/>
  <c r="DL252" i="1"/>
  <c r="DM252" i="1" s="1"/>
  <c r="DI252" i="1"/>
  <c r="DJ252" i="1" s="1"/>
  <c r="DF252" i="1"/>
  <c r="DG252" i="1" s="1"/>
  <c r="DC252" i="1"/>
  <c r="DD252" i="1" s="1"/>
  <c r="CZ252" i="1"/>
  <c r="DA252" i="1" s="1"/>
  <c r="CW252" i="1"/>
  <c r="CX252" i="1" s="1"/>
  <c r="CT252" i="1"/>
  <c r="CU252" i="1" s="1"/>
  <c r="CR252" i="1"/>
  <c r="CQ252" i="1"/>
  <c r="CN252" i="1"/>
  <c r="CO252" i="1" s="1"/>
  <c r="CK252" i="1"/>
  <c r="CL252" i="1" s="1"/>
  <c r="CH252" i="1"/>
  <c r="CI252" i="1" s="1"/>
  <c r="CE252" i="1"/>
  <c r="CF252" i="1" s="1"/>
  <c r="CB252" i="1"/>
  <c r="CC252" i="1" s="1"/>
  <c r="BY252" i="1"/>
  <c r="BZ252" i="1" s="1"/>
  <c r="BV252" i="1"/>
  <c r="BW252" i="1" s="1"/>
  <c r="BS252" i="1"/>
  <c r="BT252" i="1" s="1"/>
  <c r="BP252" i="1"/>
  <c r="BQ252" i="1" s="1"/>
  <c r="BM252" i="1"/>
  <c r="BN252" i="1" s="1"/>
  <c r="BJ252" i="1"/>
  <c r="BK252" i="1" s="1"/>
  <c r="BG252" i="1"/>
  <c r="BH252" i="1" s="1"/>
  <c r="BD252" i="1"/>
  <c r="BE252" i="1" s="1"/>
  <c r="BA252" i="1"/>
  <c r="BB252" i="1" s="1"/>
  <c r="AX252" i="1"/>
  <c r="AY252" i="1" s="1"/>
  <c r="AU252" i="1"/>
  <c r="AV252" i="1" s="1"/>
  <c r="AR252" i="1"/>
  <c r="AS252" i="1" s="1"/>
  <c r="AO252" i="1"/>
  <c r="AP252" i="1" s="1"/>
  <c r="AL252" i="1"/>
  <c r="AM252" i="1" s="1"/>
  <c r="AI252" i="1"/>
  <c r="AJ252" i="1" s="1"/>
  <c r="AF252" i="1"/>
  <c r="AG252" i="1" s="1"/>
  <c r="AC252" i="1"/>
  <c r="AD252" i="1" s="1"/>
  <c r="Z252" i="1"/>
  <c r="AA252" i="1" s="1"/>
  <c r="W252" i="1"/>
  <c r="X252" i="1" s="1"/>
  <c r="T252" i="1"/>
  <c r="U252" i="1" s="1"/>
  <c r="R252" i="1"/>
  <c r="O252" i="1"/>
  <c r="L252" i="1"/>
  <c r="I252" i="1"/>
  <c r="DO251" i="1"/>
  <c r="DP251" i="1" s="1"/>
  <c r="DL251" i="1"/>
  <c r="DM251" i="1" s="1"/>
  <c r="DI251" i="1"/>
  <c r="DJ251" i="1" s="1"/>
  <c r="DF251" i="1"/>
  <c r="DG251" i="1" s="1"/>
  <c r="DD251" i="1"/>
  <c r="DC251" i="1"/>
  <c r="CZ251" i="1"/>
  <c r="DA251" i="1" s="1"/>
  <c r="CW251" i="1"/>
  <c r="CX251" i="1" s="1"/>
  <c r="CT251" i="1"/>
  <c r="CU251" i="1" s="1"/>
  <c r="CR251" i="1"/>
  <c r="CQ251" i="1"/>
  <c r="CN251" i="1"/>
  <c r="CO251" i="1" s="1"/>
  <c r="CK251" i="1"/>
  <c r="CL251" i="1" s="1"/>
  <c r="CH251" i="1"/>
  <c r="CI251" i="1" s="1"/>
  <c r="CE251" i="1"/>
  <c r="CF251" i="1" s="1"/>
  <c r="CC251" i="1"/>
  <c r="CB251" i="1"/>
  <c r="BY251" i="1"/>
  <c r="BZ251" i="1" s="1"/>
  <c r="BV251" i="1"/>
  <c r="BW251" i="1" s="1"/>
  <c r="BS251" i="1"/>
  <c r="BT251" i="1" s="1"/>
  <c r="BP251" i="1"/>
  <c r="BQ251" i="1" s="1"/>
  <c r="BM251" i="1"/>
  <c r="BN251" i="1" s="1"/>
  <c r="BJ251" i="1"/>
  <c r="BK251" i="1" s="1"/>
  <c r="BH251" i="1"/>
  <c r="BG251" i="1"/>
  <c r="BD251" i="1"/>
  <c r="BE251" i="1" s="1"/>
  <c r="BA251" i="1"/>
  <c r="BB251" i="1" s="1"/>
  <c r="AX251" i="1"/>
  <c r="AY251" i="1" s="1"/>
  <c r="AU251" i="1"/>
  <c r="AV251" i="1" s="1"/>
  <c r="AR251" i="1"/>
  <c r="AS251" i="1" s="1"/>
  <c r="AP251" i="1"/>
  <c r="AO251" i="1"/>
  <c r="AL251" i="1"/>
  <c r="AM251" i="1" s="1"/>
  <c r="AI251" i="1"/>
  <c r="AJ251" i="1" s="1"/>
  <c r="AF251" i="1"/>
  <c r="AG251" i="1" s="1"/>
  <c r="AC251" i="1"/>
  <c r="AD251" i="1" s="1"/>
  <c r="Z251" i="1"/>
  <c r="AA251" i="1" s="1"/>
  <c r="X251" i="1"/>
  <c r="W251" i="1"/>
  <c r="T251" i="1"/>
  <c r="U251" i="1" s="1"/>
  <c r="R251" i="1"/>
  <c r="O251" i="1"/>
  <c r="L251" i="1"/>
  <c r="I251" i="1"/>
  <c r="DP250" i="1"/>
  <c r="DO250" i="1"/>
  <c r="DL250" i="1"/>
  <c r="DM250" i="1" s="1"/>
  <c r="DI250" i="1"/>
  <c r="DJ250" i="1" s="1"/>
  <c r="DF250" i="1"/>
  <c r="DG250" i="1" s="1"/>
  <c r="DC250" i="1"/>
  <c r="DD250" i="1" s="1"/>
  <c r="CZ250" i="1"/>
  <c r="DA250" i="1" s="1"/>
  <c r="CW250" i="1"/>
  <c r="CX250" i="1" s="1"/>
  <c r="CT250" i="1"/>
  <c r="CU250" i="1" s="1"/>
  <c r="CQ250" i="1"/>
  <c r="CR250" i="1" s="1"/>
  <c r="CN250" i="1"/>
  <c r="CO250" i="1" s="1"/>
  <c r="CK250" i="1"/>
  <c r="CL250" i="1" s="1"/>
  <c r="CH250" i="1"/>
  <c r="CI250" i="1" s="1"/>
  <c r="CE250" i="1"/>
  <c r="CF250" i="1" s="1"/>
  <c r="CB250" i="1"/>
  <c r="CC250" i="1" s="1"/>
  <c r="BY250" i="1"/>
  <c r="BZ250" i="1" s="1"/>
  <c r="BV250" i="1"/>
  <c r="BW250" i="1" s="1"/>
  <c r="BS250" i="1"/>
  <c r="BT250" i="1" s="1"/>
  <c r="BP250" i="1"/>
  <c r="BQ250" i="1" s="1"/>
  <c r="BN250" i="1"/>
  <c r="BM250" i="1"/>
  <c r="BJ250" i="1"/>
  <c r="BK250" i="1" s="1"/>
  <c r="BG250" i="1"/>
  <c r="BH250" i="1" s="1"/>
  <c r="BD250" i="1"/>
  <c r="BE250" i="1" s="1"/>
  <c r="BA250" i="1"/>
  <c r="BB250" i="1" s="1"/>
  <c r="AX250" i="1"/>
  <c r="AY250" i="1" s="1"/>
  <c r="AU250" i="1"/>
  <c r="AV250" i="1" s="1"/>
  <c r="AR250" i="1"/>
  <c r="AS250" i="1" s="1"/>
  <c r="AO250" i="1"/>
  <c r="AP250" i="1" s="1"/>
  <c r="AL250" i="1"/>
  <c r="AM250" i="1" s="1"/>
  <c r="AI250" i="1"/>
  <c r="AJ250" i="1" s="1"/>
  <c r="AF250" i="1"/>
  <c r="AG250" i="1" s="1"/>
  <c r="AD250" i="1"/>
  <c r="AC250" i="1"/>
  <c r="Z250" i="1"/>
  <c r="AA250" i="1" s="1"/>
  <c r="W250" i="1"/>
  <c r="X250" i="1" s="1"/>
  <c r="T250" i="1"/>
  <c r="U250" i="1" s="1"/>
  <c r="R250" i="1"/>
  <c r="O250" i="1"/>
  <c r="L250" i="1"/>
  <c r="I250" i="1"/>
  <c r="DO249" i="1"/>
  <c r="DP249" i="1" s="1"/>
  <c r="DL249" i="1"/>
  <c r="DM249" i="1" s="1"/>
  <c r="DI249" i="1"/>
  <c r="DJ249" i="1" s="1"/>
  <c r="DF249" i="1"/>
  <c r="DG249" i="1" s="1"/>
  <c r="DC249" i="1"/>
  <c r="DD249" i="1" s="1"/>
  <c r="DA249" i="1"/>
  <c r="CZ249" i="1"/>
  <c r="CW249" i="1"/>
  <c r="CX249" i="1" s="1"/>
  <c r="CT249" i="1"/>
  <c r="CU249" i="1" s="1"/>
  <c r="CR249" i="1"/>
  <c r="CQ249" i="1"/>
  <c r="CO249" i="1"/>
  <c r="CN249" i="1"/>
  <c r="CK249" i="1"/>
  <c r="CL249" i="1" s="1"/>
  <c r="CH249" i="1"/>
  <c r="CI249" i="1" s="1"/>
  <c r="CE249" i="1"/>
  <c r="CF249" i="1" s="1"/>
  <c r="CC249" i="1"/>
  <c r="CB249" i="1"/>
  <c r="BZ249" i="1"/>
  <c r="BY249" i="1"/>
  <c r="BV249" i="1"/>
  <c r="BW249" i="1" s="1"/>
  <c r="BS249" i="1"/>
  <c r="BT249" i="1" s="1"/>
  <c r="BP249" i="1"/>
  <c r="BQ249" i="1" s="1"/>
  <c r="BN249" i="1"/>
  <c r="BM249" i="1"/>
  <c r="BJ249" i="1"/>
  <c r="BK249" i="1" s="1"/>
  <c r="BG249" i="1"/>
  <c r="BH249" i="1" s="1"/>
  <c r="BD249" i="1"/>
  <c r="BE249" i="1" s="1"/>
  <c r="BA249" i="1"/>
  <c r="BB249" i="1" s="1"/>
  <c r="AX249" i="1"/>
  <c r="AY249" i="1" s="1"/>
  <c r="AU249" i="1"/>
  <c r="AV249" i="1" s="1"/>
  <c r="AR249" i="1"/>
  <c r="AS249" i="1" s="1"/>
  <c r="AO249" i="1"/>
  <c r="AP249" i="1" s="1"/>
  <c r="AL249" i="1"/>
  <c r="AM249" i="1" s="1"/>
  <c r="AJ249" i="1"/>
  <c r="AI249" i="1"/>
  <c r="AF249" i="1"/>
  <c r="AG249" i="1" s="1"/>
  <c r="AC249" i="1"/>
  <c r="AD249" i="1" s="1"/>
  <c r="Z249" i="1"/>
  <c r="AA249" i="1" s="1"/>
  <c r="X249" i="1"/>
  <c r="W249" i="1"/>
  <c r="T249" i="1"/>
  <c r="U249" i="1" s="1"/>
  <c r="R249" i="1"/>
  <c r="O249" i="1"/>
  <c r="L249" i="1"/>
  <c r="I249" i="1"/>
  <c r="DO248" i="1"/>
  <c r="DP248" i="1" s="1"/>
  <c r="DL248" i="1"/>
  <c r="DM248" i="1" s="1"/>
  <c r="DI248" i="1"/>
  <c r="DJ248" i="1" s="1"/>
  <c r="DF248" i="1"/>
  <c r="DG248" i="1" s="1"/>
  <c r="DC248" i="1"/>
  <c r="DD248" i="1" s="1"/>
  <c r="CZ248" i="1"/>
  <c r="DA248" i="1" s="1"/>
  <c r="CW248" i="1"/>
  <c r="CX248" i="1" s="1"/>
  <c r="CU248" i="1"/>
  <c r="CT248" i="1"/>
  <c r="CQ248" i="1"/>
  <c r="CR248" i="1" s="1"/>
  <c r="CN248" i="1"/>
  <c r="CO248" i="1" s="1"/>
  <c r="CK248" i="1"/>
  <c r="CL248" i="1" s="1"/>
  <c r="CH248" i="1"/>
  <c r="CI248" i="1" s="1"/>
  <c r="CF248" i="1"/>
  <c r="CE248" i="1"/>
  <c r="CB248" i="1"/>
  <c r="CC248" i="1" s="1"/>
  <c r="BY248" i="1"/>
  <c r="BZ248" i="1" s="1"/>
  <c r="BV248" i="1"/>
  <c r="BW248" i="1" s="1"/>
  <c r="BT248" i="1"/>
  <c r="BS248" i="1"/>
  <c r="BP248" i="1"/>
  <c r="BQ248" i="1" s="1"/>
  <c r="BM248" i="1"/>
  <c r="BN248" i="1" s="1"/>
  <c r="BJ248" i="1"/>
  <c r="BK248" i="1" s="1"/>
  <c r="BG248" i="1"/>
  <c r="BH248" i="1" s="1"/>
  <c r="BD248" i="1"/>
  <c r="BE248" i="1" s="1"/>
  <c r="BA248" i="1"/>
  <c r="BB248" i="1" s="1"/>
  <c r="AY248" i="1"/>
  <c r="AX248" i="1"/>
  <c r="AV248" i="1"/>
  <c r="AU248" i="1"/>
  <c r="AR248" i="1"/>
  <c r="AS248" i="1" s="1"/>
  <c r="AO248" i="1"/>
  <c r="AP248" i="1" s="1"/>
  <c r="AL248" i="1"/>
  <c r="AM248" i="1" s="1"/>
  <c r="AJ248" i="1"/>
  <c r="AI248" i="1"/>
  <c r="AF248" i="1"/>
  <c r="AG248" i="1" s="1"/>
  <c r="AC248" i="1"/>
  <c r="AD248" i="1" s="1"/>
  <c r="Z248" i="1"/>
  <c r="AA248" i="1" s="1"/>
  <c r="X248" i="1"/>
  <c r="W248" i="1"/>
  <c r="U248" i="1"/>
  <c r="T248" i="1"/>
  <c r="I248" i="1"/>
  <c r="DO247" i="1"/>
  <c r="DP247" i="1" s="1"/>
  <c r="DL247" i="1"/>
  <c r="DM247" i="1" s="1"/>
  <c r="DI247" i="1"/>
  <c r="DJ247" i="1" s="1"/>
  <c r="DF247" i="1"/>
  <c r="DG247" i="1" s="1"/>
  <c r="DC247" i="1"/>
  <c r="DD247" i="1" s="1"/>
  <c r="CZ247" i="1"/>
  <c r="DA247" i="1" s="1"/>
  <c r="CW247" i="1"/>
  <c r="CX247" i="1" s="1"/>
  <c r="CT247" i="1"/>
  <c r="CU247" i="1" s="1"/>
  <c r="CQ247" i="1"/>
  <c r="CR247" i="1" s="1"/>
  <c r="CO247" i="1"/>
  <c r="CN247" i="1"/>
  <c r="CK247" i="1"/>
  <c r="CL247" i="1" s="1"/>
  <c r="CH247" i="1"/>
  <c r="CI247" i="1" s="1"/>
  <c r="CE247" i="1"/>
  <c r="CF247" i="1" s="1"/>
  <c r="CB247" i="1"/>
  <c r="CC247" i="1" s="1"/>
  <c r="BY247" i="1"/>
  <c r="BZ247" i="1" s="1"/>
  <c r="BV247" i="1"/>
  <c r="BW247" i="1" s="1"/>
  <c r="BS247" i="1"/>
  <c r="BT247" i="1" s="1"/>
  <c r="BP247" i="1"/>
  <c r="BQ247" i="1" s="1"/>
  <c r="BM247" i="1"/>
  <c r="BN247" i="1" s="1"/>
  <c r="BJ247" i="1"/>
  <c r="BK247" i="1" s="1"/>
  <c r="BG247" i="1"/>
  <c r="BH247" i="1" s="1"/>
  <c r="BD247" i="1"/>
  <c r="BE247" i="1" s="1"/>
  <c r="BA247" i="1"/>
  <c r="BB247" i="1" s="1"/>
  <c r="AX247" i="1"/>
  <c r="AY247" i="1" s="1"/>
  <c r="AU247" i="1"/>
  <c r="AV247" i="1" s="1"/>
  <c r="AS247" i="1"/>
  <c r="AR247" i="1"/>
  <c r="AO247" i="1"/>
  <c r="AP247" i="1" s="1"/>
  <c r="AL247" i="1"/>
  <c r="AM247" i="1" s="1"/>
  <c r="AI247" i="1"/>
  <c r="AJ247" i="1" s="1"/>
  <c r="AF247" i="1"/>
  <c r="AG247" i="1" s="1"/>
  <c r="AC247" i="1"/>
  <c r="AD247" i="1" s="1"/>
  <c r="Z247" i="1"/>
  <c r="AA247" i="1" s="1"/>
  <c r="W247" i="1"/>
  <c r="X247" i="1" s="1"/>
  <c r="T247" i="1"/>
  <c r="U247" i="1" s="1"/>
  <c r="L247" i="1"/>
  <c r="I247" i="1"/>
  <c r="DO246" i="1"/>
  <c r="DP246" i="1" s="1"/>
  <c r="DL246" i="1"/>
  <c r="DM246" i="1" s="1"/>
  <c r="DJ246" i="1"/>
  <c r="DI246" i="1"/>
  <c r="DF246" i="1"/>
  <c r="DG246" i="1" s="1"/>
  <c r="DC246" i="1"/>
  <c r="DD246" i="1" s="1"/>
  <c r="DA246" i="1"/>
  <c r="CZ246" i="1"/>
  <c r="CW246" i="1"/>
  <c r="CX246" i="1" s="1"/>
  <c r="CT246" i="1"/>
  <c r="CU246" i="1" s="1"/>
  <c r="CQ246" i="1"/>
  <c r="CR246" i="1" s="1"/>
  <c r="CO246" i="1"/>
  <c r="CN246" i="1"/>
  <c r="CL246" i="1"/>
  <c r="CK246" i="1"/>
  <c r="CH246" i="1"/>
  <c r="CI246" i="1" s="1"/>
  <c r="CE246" i="1"/>
  <c r="CF246" i="1" s="1"/>
  <c r="CC246" i="1"/>
  <c r="CB246" i="1"/>
  <c r="BZ246" i="1"/>
  <c r="BY246" i="1"/>
  <c r="BV246" i="1"/>
  <c r="BW246" i="1" s="1"/>
  <c r="BS246" i="1"/>
  <c r="BT246" i="1" s="1"/>
  <c r="BP246" i="1"/>
  <c r="BQ246" i="1" s="1"/>
  <c r="BN246" i="1"/>
  <c r="BM246" i="1"/>
  <c r="BJ246" i="1"/>
  <c r="BK246" i="1" s="1"/>
  <c r="BG246" i="1"/>
  <c r="BH246" i="1" s="1"/>
  <c r="BE246" i="1"/>
  <c r="BD246" i="1"/>
  <c r="BA246" i="1"/>
  <c r="BB246" i="1" s="1"/>
  <c r="AX246" i="1"/>
  <c r="AY246" i="1" s="1"/>
  <c r="AU246" i="1"/>
  <c r="AV246" i="1" s="1"/>
  <c r="AS246" i="1"/>
  <c r="AR246" i="1"/>
  <c r="AP246" i="1"/>
  <c r="AO246" i="1"/>
  <c r="AL246" i="1"/>
  <c r="AM246" i="1" s="1"/>
  <c r="AI246" i="1"/>
  <c r="AJ246" i="1" s="1"/>
  <c r="AG246" i="1"/>
  <c r="AF246" i="1"/>
  <c r="AD246" i="1"/>
  <c r="AC246" i="1"/>
  <c r="Z246" i="1"/>
  <c r="AA246" i="1" s="1"/>
  <c r="W246" i="1"/>
  <c r="X246" i="1" s="1"/>
  <c r="T246" i="1"/>
  <c r="U246" i="1" s="1"/>
  <c r="R246" i="1"/>
  <c r="O246" i="1"/>
  <c r="L246" i="1"/>
  <c r="I246" i="1"/>
  <c r="DO245" i="1"/>
  <c r="DP245" i="1" s="1"/>
  <c r="DL245" i="1"/>
  <c r="DM245" i="1" s="1"/>
  <c r="DI245" i="1"/>
  <c r="DJ245" i="1" s="1"/>
  <c r="DF245" i="1"/>
  <c r="DG245" i="1" s="1"/>
  <c r="DC245" i="1"/>
  <c r="DD245" i="1" s="1"/>
  <c r="DA245" i="1"/>
  <c r="CZ245" i="1"/>
  <c r="CX245" i="1"/>
  <c r="CW245" i="1"/>
  <c r="CT245" i="1"/>
  <c r="CU245" i="1" s="1"/>
  <c r="CQ245" i="1"/>
  <c r="CR245" i="1" s="1"/>
  <c r="CN245" i="1"/>
  <c r="CO245" i="1" s="1"/>
  <c r="CK245" i="1"/>
  <c r="CL245" i="1" s="1"/>
  <c r="CH245" i="1"/>
  <c r="CI245" i="1" s="1"/>
  <c r="CE245" i="1"/>
  <c r="CF245" i="1" s="1"/>
  <c r="CB245" i="1"/>
  <c r="CC245" i="1" s="1"/>
  <c r="BY245" i="1"/>
  <c r="BZ245" i="1" s="1"/>
  <c r="BV245" i="1"/>
  <c r="BW245" i="1" s="1"/>
  <c r="BS245" i="1"/>
  <c r="BT245" i="1" s="1"/>
  <c r="BP245" i="1"/>
  <c r="BQ245" i="1" s="1"/>
  <c r="BN245" i="1"/>
  <c r="BM245" i="1"/>
  <c r="BJ245" i="1"/>
  <c r="BK245" i="1" s="1"/>
  <c r="BG245" i="1"/>
  <c r="BH245" i="1" s="1"/>
  <c r="BD245" i="1"/>
  <c r="BE245" i="1" s="1"/>
  <c r="BA245" i="1"/>
  <c r="BB245" i="1" s="1"/>
  <c r="AX245" i="1"/>
  <c r="AY245" i="1" s="1"/>
  <c r="AU245" i="1"/>
  <c r="AV245" i="1" s="1"/>
  <c r="AR245" i="1"/>
  <c r="AS245" i="1" s="1"/>
  <c r="AO245" i="1"/>
  <c r="AP245" i="1" s="1"/>
  <c r="AL245" i="1"/>
  <c r="AM245" i="1" s="1"/>
  <c r="AI245" i="1"/>
  <c r="AJ245" i="1" s="1"/>
  <c r="AF245" i="1"/>
  <c r="AG245" i="1" s="1"/>
  <c r="AD245" i="1"/>
  <c r="AC245" i="1"/>
  <c r="Z245" i="1"/>
  <c r="AA245" i="1" s="1"/>
  <c r="W245" i="1"/>
  <c r="X245" i="1" s="1"/>
  <c r="T245" i="1"/>
  <c r="U245" i="1" s="1"/>
  <c r="R245" i="1"/>
  <c r="O245" i="1"/>
  <c r="L245" i="1"/>
  <c r="I245" i="1"/>
  <c r="DO244" i="1"/>
  <c r="DP244" i="1" s="1"/>
  <c r="DL244" i="1"/>
  <c r="DM244" i="1" s="1"/>
  <c r="DI244" i="1"/>
  <c r="DJ244" i="1" s="1"/>
  <c r="DF244" i="1"/>
  <c r="DG244" i="1" s="1"/>
  <c r="DC244" i="1"/>
  <c r="DD244" i="1" s="1"/>
  <c r="DA244" i="1"/>
  <c r="CZ244" i="1"/>
  <c r="CW244" i="1"/>
  <c r="CX244" i="1" s="1"/>
  <c r="CT244" i="1"/>
  <c r="CU244" i="1" s="1"/>
  <c r="CQ244" i="1"/>
  <c r="CR244" i="1" s="1"/>
  <c r="CN244" i="1"/>
  <c r="CO244" i="1" s="1"/>
  <c r="CL244" i="1"/>
  <c r="CK244" i="1"/>
  <c r="CH244" i="1"/>
  <c r="CI244" i="1" s="1"/>
  <c r="CE244" i="1"/>
  <c r="CF244" i="1" s="1"/>
  <c r="CB244" i="1"/>
  <c r="CC244" i="1" s="1"/>
  <c r="BY244" i="1"/>
  <c r="BZ244" i="1" s="1"/>
  <c r="BV244" i="1"/>
  <c r="BW244" i="1" s="1"/>
  <c r="BS244" i="1"/>
  <c r="BT244" i="1" s="1"/>
  <c r="BP244" i="1"/>
  <c r="BQ244" i="1" s="1"/>
  <c r="BM244" i="1"/>
  <c r="BN244" i="1" s="1"/>
  <c r="BJ244" i="1"/>
  <c r="BK244" i="1" s="1"/>
  <c r="BG244" i="1"/>
  <c r="BH244" i="1" s="1"/>
  <c r="BE244" i="1"/>
  <c r="BD244" i="1"/>
  <c r="BA244" i="1"/>
  <c r="BB244" i="1" s="1"/>
  <c r="AX244" i="1"/>
  <c r="AY244" i="1" s="1"/>
  <c r="AU244" i="1"/>
  <c r="AV244" i="1" s="1"/>
  <c r="AR244" i="1"/>
  <c r="AS244" i="1" s="1"/>
  <c r="AP244" i="1"/>
  <c r="AO244" i="1"/>
  <c r="AL244" i="1"/>
  <c r="AM244" i="1" s="1"/>
  <c r="AI244" i="1"/>
  <c r="AJ244" i="1" s="1"/>
  <c r="AF244" i="1"/>
  <c r="AG244" i="1" s="1"/>
  <c r="AD244" i="1"/>
  <c r="AC244" i="1"/>
  <c r="Z244" i="1"/>
  <c r="AA244" i="1" s="1"/>
  <c r="W244" i="1"/>
  <c r="X244" i="1" s="1"/>
  <c r="T244" i="1"/>
  <c r="U244" i="1" s="1"/>
  <c r="L244" i="1"/>
  <c r="I244" i="1"/>
  <c r="DO243" i="1"/>
  <c r="DP243" i="1" s="1"/>
  <c r="DL243" i="1"/>
  <c r="DM243" i="1" s="1"/>
  <c r="DJ243" i="1"/>
  <c r="DI243" i="1"/>
  <c r="DF243" i="1"/>
  <c r="DG243" i="1" s="1"/>
  <c r="DC243" i="1"/>
  <c r="DD243" i="1" s="1"/>
  <c r="CZ243" i="1"/>
  <c r="DA243" i="1" s="1"/>
  <c r="CW243" i="1"/>
  <c r="CX243" i="1" s="1"/>
  <c r="CU243" i="1"/>
  <c r="CT243" i="1"/>
  <c r="CQ243" i="1"/>
  <c r="CR243" i="1" s="1"/>
  <c r="CN243" i="1"/>
  <c r="CO243" i="1" s="1"/>
  <c r="CK243" i="1"/>
  <c r="CL243" i="1" s="1"/>
  <c r="CH243" i="1"/>
  <c r="CI243" i="1" s="1"/>
  <c r="CE243" i="1"/>
  <c r="CF243" i="1" s="1"/>
  <c r="CB243" i="1"/>
  <c r="CC243" i="1" s="1"/>
  <c r="BY243" i="1"/>
  <c r="BZ243" i="1" s="1"/>
  <c r="BV243" i="1"/>
  <c r="BW243" i="1" s="1"/>
  <c r="BS243" i="1"/>
  <c r="BT243" i="1" s="1"/>
  <c r="BP243" i="1"/>
  <c r="BQ243" i="1" s="1"/>
  <c r="BN243" i="1"/>
  <c r="BM243" i="1"/>
  <c r="BJ243" i="1"/>
  <c r="BK243" i="1" s="1"/>
  <c r="BG243" i="1"/>
  <c r="BH243" i="1" s="1"/>
  <c r="BD243" i="1"/>
  <c r="BE243" i="1" s="1"/>
  <c r="BA243" i="1"/>
  <c r="BB243" i="1" s="1"/>
  <c r="AY243" i="1"/>
  <c r="AX243" i="1"/>
  <c r="AU243" i="1"/>
  <c r="AV243" i="1" s="1"/>
  <c r="AR243" i="1"/>
  <c r="AS243" i="1" s="1"/>
  <c r="AO243" i="1"/>
  <c r="AP243" i="1" s="1"/>
  <c r="AL243" i="1"/>
  <c r="AM243" i="1" s="1"/>
  <c r="AI243" i="1"/>
  <c r="AJ243" i="1" s="1"/>
  <c r="AF243" i="1"/>
  <c r="AG243" i="1" s="1"/>
  <c r="AC243" i="1"/>
  <c r="AD243" i="1" s="1"/>
  <c r="Z243" i="1"/>
  <c r="AA243" i="1" s="1"/>
  <c r="W243" i="1"/>
  <c r="X243" i="1" s="1"/>
  <c r="T243" i="1"/>
  <c r="U243" i="1" s="1"/>
  <c r="R243" i="1"/>
  <c r="O243" i="1"/>
  <c r="L243" i="1"/>
  <c r="I243" i="1"/>
  <c r="DO242" i="1"/>
  <c r="DP242" i="1" s="1"/>
  <c r="DL242" i="1"/>
  <c r="DM242" i="1" s="1"/>
  <c r="DI242" i="1"/>
  <c r="DJ242" i="1" s="1"/>
  <c r="DG242" i="1"/>
  <c r="DF242" i="1"/>
  <c r="DC242" i="1"/>
  <c r="DD242" i="1" s="1"/>
  <c r="CZ242" i="1"/>
  <c r="DA242" i="1" s="1"/>
  <c r="CW242" i="1"/>
  <c r="CX242" i="1" s="1"/>
  <c r="CT242" i="1"/>
  <c r="CU242" i="1" s="1"/>
  <c r="CQ242" i="1"/>
  <c r="CR242" i="1" s="1"/>
  <c r="CN242" i="1"/>
  <c r="CO242" i="1" s="1"/>
  <c r="CK242" i="1"/>
  <c r="CL242" i="1" s="1"/>
  <c r="CI242" i="1"/>
  <c r="CH242" i="1"/>
  <c r="CE242" i="1"/>
  <c r="CF242" i="1" s="1"/>
  <c r="CB242" i="1"/>
  <c r="CC242" i="1" s="1"/>
  <c r="BZ242" i="1"/>
  <c r="BY242" i="1"/>
  <c r="BV242" i="1"/>
  <c r="BW242" i="1" s="1"/>
  <c r="BS242" i="1"/>
  <c r="BT242" i="1" s="1"/>
  <c r="BP242" i="1"/>
  <c r="BQ242" i="1" s="1"/>
  <c r="BM242" i="1"/>
  <c r="BN242" i="1" s="1"/>
  <c r="BJ242" i="1"/>
  <c r="BK242" i="1" s="1"/>
  <c r="BG242" i="1"/>
  <c r="BH242" i="1" s="1"/>
  <c r="BD242" i="1"/>
  <c r="BE242" i="1" s="1"/>
  <c r="BB242" i="1"/>
  <c r="BA242" i="1"/>
  <c r="AX242" i="1"/>
  <c r="AY242" i="1" s="1"/>
  <c r="AU242" i="1"/>
  <c r="AV242" i="1" s="1"/>
  <c r="AR242" i="1"/>
  <c r="AS242" i="1" s="1"/>
  <c r="AO242" i="1"/>
  <c r="AP242" i="1" s="1"/>
  <c r="AL242" i="1"/>
  <c r="AM242" i="1" s="1"/>
  <c r="AI242" i="1"/>
  <c r="AJ242" i="1" s="1"/>
  <c r="AF242" i="1"/>
  <c r="AG242" i="1" s="1"/>
  <c r="AC242" i="1"/>
  <c r="AD242" i="1" s="1"/>
  <c r="Z242" i="1"/>
  <c r="AA242" i="1" s="1"/>
  <c r="W242" i="1"/>
  <c r="X242" i="1" s="1"/>
  <c r="T242" i="1"/>
  <c r="U242" i="1" s="1"/>
  <c r="R242" i="1"/>
  <c r="O242" i="1"/>
  <c r="L242" i="1"/>
  <c r="I242" i="1"/>
  <c r="DO241" i="1"/>
  <c r="DP241" i="1" s="1"/>
  <c r="DL241" i="1"/>
  <c r="DM241" i="1" s="1"/>
  <c r="DI241" i="1"/>
  <c r="DJ241" i="1" s="1"/>
  <c r="DG241" i="1"/>
  <c r="DF241" i="1"/>
  <c r="DC241" i="1"/>
  <c r="DD241" i="1" s="1"/>
  <c r="CZ241" i="1"/>
  <c r="DA241" i="1" s="1"/>
  <c r="CW241" i="1"/>
  <c r="CX241" i="1" s="1"/>
  <c r="CT241" i="1"/>
  <c r="CU241" i="1" s="1"/>
  <c r="CQ241" i="1"/>
  <c r="CR241" i="1" s="1"/>
  <c r="CN241" i="1"/>
  <c r="CO241" i="1" s="1"/>
  <c r="CL241" i="1"/>
  <c r="CK241" i="1"/>
  <c r="CH241" i="1"/>
  <c r="CI241" i="1" s="1"/>
  <c r="CE241" i="1"/>
  <c r="CF241" i="1" s="1"/>
  <c r="CB241" i="1"/>
  <c r="CC241" i="1" s="1"/>
  <c r="BY241" i="1"/>
  <c r="BZ241" i="1" s="1"/>
  <c r="BW241" i="1"/>
  <c r="BV241" i="1"/>
  <c r="BS241" i="1"/>
  <c r="BT241" i="1" s="1"/>
  <c r="BP241" i="1"/>
  <c r="BQ241" i="1" s="1"/>
  <c r="BM241" i="1"/>
  <c r="BN241" i="1" s="1"/>
  <c r="BJ241" i="1"/>
  <c r="BK241" i="1" s="1"/>
  <c r="BG241" i="1"/>
  <c r="BH241" i="1" s="1"/>
  <c r="BD241" i="1"/>
  <c r="BE241" i="1" s="1"/>
  <c r="BB241" i="1"/>
  <c r="BA241" i="1"/>
  <c r="AX241" i="1"/>
  <c r="AY241" i="1" s="1"/>
  <c r="AU241" i="1"/>
  <c r="AV241" i="1" s="1"/>
  <c r="AR241" i="1"/>
  <c r="AS241" i="1" s="1"/>
  <c r="AO241" i="1"/>
  <c r="AP241" i="1" s="1"/>
  <c r="AL241" i="1"/>
  <c r="AM241" i="1" s="1"/>
  <c r="AI241" i="1"/>
  <c r="AJ241" i="1" s="1"/>
  <c r="AF241" i="1"/>
  <c r="AG241" i="1" s="1"/>
  <c r="AC241" i="1"/>
  <c r="AD241" i="1" s="1"/>
  <c r="Z241" i="1"/>
  <c r="AA241" i="1" s="1"/>
  <c r="W241" i="1"/>
  <c r="X241" i="1" s="1"/>
  <c r="T241" i="1"/>
  <c r="U241" i="1" s="1"/>
  <c r="R241" i="1"/>
  <c r="O241" i="1"/>
  <c r="L241" i="1"/>
  <c r="I241" i="1"/>
  <c r="DO240" i="1"/>
  <c r="DP240" i="1" s="1"/>
  <c r="DL240" i="1"/>
  <c r="DM240" i="1" s="1"/>
  <c r="DI240" i="1"/>
  <c r="DJ240" i="1" s="1"/>
  <c r="DG240" i="1"/>
  <c r="DF240" i="1"/>
  <c r="DC240" i="1"/>
  <c r="DD240" i="1" s="1"/>
  <c r="CZ240" i="1"/>
  <c r="DA240" i="1" s="1"/>
  <c r="CW240" i="1"/>
  <c r="CX240" i="1" s="1"/>
  <c r="CU240" i="1"/>
  <c r="CT240" i="1"/>
  <c r="CQ240" i="1"/>
  <c r="CR240" i="1" s="1"/>
  <c r="CN240" i="1"/>
  <c r="CO240" i="1" s="1"/>
  <c r="CK240" i="1"/>
  <c r="CL240" i="1" s="1"/>
  <c r="CH240" i="1"/>
  <c r="CI240" i="1" s="1"/>
  <c r="CE240" i="1"/>
  <c r="CF240" i="1" s="1"/>
  <c r="CB240" i="1"/>
  <c r="CC240" i="1" s="1"/>
  <c r="BY240" i="1"/>
  <c r="BZ240" i="1" s="1"/>
  <c r="BV240" i="1"/>
  <c r="BW240" i="1" s="1"/>
  <c r="BS240" i="1"/>
  <c r="BT240" i="1" s="1"/>
  <c r="BP240" i="1"/>
  <c r="BQ240" i="1" s="1"/>
  <c r="BM240" i="1"/>
  <c r="BN240" i="1" s="1"/>
  <c r="BJ240" i="1"/>
  <c r="BK240" i="1" s="1"/>
  <c r="BG240" i="1"/>
  <c r="BH240" i="1" s="1"/>
  <c r="BD240" i="1"/>
  <c r="BE240" i="1" s="1"/>
  <c r="BA240" i="1"/>
  <c r="BB240" i="1" s="1"/>
  <c r="AY240" i="1"/>
  <c r="AX240" i="1"/>
  <c r="AU240" i="1"/>
  <c r="AV240" i="1" s="1"/>
  <c r="AR240" i="1"/>
  <c r="AS240" i="1" s="1"/>
  <c r="AP240" i="1"/>
  <c r="AO240" i="1"/>
  <c r="AL240" i="1"/>
  <c r="AM240" i="1" s="1"/>
  <c r="AI240" i="1"/>
  <c r="AJ240" i="1" s="1"/>
  <c r="AF240" i="1"/>
  <c r="AG240" i="1" s="1"/>
  <c r="AC240" i="1"/>
  <c r="AD240" i="1" s="1"/>
  <c r="Z240" i="1"/>
  <c r="AA240" i="1" s="1"/>
  <c r="W240" i="1"/>
  <c r="X240" i="1" s="1"/>
  <c r="T240" i="1"/>
  <c r="U240" i="1" s="1"/>
  <c r="R240" i="1"/>
  <c r="O240" i="1"/>
  <c r="L240" i="1"/>
  <c r="I240" i="1"/>
  <c r="DO239" i="1"/>
  <c r="DP239" i="1" s="1"/>
  <c r="DL239" i="1"/>
  <c r="DM239" i="1" s="1"/>
  <c r="DI239" i="1"/>
  <c r="DJ239" i="1" s="1"/>
  <c r="DG239" i="1"/>
  <c r="DF239" i="1"/>
  <c r="DC239" i="1"/>
  <c r="DD239" i="1" s="1"/>
  <c r="CZ239" i="1"/>
  <c r="DA239" i="1" s="1"/>
  <c r="CW239" i="1"/>
  <c r="CX239" i="1" s="1"/>
  <c r="CT239" i="1"/>
  <c r="CU239" i="1" s="1"/>
  <c r="CQ239" i="1"/>
  <c r="CR239" i="1" s="1"/>
  <c r="CN239" i="1"/>
  <c r="CO239" i="1" s="1"/>
  <c r="CL239" i="1"/>
  <c r="CK239" i="1"/>
  <c r="CH239" i="1"/>
  <c r="CI239" i="1" s="1"/>
  <c r="CE239" i="1"/>
  <c r="CF239" i="1" s="1"/>
  <c r="CB239" i="1"/>
  <c r="CC239" i="1" s="1"/>
  <c r="BY239" i="1"/>
  <c r="BZ239" i="1" s="1"/>
  <c r="BW239" i="1"/>
  <c r="BV239" i="1"/>
  <c r="BS239" i="1"/>
  <c r="BT239" i="1" s="1"/>
  <c r="BP239" i="1"/>
  <c r="BQ239" i="1" s="1"/>
  <c r="BM239" i="1"/>
  <c r="BN239" i="1" s="1"/>
  <c r="BJ239" i="1"/>
  <c r="BK239" i="1" s="1"/>
  <c r="BG239" i="1"/>
  <c r="BH239" i="1" s="1"/>
  <c r="BD239" i="1"/>
  <c r="BE239" i="1" s="1"/>
  <c r="BB239" i="1"/>
  <c r="BA239" i="1"/>
  <c r="AX239" i="1"/>
  <c r="AY239" i="1" s="1"/>
  <c r="AU239" i="1"/>
  <c r="AV239" i="1" s="1"/>
  <c r="AR239" i="1"/>
  <c r="AS239" i="1" s="1"/>
  <c r="AO239" i="1"/>
  <c r="AP239" i="1" s="1"/>
  <c r="AM239" i="1"/>
  <c r="AL239" i="1"/>
  <c r="AI239" i="1"/>
  <c r="AJ239" i="1" s="1"/>
  <c r="AF239" i="1"/>
  <c r="AG239" i="1" s="1"/>
  <c r="AC239" i="1"/>
  <c r="AD239" i="1" s="1"/>
  <c r="Z239" i="1"/>
  <c r="AA239" i="1" s="1"/>
  <c r="W239" i="1"/>
  <c r="X239" i="1" s="1"/>
  <c r="T239" i="1"/>
  <c r="U239" i="1" s="1"/>
  <c r="O239" i="1"/>
  <c r="L239" i="1"/>
  <c r="I239" i="1"/>
  <c r="DO238" i="1"/>
  <c r="DP238" i="1" s="1"/>
  <c r="DL238" i="1"/>
  <c r="DM238" i="1" s="1"/>
  <c r="DJ238" i="1"/>
  <c r="DI238" i="1"/>
  <c r="DF238" i="1"/>
  <c r="DG238" i="1" s="1"/>
  <c r="DC238" i="1"/>
  <c r="DD238" i="1" s="1"/>
  <c r="CZ238" i="1"/>
  <c r="DA238" i="1" s="1"/>
  <c r="CW238" i="1"/>
  <c r="CX238" i="1" s="1"/>
  <c r="CT238" i="1"/>
  <c r="CU238" i="1" s="1"/>
  <c r="CQ238" i="1"/>
  <c r="CR238" i="1" s="1"/>
  <c r="CN238" i="1"/>
  <c r="CO238" i="1" s="1"/>
  <c r="CK238" i="1"/>
  <c r="CL238" i="1" s="1"/>
  <c r="CI238" i="1"/>
  <c r="CH238" i="1"/>
  <c r="CF238" i="1"/>
  <c r="CE238" i="1"/>
  <c r="CB238" i="1"/>
  <c r="CC238" i="1" s="1"/>
  <c r="BY238" i="1"/>
  <c r="BZ238" i="1" s="1"/>
  <c r="BV238" i="1"/>
  <c r="BW238" i="1" s="1"/>
  <c r="BS238" i="1"/>
  <c r="BT238" i="1" s="1"/>
  <c r="BP238" i="1"/>
  <c r="BQ238" i="1" s="1"/>
  <c r="BN238" i="1"/>
  <c r="BM238" i="1"/>
  <c r="BJ238" i="1"/>
  <c r="BK238" i="1" s="1"/>
  <c r="BG238" i="1"/>
  <c r="BH238" i="1" s="1"/>
  <c r="BD238" i="1"/>
  <c r="BE238" i="1" s="1"/>
  <c r="BA238" i="1"/>
  <c r="BB238" i="1" s="1"/>
  <c r="AX238" i="1"/>
  <c r="AY238" i="1" s="1"/>
  <c r="AU238" i="1"/>
  <c r="AV238" i="1" s="1"/>
  <c r="AR238" i="1"/>
  <c r="AS238" i="1" s="1"/>
  <c r="AO238" i="1"/>
  <c r="AP238" i="1" s="1"/>
  <c r="AL238" i="1"/>
  <c r="AM238" i="1" s="1"/>
  <c r="AJ238" i="1"/>
  <c r="AI238" i="1"/>
  <c r="AF238" i="1"/>
  <c r="AG238" i="1" s="1"/>
  <c r="AC238" i="1"/>
  <c r="AD238" i="1" s="1"/>
  <c r="AA238" i="1"/>
  <c r="Z238" i="1"/>
  <c r="W238" i="1"/>
  <c r="X238" i="1" s="1"/>
  <c r="T238" i="1"/>
  <c r="U238" i="1" s="1"/>
  <c r="R238" i="1"/>
  <c r="O238" i="1"/>
  <c r="L238" i="1"/>
  <c r="I238" i="1"/>
  <c r="DO237" i="1"/>
  <c r="DP237" i="1" s="1"/>
  <c r="DL237" i="1"/>
  <c r="DM237" i="1" s="1"/>
  <c r="DI237" i="1"/>
  <c r="DJ237" i="1" s="1"/>
  <c r="DF237" i="1"/>
  <c r="DG237" i="1" s="1"/>
  <c r="DC237" i="1"/>
  <c r="DD237" i="1" s="1"/>
  <c r="DA237" i="1"/>
  <c r="CZ237" i="1"/>
  <c r="CW237" i="1"/>
  <c r="CX237" i="1" s="1"/>
  <c r="CT237" i="1"/>
  <c r="CU237" i="1" s="1"/>
  <c r="CR237" i="1"/>
  <c r="CQ237" i="1"/>
  <c r="CN237" i="1"/>
  <c r="CO237" i="1" s="1"/>
  <c r="CK237" i="1"/>
  <c r="CL237" i="1" s="1"/>
  <c r="CH237" i="1"/>
  <c r="CI237" i="1" s="1"/>
  <c r="CE237" i="1"/>
  <c r="CF237" i="1" s="1"/>
  <c r="CC237" i="1"/>
  <c r="CB237" i="1"/>
  <c r="BY237" i="1"/>
  <c r="BZ237" i="1" s="1"/>
  <c r="BV237" i="1"/>
  <c r="BW237" i="1" s="1"/>
  <c r="BT237" i="1"/>
  <c r="BS237" i="1"/>
  <c r="BP237" i="1"/>
  <c r="BQ237" i="1" s="1"/>
  <c r="BM237" i="1"/>
  <c r="BN237" i="1" s="1"/>
  <c r="BK237" i="1"/>
  <c r="BJ237" i="1"/>
  <c r="BH237" i="1"/>
  <c r="BG237" i="1"/>
  <c r="BD237" i="1"/>
  <c r="BE237" i="1" s="1"/>
  <c r="BA237" i="1"/>
  <c r="BB237" i="1" s="1"/>
  <c r="AX237" i="1"/>
  <c r="AY237" i="1" s="1"/>
  <c r="AV237" i="1"/>
  <c r="AU237" i="1"/>
  <c r="AS237" i="1"/>
  <c r="AR237" i="1"/>
  <c r="AO237" i="1"/>
  <c r="AP237" i="1" s="1"/>
  <c r="AL237" i="1"/>
  <c r="AM237" i="1" s="1"/>
  <c r="AJ237" i="1"/>
  <c r="AI237" i="1"/>
  <c r="AG237" i="1"/>
  <c r="AF237" i="1"/>
  <c r="AC237" i="1"/>
  <c r="AD237" i="1" s="1"/>
  <c r="AA237" i="1"/>
  <c r="Z237" i="1"/>
  <c r="W237" i="1"/>
  <c r="X237" i="1" s="1"/>
  <c r="T237" i="1"/>
  <c r="U237" i="1" s="1"/>
  <c r="R237" i="1"/>
  <c r="O237" i="1"/>
  <c r="L237" i="1"/>
  <c r="I237" i="1"/>
  <c r="DO236" i="1"/>
  <c r="DP236" i="1" s="1"/>
  <c r="DL236" i="1"/>
  <c r="DM236" i="1" s="1"/>
  <c r="DI236" i="1"/>
  <c r="DJ236" i="1" s="1"/>
  <c r="DF236" i="1"/>
  <c r="DG236" i="1" s="1"/>
  <c r="DC236" i="1"/>
  <c r="DD236" i="1" s="1"/>
  <c r="DA236" i="1"/>
  <c r="CZ236" i="1"/>
  <c r="CW236" i="1"/>
  <c r="CX236" i="1" s="1"/>
  <c r="CT236" i="1"/>
  <c r="CU236" i="1" s="1"/>
  <c r="CQ236" i="1"/>
  <c r="CR236" i="1" s="1"/>
  <c r="CO236" i="1"/>
  <c r="CN236" i="1"/>
  <c r="CK236" i="1"/>
  <c r="CL236" i="1" s="1"/>
  <c r="CH236" i="1"/>
  <c r="CI236" i="1" s="1"/>
  <c r="CE236" i="1"/>
  <c r="CF236" i="1" s="1"/>
  <c r="CB236" i="1"/>
  <c r="CC236" i="1" s="1"/>
  <c r="BY236" i="1"/>
  <c r="BZ236" i="1" s="1"/>
  <c r="BW236" i="1"/>
  <c r="BV236" i="1"/>
  <c r="BS236" i="1"/>
  <c r="BT236" i="1" s="1"/>
  <c r="BP236" i="1"/>
  <c r="BQ236" i="1" s="1"/>
  <c r="BM236" i="1"/>
  <c r="BN236" i="1" s="1"/>
  <c r="BJ236" i="1"/>
  <c r="BK236" i="1" s="1"/>
  <c r="BH236" i="1"/>
  <c r="BG236" i="1"/>
  <c r="BD236" i="1"/>
  <c r="BE236" i="1" s="1"/>
  <c r="BA236" i="1"/>
  <c r="BB236" i="1" s="1"/>
  <c r="AX236" i="1"/>
  <c r="AY236" i="1" s="1"/>
  <c r="AV236" i="1"/>
  <c r="AU236" i="1"/>
  <c r="AR236" i="1"/>
  <c r="AS236" i="1" s="1"/>
  <c r="AO236" i="1"/>
  <c r="AP236" i="1" s="1"/>
  <c r="AL236" i="1"/>
  <c r="AM236" i="1" s="1"/>
  <c r="AJ236" i="1"/>
  <c r="AI236" i="1"/>
  <c r="AF236" i="1"/>
  <c r="AG236" i="1" s="1"/>
  <c r="AC236" i="1"/>
  <c r="AD236" i="1" s="1"/>
  <c r="Z236" i="1"/>
  <c r="AA236" i="1" s="1"/>
  <c r="W236" i="1"/>
  <c r="X236" i="1" s="1"/>
  <c r="U236" i="1"/>
  <c r="T236" i="1"/>
  <c r="R236" i="1"/>
  <c r="O236" i="1"/>
  <c r="L236" i="1"/>
  <c r="I236" i="1"/>
  <c r="DO235" i="1"/>
  <c r="DP235" i="1" s="1"/>
  <c r="DL235" i="1"/>
  <c r="DM235" i="1" s="1"/>
  <c r="DI235" i="1"/>
  <c r="DJ235" i="1" s="1"/>
  <c r="DF235" i="1"/>
  <c r="DG235" i="1" s="1"/>
  <c r="DC235" i="1"/>
  <c r="DD235" i="1" s="1"/>
  <c r="CZ235" i="1"/>
  <c r="DA235" i="1" s="1"/>
  <c r="CW235" i="1"/>
  <c r="CX235" i="1" s="1"/>
  <c r="CU235" i="1"/>
  <c r="CT235" i="1"/>
  <c r="CQ235" i="1"/>
  <c r="CR235" i="1" s="1"/>
  <c r="CN235" i="1"/>
  <c r="CO235" i="1" s="1"/>
  <c r="CK235" i="1"/>
  <c r="CL235" i="1" s="1"/>
  <c r="CH235" i="1"/>
  <c r="CI235" i="1" s="1"/>
  <c r="CE235" i="1"/>
  <c r="CF235" i="1" s="1"/>
  <c r="CB235" i="1"/>
  <c r="CC235" i="1" s="1"/>
  <c r="BY235" i="1"/>
  <c r="BZ235" i="1" s="1"/>
  <c r="BV235" i="1"/>
  <c r="BW235" i="1" s="1"/>
  <c r="BS235" i="1"/>
  <c r="BT235" i="1" s="1"/>
  <c r="BQ235" i="1"/>
  <c r="BP235" i="1"/>
  <c r="BM235" i="1"/>
  <c r="BN235" i="1" s="1"/>
  <c r="BK235" i="1"/>
  <c r="BJ235" i="1"/>
  <c r="BG235" i="1"/>
  <c r="BH235" i="1" s="1"/>
  <c r="BE235" i="1"/>
  <c r="BD235" i="1"/>
  <c r="BA235" i="1"/>
  <c r="BB235" i="1" s="1"/>
  <c r="AY235" i="1"/>
  <c r="AX235" i="1"/>
  <c r="AU235" i="1"/>
  <c r="AV235" i="1" s="1"/>
  <c r="AR235" i="1"/>
  <c r="AS235" i="1" s="1"/>
  <c r="AO235" i="1"/>
  <c r="AP235" i="1" s="1"/>
  <c r="AL235" i="1"/>
  <c r="AM235" i="1" s="1"/>
  <c r="AJ235" i="1"/>
  <c r="AI235" i="1"/>
  <c r="AF235" i="1"/>
  <c r="AG235" i="1" s="1"/>
  <c r="AC235" i="1"/>
  <c r="AD235" i="1" s="1"/>
  <c r="AA235" i="1"/>
  <c r="Z235" i="1"/>
  <c r="X235" i="1"/>
  <c r="W235" i="1"/>
  <c r="U235" i="1"/>
  <c r="T235" i="1"/>
  <c r="R235" i="1"/>
  <c r="O235" i="1"/>
  <c r="L235" i="1"/>
  <c r="I235" i="1"/>
  <c r="DP234" i="1"/>
  <c r="DO234" i="1"/>
  <c r="DM234" i="1"/>
  <c r="DL234" i="1"/>
  <c r="DI234" i="1"/>
  <c r="DJ234" i="1" s="1"/>
  <c r="DF234" i="1"/>
  <c r="DG234" i="1" s="1"/>
  <c r="DD234" i="1"/>
  <c r="DC234" i="1"/>
  <c r="DA234" i="1"/>
  <c r="CZ234" i="1"/>
  <c r="CW234" i="1"/>
  <c r="CX234" i="1" s="1"/>
  <c r="CT234" i="1"/>
  <c r="CU234" i="1" s="1"/>
  <c r="CQ234" i="1"/>
  <c r="CR234" i="1" s="1"/>
  <c r="CN234" i="1"/>
  <c r="CO234" i="1" s="1"/>
  <c r="CK234" i="1"/>
  <c r="CL234" i="1" s="1"/>
  <c r="CH234" i="1"/>
  <c r="CI234" i="1" s="1"/>
  <c r="CF234" i="1"/>
  <c r="CE234" i="1"/>
  <c r="CB234" i="1"/>
  <c r="CC234" i="1" s="1"/>
  <c r="BY234" i="1"/>
  <c r="BZ234" i="1" s="1"/>
  <c r="BV234" i="1"/>
  <c r="BW234" i="1" s="1"/>
  <c r="BT234" i="1"/>
  <c r="BS234" i="1"/>
  <c r="BP234" i="1"/>
  <c r="BQ234" i="1" s="1"/>
  <c r="BM234" i="1"/>
  <c r="BN234" i="1" s="1"/>
  <c r="BJ234" i="1"/>
  <c r="BK234" i="1" s="1"/>
  <c r="BG234" i="1"/>
  <c r="BH234" i="1" s="1"/>
  <c r="BE234" i="1"/>
  <c r="BD234" i="1"/>
  <c r="BA234" i="1"/>
  <c r="BB234" i="1" s="1"/>
  <c r="AY234" i="1"/>
  <c r="AX234" i="1"/>
  <c r="AV234" i="1"/>
  <c r="AU234" i="1"/>
  <c r="AR234" i="1"/>
  <c r="AS234" i="1" s="1"/>
  <c r="AO234" i="1"/>
  <c r="AP234" i="1" s="1"/>
  <c r="AL234" i="1"/>
  <c r="AM234" i="1" s="1"/>
  <c r="AJ234" i="1"/>
  <c r="AI234" i="1"/>
  <c r="AG234" i="1"/>
  <c r="AF234" i="1"/>
  <c r="AC234" i="1"/>
  <c r="AD234" i="1" s="1"/>
  <c r="Z234" i="1"/>
  <c r="AA234" i="1" s="1"/>
  <c r="X234" i="1"/>
  <c r="W234" i="1"/>
  <c r="U234" i="1"/>
  <c r="T234" i="1"/>
  <c r="R234" i="1"/>
  <c r="O234" i="1"/>
  <c r="L234" i="1"/>
  <c r="I234" i="1"/>
  <c r="DP233" i="1"/>
  <c r="DO233" i="1"/>
  <c r="DM233" i="1"/>
  <c r="DL233" i="1"/>
  <c r="DI233" i="1"/>
  <c r="DJ233" i="1" s="1"/>
  <c r="DF233" i="1"/>
  <c r="DG233" i="1" s="1"/>
  <c r="DC233" i="1"/>
  <c r="DD233" i="1" s="1"/>
  <c r="DA233" i="1"/>
  <c r="CZ233" i="1"/>
  <c r="CW233" i="1"/>
  <c r="CX233" i="1" s="1"/>
  <c r="CT233" i="1"/>
  <c r="CU233" i="1" s="1"/>
  <c r="CR233" i="1"/>
  <c r="CQ233" i="1"/>
  <c r="CN233" i="1"/>
  <c r="CO233" i="1" s="1"/>
  <c r="CK233" i="1"/>
  <c r="CL233" i="1" s="1"/>
  <c r="CH233" i="1"/>
  <c r="CI233" i="1" s="1"/>
  <c r="CE233" i="1"/>
  <c r="CF233" i="1" s="1"/>
  <c r="CB233" i="1"/>
  <c r="CC233" i="1" s="1"/>
  <c r="BY233" i="1"/>
  <c r="BZ233" i="1" s="1"/>
  <c r="BV233" i="1"/>
  <c r="BW233" i="1" s="1"/>
  <c r="BT233" i="1"/>
  <c r="BS233" i="1"/>
  <c r="BP233" i="1"/>
  <c r="BQ233" i="1" s="1"/>
  <c r="BM233" i="1"/>
  <c r="BN233" i="1" s="1"/>
  <c r="BK233" i="1"/>
  <c r="BJ233" i="1"/>
  <c r="BH233" i="1"/>
  <c r="BG233" i="1"/>
  <c r="BD233" i="1"/>
  <c r="BE233" i="1" s="1"/>
  <c r="BA233" i="1"/>
  <c r="BB233" i="1" s="1"/>
  <c r="AX233" i="1"/>
  <c r="AY233" i="1" s="1"/>
  <c r="AV233" i="1"/>
  <c r="AU233" i="1"/>
  <c r="AS233" i="1"/>
  <c r="AR233" i="1"/>
  <c r="AO233" i="1"/>
  <c r="AP233" i="1" s="1"/>
  <c r="AL233" i="1"/>
  <c r="AM233" i="1" s="1"/>
  <c r="AI233" i="1"/>
  <c r="AJ233" i="1" s="1"/>
  <c r="AF233" i="1"/>
  <c r="AG233" i="1" s="1"/>
  <c r="AC233" i="1"/>
  <c r="AD233" i="1" s="1"/>
  <c r="AA233" i="1"/>
  <c r="Z233" i="1"/>
  <c r="W233" i="1"/>
  <c r="X233" i="1" s="1"/>
  <c r="T233" i="1"/>
  <c r="U233" i="1" s="1"/>
  <c r="R233" i="1"/>
  <c r="O233" i="1"/>
  <c r="L233" i="1"/>
  <c r="I233" i="1"/>
  <c r="DO232" i="1"/>
  <c r="DP232" i="1" s="1"/>
  <c r="DL232" i="1"/>
  <c r="DM232" i="1" s="1"/>
  <c r="DI232" i="1"/>
  <c r="DJ232" i="1" s="1"/>
  <c r="DF232" i="1"/>
  <c r="DG232" i="1" s="1"/>
  <c r="DD232" i="1"/>
  <c r="DC232" i="1"/>
  <c r="CZ232" i="1"/>
  <c r="DA232" i="1" s="1"/>
  <c r="CW232" i="1"/>
  <c r="CX232" i="1" s="1"/>
  <c r="CU232" i="1"/>
  <c r="CT232" i="1"/>
  <c r="CQ232" i="1"/>
  <c r="CR232" i="1" s="1"/>
  <c r="CN232" i="1"/>
  <c r="CO232" i="1" s="1"/>
  <c r="CK232" i="1"/>
  <c r="CL232" i="1" s="1"/>
  <c r="CH232" i="1"/>
  <c r="CI232" i="1" s="1"/>
  <c r="CE232" i="1"/>
  <c r="CF232" i="1" s="1"/>
  <c r="CC232" i="1"/>
  <c r="CB232" i="1"/>
  <c r="BY232" i="1"/>
  <c r="BZ232" i="1" s="1"/>
  <c r="BW232" i="1"/>
  <c r="BV232" i="1"/>
  <c r="BS232" i="1"/>
  <c r="BT232" i="1" s="1"/>
  <c r="BP232" i="1"/>
  <c r="BQ232" i="1" s="1"/>
  <c r="BM232" i="1"/>
  <c r="BN232" i="1" s="1"/>
  <c r="BJ232" i="1"/>
  <c r="BK232" i="1" s="1"/>
  <c r="BH232" i="1"/>
  <c r="BG232" i="1"/>
  <c r="BD232" i="1"/>
  <c r="BE232" i="1" s="1"/>
  <c r="BA232" i="1"/>
  <c r="BB232" i="1" s="1"/>
  <c r="AY232" i="1"/>
  <c r="AX232" i="1"/>
  <c r="AV232" i="1"/>
  <c r="AU232" i="1"/>
  <c r="AR232" i="1"/>
  <c r="AS232" i="1" s="1"/>
  <c r="AO232" i="1"/>
  <c r="AP232" i="1" s="1"/>
  <c r="AL232" i="1"/>
  <c r="AM232" i="1" s="1"/>
  <c r="AJ232" i="1"/>
  <c r="AI232" i="1"/>
  <c r="AG232" i="1"/>
  <c r="AF232" i="1"/>
  <c r="AC232" i="1"/>
  <c r="AD232" i="1" s="1"/>
  <c r="Z232" i="1"/>
  <c r="AA232" i="1" s="1"/>
  <c r="W232" i="1"/>
  <c r="X232" i="1" s="1"/>
  <c r="T232" i="1"/>
  <c r="U232" i="1" s="1"/>
  <c r="R232" i="1"/>
  <c r="O232" i="1"/>
  <c r="L232" i="1"/>
  <c r="I232" i="1"/>
  <c r="DO231" i="1"/>
  <c r="DP231" i="1" s="1"/>
  <c r="DL231" i="1"/>
  <c r="DM231" i="1" s="1"/>
  <c r="DI231" i="1"/>
  <c r="DJ231" i="1" s="1"/>
  <c r="DF231" i="1"/>
  <c r="DG231" i="1" s="1"/>
  <c r="DD231" i="1"/>
  <c r="DC231" i="1"/>
  <c r="CZ231" i="1"/>
  <c r="DA231" i="1" s="1"/>
  <c r="CW231" i="1"/>
  <c r="CX231" i="1" s="1"/>
  <c r="CT231" i="1"/>
  <c r="CU231" i="1" s="1"/>
  <c r="CR231" i="1"/>
  <c r="CQ231" i="1"/>
  <c r="CN231" i="1"/>
  <c r="CO231" i="1" s="1"/>
  <c r="CK231" i="1"/>
  <c r="CL231" i="1" s="1"/>
  <c r="CH231" i="1"/>
  <c r="CI231" i="1" s="1"/>
  <c r="CE231" i="1"/>
  <c r="CF231" i="1" s="1"/>
  <c r="CC231" i="1"/>
  <c r="CB231" i="1"/>
  <c r="BY231" i="1"/>
  <c r="BZ231" i="1" s="1"/>
  <c r="BV231" i="1"/>
  <c r="BW231" i="1" s="1"/>
  <c r="BT231" i="1"/>
  <c r="BS231" i="1"/>
  <c r="BP231" i="1"/>
  <c r="BQ231" i="1" s="1"/>
  <c r="BM231" i="1"/>
  <c r="BN231" i="1" s="1"/>
  <c r="BJ231" i="1"/>
  <c r="BK231" i="1" s="1"/>
  <c r="BG231" i="1"/>
  <c r="BH231" i="1" s="1"/>
  <c r="BD231" i="1"/>
  <c r="BE231" i="1" s="1"/>
  <c r="BA231" i="1"/>
  <c r="BB231" i="1" s="1"/>
  <c r="AY231" i="1"/>
  <c r="AX231" i="1"/>
  <c r="AU231" i="1"/>
  <c r="AV231" i="1" s="1"/>
  <c r="AR231" i="1"/>
  <c r="AS231" i="1" s="1"/>
  <c r="AO231" i="1"/>
  <c r="AP231" i="1" s="1"/>
  <c r="AM231" i="1"/>
  <c r="AL231" i="1"/>
  <c r="AI231" i="1"/>
  <c r="AJ231" i="1" s="1"/>
  <c r="AF231" i="1"/>
  <c r="AG231" i="1" s="1"/>
  <c r="AC231" i="1"/>
  <c r="AD231" i="1" s="1"/>
  <c r="Z231" i="1"/>
  <c r="AA231" i="1" s="1"/>
  <c r="X231" i="1"/>
  <c r="W231" i="1"/>
  <c r="T231" i="1"/>
  <c r="U231" i="1" s="1"/>
  <c r="R231" i="1"/>
  <c r="O231" i="1"/>
  <c r="L231" i="1"/>
  <c r="I231" i="1"/>
  <c r="DP230" i="1"/>
  <c r="DO230" i="1"/>
  <c r="DL230" i="1"/>
  <c r="DM230" i="1" s="1"/>
  <c r="DI230" i="1"/>
  <c r="DJ230" i="1" s="1"/>
  <c r="DF230" i="1"/>
  <c r="DG230" i="1" s="1"/>
  <c r="DC230" i="1"/>
  <c r="DD230" i="1" s="1"/>
  <c r="DA230" i="1"/>
  <c r="CZ230" i="1"/>
  <c r="CW230" i="1"/>
  <c r="CX230" i="1" s="1"/>
  <c r="CT230" i="1"/>
  <c r="CU230" i="1" s="1"/>
  <c r="CR230" i="1"/>
  <c r="CQ230" i="1"/>
  <c r="CN230" i="1"/>
  <c r="CO230" i="1" s="1"/>
  <c r="CK230" i="1"/>
  <c r="CL230" i="1" s="1"/>
  <c r="CH230" i="1"/>
  <c r="CI230" i="1" s="1"/>
  <c r="CE230" i="1"/>
  <c r="CF230" i="1" s="1"/>
  <c r="CC230" i="1"/>
  <c r="CB230" i="1"/>
  <c r="BY230" i="1"/>
  <c r="BZ230" i="1" s="1"/>
  <c r="BW230" i="1"/>
  <c r="BV230" i="1"/>
  <c r="BS230" i="1"/>
  <c r="BT230" i="1" s="1"/>
  <c r="BP230" i="1"/>
  <c r="BQ230" i="1" s="1"/>
  <c r="BM230" i="1"/>
  <c r="BN230" i="1" s="1"/>
  <c r="BK230" i="1"/>
  <c r="BJ230" i="1"/>
  <c r="BH230" i="1"/>
  <c r="BG230" i="1"/>
  <c r="BD230" i="1"/>
  <c r="BE230" i="1" s="1"/>
  <c r="BA230" i="1"/>
  <c r="BB230" i="1" s="1"/>
  <c r="AX230" i="1"/>
  <c r="AY230" i="1" s="1"/>
  <c r="AU230" i="1"/>
  <c r="AV230" i="1" s="1"/>
  <c r="AS230" i="1"/>
  <c r="AR230" i="1"/>
  <c r="AO230" i="1"/>
  <c r="AP230" i="1" s="1"/>
  <c r="AL230" i="1"/>
  <c r="AM230" i="1" s="1"/>
  <c r="AI230" i="1"/>
  <c r="AJ230" i="1" s="1"/>
  <c r="AF230" i="1"/>
  <c r="AG230" i="1" s="1"/>
  <c r="AC230" i="1"/>
  <c r="AD230" i="1" s="1"/>
  <c r="Z230" i="1"/>
  <c r="AA230" i="1" s="1"/>
  <c r="W230" i="1"/>
  <c r="X230" i="1" s="1"/>
  <c r="T230" i="1"/>
  <c r="U230" i="1" s="1"/>
  <c r="R230" i="1"/>
  <c r="O230" i="1"/>
  <c r="L230" i="1"/>
  <c r="I230" i="1"/>
  <c r="DO229" i="1"/>
  <c r="DP229" i="1" s="1"/>
  <c r="DL229" i="1"/>
  <c r="DM229" i="1" s="1"/>
  <c r="DI229" i="1"/>
  <c r="DJ229" i="1" s="1"/>
  <c r="DF229" i="1"/>
  <c r="DG229" i="1" s="1"/>
  <c r="DD229" i="1"/>
  <c r="DC229" i="1"/>
  <c r="CZ229" i="1"/>
  <c r="DA229" i="1" s="1"/>
  <c r="CW229" i="1"/>
  <c r="CX229" i="1" s="1"/>
  <c r="CT229" i="1"/>
  <c r="CU229" i="1" s="1"/>
  <c r="CQ229" i="1"/>
  <c r="CR229" i="1" s="1"/>
  <c r="CO229" i="1"/>
  <c r="CN229" i="1"/>
  <c r="CK229" i="1"/>
  <c r="CL229" i="1" s="1"/>
  <c r="CH229" i="1"/>
  <c r="CI229" i="1" s="1"/>
  <c r="CE229" i="1"/>
  <c r="CF229" i="1" s="1"/>
  <c r="CB229" i="1"/>
  <c r="CC229" i="1" s="1"/>
  <c r="BY229" i="1"/>
  <c r="BZ229" i="1" s="1"/>
  <c r="BV229" i="1"/>
  <c r="BW229" i="1" s="1"/>
  <c r="BS229" i="1"/>
  <c r="BT229" i="1" s="1"/>
  <c r="BQ229" i="1"/>
  <c r="BP229" i="1"/>
  <c r="BM229" i="1"/>
  <c r="BN229" i="1" s="1"/>
  <c r="BK229" i="1"/>
  <c r="BJ229" i="1"/>
  <c r="BG229" i="1"/>
  <c r="BH229" i="1" s="1"/>
  <c r="BE229" i="1"/>
  <c r="BD229" i="1"/>
  <c r="BA229" i="1"/>
  <c r="BB229" i="1" s="1"/>
  <c r="AY229" i="1"/>
  <c r="AX229" i="1"/>
  <c r="AU229" i="1"/>
  <c r="AV229" i="1" s="1"/>
  <c r="AR229" i="1"/>
  <c r="AS229" i="1" s="1"/>
  <c r="AO229" i="1"/>
  <c r="AP229" i="1" s="1"/>
  <c r="AL229" i="1"/>
  <c r="AM229" i="1" s="1"/>
  <c r="AJ229" i="1"/>
  <c r="AI229" i="1"/>
  <c r="AF229" i="1"/>
  <c r="AG229" i="1" s="1"/>
  <c r="AC229" i="1"/>
  <c r="AD229" i="1" s="1"/>
  <c r="Z229" i="1"/>
  <c r="AA229" i="1" s="1"/>
  <c r="X229" i="1"/>
  <c r="W229" i="1"/>
  <c r="U229" i="1"/>
  <c r="T229" i="1"/>
  <c r="R229" i="1"/>
  <c r="O229" i="1"/>
  <c r="L229" i="1"/>
  <c r="I229" i="1"/>
  <c r="DP228" i="1"/>
  <c r="DO228" i="1"/>
  <c r="DM228" i="1"/>
  <c r="DL228" i="1"/>
  <c r="DI228" i="1"/>
  <c r="DJ228" i="1" s="1"/>
  <c r="DF228" i="1"/>
  <c r="DG228" i="1" s="1"/>
  <c r="DC228" i="1"/>
  <c r="DD228" i="1" s="1"/>
  <c r="CZ228" i="1"/>
  <c r="DA228" i="1" s="1"/>
  <c r="CW228" i="1"/>
  <c r="CX228" i="1" s="1"/>
  <c r="CT228" i="1"/>
  <c r="CU228" i="1" s="1"/>
  <c r="CQ228" i="1"/>
  <c r="CR228" i="1" s="1"/>
  <c r="CN228" i="1"/>
  <c r="CO228" i="1" s="1"/>
  <c r="CK228" i="1"/>
  <c r="CL228" i="1" s="1"/>
  <c r="CH228" i="1"/>
  <c r="CI228" i="1" s="1"/>
  <c r="CF228" i="1"/>
  <c r="CE228" i="1"/>
  <c r="CB228" i="1"/>
  <c r="CC228" i="1" s="1"/>
  <c r="BY228" i="1"/>
  <c r="BZ228" i="1" s="1"/>
  <c r="BV228" i="1"/>
  <c r="BW228" i="1" s="1"/>
  <c r="BT228" i="1"/>
  <c r="BS228" i="1"/>
  <c r="BP228" i="1"/>
  <c r="BQ228" i="1" s="1"/>
  <c r="BM228" i="1"/>
  <c r="BN228" i="1" s="1"/>
  <c r="BK228" i="1"/>
  <c r="BJ228" i="1"/>
  <c r="BG228" i="1"/>
  <c r="BH228" i="1" s="1"/>
  <c r="BE228" i="1"/>
  <c r="BD228" i="1"/>
  <c r="BA228" i="1"/>
  <c r="BB228" i="1" s="1"/>
  <c r="AX228" i="1"/>
  <c r="AY228" i="1" s="1"/>
  <c r="AV228" i="1"/>
  <c r="AU228" i="1"/>
  <c r="AS228" i="1"/>
  <c r="AR228" i="1"/>
  <c r="AO228" i="1"/>
  <c r="AP228" i="1" s="1"/>
  <c r="AL228" i="1"/>
  <c r="AM228" i="1" s="1"/>
  <c r="AI228" i="1"/>
  <c r="AJ228" i="1" s="1"/>
  <c r="AG228" i="1"/>
  <c r="AF228" i="1"/>
  <c r="AC228" i="1"/>
  <c r="AD228" i="1" s="1"/>
  <c r="Z228" i="1"/>
  <c r="AA228" i="1" s="1"/>
  <c r="W228" i="1"/>
  <c r="X228" i="1" s="1"/>
  <c r="U228" i="1"/>
  <c r="T228" i="1"/>
  <c r="R228" i="1"/>
  <c r="O228" i="1"/>
  <c r="L228" i="1"/>
  <c r="I228" i="1"/>
  <c r="DO227" i="1"/>
  <c r="DP227" i="1" s="1"/>
  <c r="DL227" i="1"/>
  <c r="DM227" i="1" s="1"/>
  <c r="DI227" i="1"/>
  <c r="DJ227" i="1" s="1"/>
  <c r="DF227" i="1"/>
  <c r="DG227" i="1" s="1"/>
  <c r="DD227" i="1"/>
  <c r="DC227" i="1"/>
  <c r="CZ227" i="1"/>
  <c r="DA227" i="1" s="1"/>
  <c r="CW227" i="1"/>
  <c r="CX227" i="1" s="1"/>
  <c r="CT227" i="1"/>
  <c r="CU227" i="1" s="1"/>
  <c r="CR227" i="1"/>
  <c r="CQ227" i="1"/>
  <c r="CN227" i="1"/>
  <c r="CO227" i="1" s="1"/>
  <c r="CK227" i="1"/>
  <c r="CL227" i="1" s="1"/>
  <c r="CH227" i="1"/>
  <c r="CI227" i="1" s="1"/>
  <c r="CE227" i="1"/>
  <c r="CF227" i="1" s="1"/>
  <c r="CC227" i="1"/>
  <c r="CB227" i="1"/>
  <c r="BY227" i="1"/>
  <c r="BZ227" i="1" s="1"/>
  <c r="BV227" i="1"/>
  <c r="BW227" i="1" s="1"/>
  <c r="BS227" i="1"/>
  <c r="BT227" i="1" s="1"/>
  <c r="BP227" i="1"/>
  <c r="BQ227" i="1" s="1"/>
  <c r="BM227" i="1"/>
  <c r="BN227" i="1" s="1"/>
  <c r="BJ227" i="1"/>
  <c r="BK227" i="1" s="1"/>
  <c r="BG227" i="1"/>
  <c r="BH227" i="1" s="1"/>
  <c r="BE227" i="1"/>
  <c r="BD227" i="1"/>
  <c r="BA227" i="1"/>
  <c r="BB227" i="1" s="1"/>
  <c r="AX227" i="1"/>
  <c r="AY227" i="1" s="1"/>
  <c r="AU227" i="1"/>
  <c r="AV227" i="1" s="1"/>
  <c r="AR227" i="1"/>
  <c r="AS227" i="1" s="1"/>
  <c r="AO227" i="1"/>
  <c r="AP227" i="1" s="1"/>
  <c r="AL227" i="1"/>
  <c r="AM227" i="1" s="1"/>
  <c r="AJ227" i="1"/>
  <c r="AI227" i="1"/>
  <c r="AF227" i="1"/>
  <c r="AG227" i="1" s="1"/>
  <c r="AC227" i="1"/>
  <c r="AD227" i="1" s="1"/>
  <c r="Z227" i="1"/>
  <c r="AA227" i="1" s="1"/>
  <c r="W227" i="1"/>
  <c r="X227" i="1" s="1"/>
  <c r="U227" i="1"/>
  <c r="T227" i="1"/>
  <c r="R227" i="1"/>
  <c r="O227" i="1"/>
  <c r="L227" i="1"/>
  <c r="I227" i="1"/>
  <c r="DO226" i="1"/>
  <c r="DP226" i="1" s="1"/>
  <c r="DM226" i="1"/>
  <c r="DL226" i="1"/>
  <c r="DI226" i="1"/>
  <c r="DJ226" i="1" s="1"/>
  <c r="DF226" i="1"/>
  <c r="DG226" i="1" s="1"/>
  <c r="DC226" i="1"/>
  <c r="DD226" i="1" s="1"/>
  <c r="DA226" i="1"/>
  <c r="CZ226" i="1"/>
  <c r="CW226" i="1"/>
  <c r="CX226" i="1" s="1"/>
  <c r="CT226" i="1"/>
  <c r="CU226" i="1" s="1"/>
  <c r="CQ226" i="1"/>
  <c r="CR226" i="1" s="1"/>
  <c r="CN226" i="1"/>
  <c r="CO226" i="1" s="1"/>
  <c r="CK226" i="1"/>
  <c r="CL226" i="1" s="1"/>
  <c r="CH226" i="1"/>
  <c r="CI226" i="1" s="1"/>
  <c r="CF226" i="1"/>
  <c r="CE226" i="1"/>
  <c r="CB226" i="1"/>
  <c r="CC226" i="1" s="1"/>
  <c r="BY226" i="1"/>
  <c r="BZ226" i="1" s="1"/>
  <c r="BW226" i="1"/>
  <c r="BV226" i="1"/>
  <c r="BS226" i="1"/>
  <c r="BT226" i="1" s="1"/>
  <c r="BQ226" i="1"/>
  <c r="BP226" i="1"/>
  <c r="BM226" i="1"/>
  <c r="BN226" i="1" s="1"/>
  <c r="BJ226" i="1"/>
  <c r="BK226" i="1" s="1"/>
  <c r="BH226" i="1"/>
  <c r="BG226" i="1"/>
  <c r="BE226" i="1"/>
  <c r="BD226" i="1"/>
  <c r="BA226" i="1"/>
  <c r="BB226" i="1" s="1"/>
  <c r="AX226" i="1"/>
  <c r="AY226" i="1" s="1"/>
  <c r="AU226" i="1"/>
  <c r="AV226" i="1" s="1"/>
  <c r="AS226" i="1"/>
  <c r="AR226" i="1"/>
  <c r="AO226" i="1"/>
  <c r="AP226" i="1" s="1"/>
  <c r="AL226" i="1"/>
  <c r="AM226" i="1" s="1"/>
  <c r="AI226" i="1"/>
  <c r="AJ226" i="1" s="1"/>
  <c r="AG226" i="1"/>
  <c r="AF226" i="1"/>
  <c r="AC226" i="1"/>
  <c r="AD226" i="1" s="1"/>
  <c r="AA226" i="1"/>
  <c r="Z226" i="1"/>
  <c r="W226" i="1"/>
  <c r="X226" i="1" s="1"/>
  <c r="T226" i="1"/>
  <c r="U226" i="1" s="1"/>
  <c r="R226" i="1"/>
  <c r="O226" i="1"/>
  <c r="L226" i="1"/>
  <c r="I226" i="1"/>
  <c r="DO225" i="1"/>
  <c r="DP225" i="1" s="1"/>
  <c r="DL225" i="1"/>
  <c r="DM225" i="1" s="1"/>
  <c r="DI225" i="1"/>
  <c r="DJ225" i="1" s="1"/>
  <c r="DF225" i="1"/>
  <c r="DG225" i="1" s="1"/>
  <c r="DD225" i="1"/>
  <c r="DC225" i="1"/>
  <c r="CZ225" i="1"/>
  <c r="DA225" i="1" s="1"/>
  <c r="CW225" i="1"/>
  <c r="CX225" i="1" s="1"/>
  <c r="CT225" i="1"/>
  <c r="CU225" i="1" s="1"/>
  <c r="CQ225" i="1"/>
  <c r="CR225" i="1" s="1"/>
  <c r="CO225" i="1"/>
  <c r="CN225" i="1"/>
  <c r="CK225" i="1"/>
  <c r="CL225" i="1" s="1"/>
  <c r="CH225" i="1"/>
  <c r="CI225" i="1" s="1"/>
  <c r="CE225" i="1"/>
  <c r="CF225" i="1" s="1"/>
  <c r="CC225" i="1"/>
  <c r="CB225" i="1"/>
  <c r="BY225" i="1"/>
  <c r="BZ225" i="1" s="1"/>
  <c r="BW225" i="1"/>
  <c r="BV225" i="1"/>
  <c r="BS225" i="1"/>
  <c r="BT225" i="1" s="1"/>
  <c r="BQ225" i="1"/>
  <c r="BP225" i="1"/>
  <c r="BM225" i="1"/>
  <c r="BN225" i="1" s="1"/>
  <c r="BK225" i="1"/>
  <c r="BJ225" i="1"/>
  <c r="BG225" i="1"/>
  <c r="BH225" i="1" s="1"/>
  <c r="BD225" i="1"/>
  <c r="BE225" i="1" s="1"/>
  <c r="BA225" i="1"/>
  <c r="BB225" i="1" s="1"/>
  <c r="AY225" i="1"/>
  <c r="AX225" i="1"/>
  <c r="AV225" i="1"/>
  <c r="AU225" i="1"/>
  <c r="AR225" i="1"/>
  <c r="AS225" i="1" s="1"/>
  <c r="AO225" i="1"/>
  <c r="AP225" i="1" s="1"/>
  <c r="AM225" i="1"/>
  <c r="AL225" i="1"/>
  <c r="AJ225" i="1"/>
  <c r="AI225" i="1"/>
  <c r="AF225" i="1"/>
  <c r="AG225" i="1" s="1"/>
  <c r="AC225" i="1"/>
  <c r="AD225" i="1" s="1"/>
  <c r="Z225" i="1"/>
  <c r="AA225" i="1" s="1"/>
  <c r="W225" i="1"/>
  <c r="X225" i="1" s="1"/>
  <c r="U225" i="1"/>
  <c r="T225" i="1"/>
  <c r="R225" i="1"/>
  <c r="O225" i="1"/>
  <c r="L225" i="1"/>
  <c r="I225" i="1"/>
  <c r="DO224" i="1"/>
  <c r="DP224" i="1" s="1"/>
  <c r="DM224" i="1"/>
  <c r="DL224" i="1"/>
  <c r="DI224" i="1"/>
  <c r="DJ224" i="1" s="1"/>
  <c r="DF224" i="1"/>
  <c r="DG224" i="1" s="1"/>
  <c r="DC224" i="1"/>
  <c r="DD224" i="1" s="1"/>
  <c r="CZ224" i="1"/>
  <c r="DA224" i="1" s="1"/>
  <c r="CW224" i="1"/>
  <c r="CX224" i="1" s="1"/>
  <c r="CT224" i="1"/>
  <c r="CU224" i="1" s="1"/>
  <c r="CQ224" i="1"/>
  <c r="CR224" i="1" s="1"/>
  <c r="CN224" i="1"/>
  <c r="CO224" i="1" s="1"/>
  <c r="CK224" i="1"/>
  <c r="CL224" i="1" s="1"/>
  <c r="CH224" i="1"/>
  <c r="CI224" i="1" s="1"/>
  <c r="CF224" i="1"/>
  <c r="CE224" i="1"/>
  <c r="CB224" i="1"/>
  <c r="CC224" i="1" s="1"/>
  <c r="BY224" i="1"/>
  <c r="BZ224" i="1" s="1"/>
  <c r="BV224" i="1"/>
  <c r="BW224" i="1" s="1"/>
  <c r="BT224" i="1"/>
  <c r="BS224" i="1"/>
  <c r="BQ224" i="1"/>
  <c r="BP224" i="1"/>
  <c r="BM224" i="1"/>
  <c r="BN224" i="1" s="1"/>
  <c r="BJ224" i="1"/>
  <c r="BK224" i="1" s="1"/>
  <c r="BG224" i="1"/>
  <c r="BH224" i="1" s="1"/>
  <c r="BE224" i="1"/>
  <c r="BD224" i="1"/>
  <c r="BA224" i="1"/>
  <c r="BB224" i="1" s="1"/>
  <c r="AX224" i="1"/>
  <c r="AY224" i="1" s="1"/>
  <c r="AU224" i="1"/>
  <c r="AV224" i="1" s="1"/>
  <c r="AS224" i="1"/>
  <c r="AR224" i="1"/>
  <c r="AO224" i="1"/>
  <c r="AP224" i="1" s="1"/>
  <c r="AL224" i="1"/>
  <c r="AM224" i="1" s="1"/>
  <c r="AI224" i="1"/>
  <c r="AJ224" i="1" s="1"/>
  <c r="AF224" i="1"/>
  <c r="AG224" i="1" s="1"/>
  <c r="AC224" i="1"/>
  <c r="AD224" i="1" s="1"/>
  <c r="Z224" i="1"/>
  <c r="AA224" i="1" s="1"/>
  <c r="X224" i="1"/>
  <c r="W224" i="1"/>
  <c r="T224" i="1"/>
  <c r="U224" i="1" s="1"/>
  <c r="R224" i="1"/>
  <c r="O224" i="1"/>
  <c r="L224" i="1"/>
  <c r="I224" i="1"/>
  <c r="DP223" i="1"/>
  <c r="DO223" i="1"/>
  <c r="DL223" i="1"/>
  <c r="DM223" i="1" s="1"/>
  <c r="DI223" i="1"/>
  <c r="DJ223" i="1" s="1"/>
  <c r="DF223" i="1"/>
  <c r="DG223" i="1" s="1"/>
  <c r="DC223" i="1"/>
  <c r="DD223" i="1" s="1"/>
  <c r="DA223" i="1"/>
  <c r="CZ223" i="1"/>
  <c r="CW223" i="1"/>
  <c r="CX223" i="1" s="1"/>
  <c r="CT223" i="1"/>
  <c r="CU223" i="1" s="1"/>
  <c r="CQ223" i="1"/>
  <c r="CR223" i="1" s="1"/>
  <c r="CO223" i="1"/>
  <c r="CN223" i="1"/>
  <c r="CK223" i="1"/>
  <c r="CL223" i="1" s="1"/>
  <c r="CH223" i="1"/>
  <c r="CI223" i="1" s="1"/>
  <c r="CE223" i="1"/>
  <c r="CF223" i="1" s="1"/>
  <c r="CB223" i="1"/>
  <c r="CC223" i="1" s="1"/>
  <c r="BY223" i="1"/>
  <c r="BZ223" i="1" s="1"/>
  <c r="BW223" i="1"/>
  <c r="BV223" i="1"/>
  <c r="BT223" i="1"/>
  <c r="BS223" i="1"/>
  <c r="BP223" i="1"/>
  <c r="BQ223" i="1" s="1"/>
  <c r="BM223" i="1"/>
  <c r="BN223" i="1" s="1"/>
  <c r="BK223" i="1"/>
  <c r="BJ223" i="1"/>
  <c r="BH223" i="1"/>
  <c r="BG223" i="1"/>
  <c r="BD223" i="1"/>
  <c r="BE223" i="1" s="1"/>
  <c r="BA223" i="1"/>
  <c r="BB223" i="1" s="1"/>
  <c r="AX223" i="1"/>
  <c r="AY223" i="1" s="1"/>
  <c r="AV223" i="1"/>
  <c r="AU223" i="1"/>
  <c r="AS223" i="1"/>
  <c r="AR223" i="1"/>
  <c r="AO223" i="1"/>
  <c r="AP223" i="1" s="1"/>
  <c r="AL223" i="1"/>
  <c r="AM223" i="1" s="1"/>
  <c r="AJ223" i="1"/>
  <c r="AI223" i="1"/>
  <c r="AG223" i="1"/>
  <c r="AF223" i="1"/>
  <c r="AC223" i="1"/>
  <c r="AD223" i="1" s="1"/>
  <c r="Z223" i="1"/>
  <c r="AA223" i="1" s="1"/>
  <c r="W223" i="1"/>
  <c r="X223" i="1" s="1"/>
  <c r="T223" i="1"/>
  <c r="U223" i="1" s="1"/>
  <c r="R223" i="1"/>
  <c r="O223" i="1"/>
  <c r="L223" i="1"/>
  <c r="I223" i="1"/>
  <c r="DO222" i="1"/>
  <c r="DP222" i="1" s="1"/>
  <c r="DM222" i="1"/>
  <c r="DL222" i="1"/>
  <c r="DI222" i="1"/>
  <c r="DJ222" i="1" s="1"/>
  <c r="DF222" i="1"/>
  <c r="DG222" i="1" s="1"/>
  <c r="DC222" i="1"/>
  <c r="DD222" i="1" s="1"/>
  <c r="CZ222" i="1"/>
  <c r="DA222" i="1" s="1"/>
  <c r="CW222" i="1"/>
  <c r="CX222" i="1" s="1"/>
  <c r="CT222" i="1"/>
  <c r="CU222" i="1" s="1"/>
  <c r="CR222" i="1"/>
  <c r="CQ222" i="1"/>
  <c r="CN222" i="1"/>
  <c r="CO222" i="1" s="1"/>
  <c r="CK222" i="1"/>
  <c r="CL222" i="1" s="1"/>
  <c r="CH222" i="1"/>
  <c r="CI222" i="1" s="1"/>
  <c r="CF222" i="1"/>
  <c r="CE222" i="1"/>
  <c r="CC222" i="1"/>
  <c r="CB222" i="1"/>
  <c r="BY222" i="1"/>
  <c r="BZ222" i="1" s="1"/>
  <c r="BV222" i="1"/>
  <c r="BW222" i="1" s="1"/>
  <c r="BS222" i="1"/>
  <c r="BT222" i="1" s="1"/>
  <c r="BP222" i="1"/>
  <c r="BQ222" i="1" s="1"/>
  <c r="BM222" i="1"/>
  <c r="BN222" i="1" s="1"/>
  <c r="BJ222" i="1"/>
  <c r="BK222" i="1" s="1"/>
  <c r="BG222" i="1"/>
  <c r="BH222" i="1" s="1"/>
  <c r="BE222" i="1"/>
  <c r="BD222" i="1"/>
  <c r="BA222" i="1"/>
  <c r="BB222" i="1" s="1"/>
  <c r="AY222" i="1"/>
  <c r="AX222" i="1"/>
  <c r="AU222" i="1"/>
  <c r="AV222" i="1" s="1"/>
  <c r="AS222" i="1"/>
  <c r="AR222" i="1"/>
  <c r="AO222" i="1"/>
  <c r="AP222" i="1" s="1"/>
  <c r="AL222" i="1"/>
  <c r="AM222" i="1" s="1"/>
  <c r="AJ222" i="1"/>
  <c r="AI222" i="1"/>
  <c r="AF222" i="1"/>
  <c r="AG222" i="1" s="1"/>
  <c r="AC222" i="1"/>
  <c r="AD222" i="1" s="1"/>
  <c r="Z222" i="1"/>
  <c r="AA222" i="1" s="1"/>
  <c r="W222" i="1"/>
  <c r="X222" i="1" s="1"/>
  <c r="U222" i="1"/>
  <c r="T222" i="1"/>
  <c r="R222" i="1"/>
  <c r="O222" i="1"/>
  <c r="L222" i="1"/>
  <c r="I222" i="1"/>
  <c r="DO221" i="1"/>
  <c r="DP221" i="1" s="1"/>
  <c r="DM221" i="1"/>
  <c r="DL221" i="1"/>
  <c r="DI221" i="1"/>
  <c r="DJ221" i="1" s="1"/>
  <c r="DF221" i="1"/>
  <c r="DG221" i="1" s="1"/>
  <c r="DD221" i="1"/>
  <c r="DC221" i="1"/>
  <c r="CZ221" i="1"/>
  <c r="DA221" i="1" s="1"/>
  <c r="CW221" i="1"/>
  <c r="CX221" i="1" s="1"/>
  <c r="CT221" i="1"/>
  <c r="CU221" i="1" s="1"/>
  <c r="CQ221" i="1"/>
  <c r="CR221" i="1" s="1"/>
  <c r="CN221" i="1"/>
  <c r="CO221" i="1" s="1"/>
  <c r="CK221" i="1"/>
  <c r="CL221" i="1" s="1"/>
  <c r="CH221" i="1"/>
  <c r="CI221" i="1" s="1"/>
  <c r="CF221" i="1"/>
  <c r="CE221" i="1"/>
  <c r="CB221" i="1"/>
  <c r="CC221" i="1" s="1"/>
  <c r="BY221" i="1"/>
  <c r="BZ221" i="1" s="1"/>
  <c r="BV221" i="1"/>
  <c r="BW221" i="1" s="1"/>
  <c r="BT221" i="1"/>
  <c r="BS221" i="1"/>
  <c r="BP221" i="1"/>
  <c r="BQ221" i="1" s="1"/>
  <c r="BM221" i="1"/>
  <c r="BN221" i="1" s="1"/>
  <c r="BJ221" i="1"/>
  <c r="BK221" i="1" s="1"/>
  <c r="BG221" i="1"/>
  <c r="BH221" i="1" s="1"/>
  <c r="BE221" i="1"/>
  <c r="BD221" i="1"/>
  <c r="BA221" i="1"/>
  <c r="BB221" i="1" s="1"/>
  <c r="AX221" i="1"/>
  <c r="AY221" i="1" s="1"/>
  <c r="AU221" i="1"/>
  <c r="AV221" i="1" s="1"/>
  <c r="AR221" i="1"/>
  <c r="AS221" i="1" s="1"/>
  <c r="AO221" i="1"/>
  <c r="AP221" i="1" s="1"/>
  <c r="AL221" i="1"/>
  <c r="AM221" i="1" s="1"/>
  <c r="AI221" i="1"/>
  <c r="AJ221" i="1" s="1"/>
  <c r="AF221" i="1"/>
  <c r="AG221" i="1" s="1"/>
  <c r="AC221" i="1"/>
  <c r="AD221" i="1" s="1"/>
  <c r="Z221" i="1"/>
  <c r="AA221" i="1" s="1"/>
  <c r="X221" i="1"/>
  <c r="W221" i="1"/>
  <c r="T221" i="1"/>
  <c r="U221" i="1" s="1"/>
  <c r="R221" i="1"/>
  <c r="O221" i="1"/>
  <c r="L221" i="1"/>
  <c r="I221" i="1"/>
  <c r="DP220" i="1"/>
  <c r="DO220" i="1"/>
  <c r="DL220" i="1"/>
  <c r="DM220" i="1" s="1"/>
  <c r="DI220" i="1"/>
  <c r="DJ220" i="1" s="1"/>
  <c r="DF220" i="1"/>
  <c r="DG220" i="1" s="1"/>
  <c r="DC220" i="1"/>
  <c r="DD220" i="1" s="1"/>
  <c r="CZ220" i="1"/>
  <c r="DA220" i="1" s="1"/>
  <c r="CW220" i="1"/>
  <c r="CX220" i="1" s="1"/>
  <c r="CU220" i="1"/>
  <c r="CT220" i="1"/>
  <c r="CQ220" i="1"/>
  <c r="CR220" i="1" s="1"/>
  <c r="CN220" i="1"/>
  <c r="CO220" i="1" s="1"/>
  <c r="CK220" i="1"/>
  <c r="CL220" i="1" s="1"/>
  <c r="CH220" i="1"/>
  <c r="CI220" i="1" s="1"/>
  <c r="CF220" i="1"/>
  <c r="CE220" i="1"/>
  <c r="CB220" i="1"/>
  <c r="CC220" i="1" s="1"/>
  <c r="BY220" i="1"/>
  <c r="BZ220" i="1" s="1"/>
  <c r="BV220" i="1"/>
  <c r="BW220" i="1" s="1"/>
  <c r="BS220" i="1"/>
  <c r="BT220" i="1" s="1"/>
  <c r="BP220" i="1"/>
  <c r="BQ220" i="1" s="1"/>
  <c r="BM220" i="1"/>
  <c r="BN220" i="1" s="1"/>
  <c r="BJ220" i="1"/>
  <c r="BK220" i="1" s="1"/>
  <c r="BG220" i="1"/>
  <c r="BH220" i="1" s="1"/>
  <c r="BD220" i="1"/>
  <c r="BE220" i="1" s="1"/>
  <c r="BA220" i="1"/>
  <c r="BB220" i="1" s="1"/>
  <c r="AX220" i="1"/>
  <c r="AY220" i="1" s="1"/>
  <c r="AV220" i="1"/>
  <c r="AU220" i="1"/>
  <c r="AR220" i="1"/>
  <c r="AS220" i="1" s="1"/>
  <c r="AO220" i="1"/>
  <c r="AP220" i="1" s="1"/>
  <c r="AL220" i="1"/>
  <c r="AM220" i="1" s="1"/>
  <c r="AI220" i="1"/>
  <c r="AJ220" i="1" s="1"/>
  <c r="AF220" i="1"/>
  <c r="AG220" i="1" s="1"/>
  <c r="AC220" i="1"/>
  <c r="AD220" i="1" s="1"/>
  <c r="Z220" i="1"/>
  <c r="AA220" i="1" s="1"/>
  <c r="W220" i="1"/>
  <c r="X220" i="1" s="1"/>
  <c r="T220" i="1"/>
  <c r="U220" i="1" s="1"/>
  <c r="R220" i="1"/>
  <c r="O220" i="1"/>
  <c r="L220" i="1"/>
  <c r="I220" i="1"/>
  <c r="DO219" i="1"/>
  <c r="DP219" i="1" s="1"/>
  <c r="DL219" i="1"/>
  <c r="DM219" i="1" s="1"/>
  <c r="DI219" i="1"/>
  <c r="DJ219" i="1" s="1"/>
  <c r="DG219" i="1"/>
  <c r="DF219" i="1"/>
  <c r="DD219" i="1"/>
  <c r="DC219" i="1"/>
  <c r="CZ219" i="1"/>
  <c r="DA219" i="1" s="1"/>
  <c r="CW219" i="1"/>
  <c r="CX219" i="1" s="1"/>
  <c r="CT219" i="1"/>
  <c r="CU219" i="1" s="1"/>
  <c r="CR219" i="1"/>
  <c r="CQ219" i="1"/>
  <c r="CN219" i="1"/>
  <c r="CO219" i="1" s="1"/>
  <c r="CK219" i="1"/>
  <c r="CL219" i="1" s="1"/>
  <c r="CH219" i="1"/>
  <c r="CI219" i="1" s="1"/>
  <c r="CE219" i="1"/>
  <c r="CF219" i="1" s="1"/>
  <c r="CB219" i="1"/>
  <c r="CC219" i="1" s="1"/>
  <c r="BY219" i="1"/>
  <c r="BZ219" i="1" s="1"/>
  <c r="BV219" i="1"/>
  <c r="BW219" i="1" s="1"/>
  <c r="BT219" i="1"/>
  <c r="BS219" i="1"/>
  <c r="BP219" i="1"/>
  <c r="BQ219" i="1" s="1"/>
  <c r="BM219" i="1"/>
  <c r="BN219" i="1" s="1"/>
  <c r="BJ219" i="1"/>
  <c r="BK219" i="1" s="1"/>
  <c r="BH219" i="1"/>
  <c r="BG219" i="1"/>
  <c r="BD219" i="1"/>
  <c r="BE219" i="1" s="1"/>
  <c r="BA219" i="1"/>
  <c r="BB219" i="1" s="1"/>
  <c r="AX219" i="1"/>
  <c r="AY219" i="1" s="1"/>
  <c r="AU219" i="1"/>
  <c r="AV219" i="1" s="1"/>
  <c r="AR219" i="1"/>
  <c r="AS219" i="1" s="1"/>
  <c r="AO219" i="1"/>
  <c r="AP219" i="1" s="1"/>
  <c r="AL219" i="1"/>
  <c r="AM219" i="1" s="1"/>
  <c r="AJ219" i="1"/>
  <c r="AI219" i="1"/>
  <c r="AF219" i="1"/>
  <c r="AG219" i="1" s="1"/>
  <c r="AC219" i="1"/>
  <c r="AD219" i="1" s="1"/>
  <c r="Z219" i="1"/>
  <c r="AA219" i="1" s="1"/>
  <c r="W219" i="1"/>
  <c r="X219" i="1" s="1"/>
  <c r="T219" i="1"/>
  <c r="U219" i="1" s="1"/>
  <c r="R219" i="1"/>
  <c r="O219" i="1"/>
  <c r="L219" i="1"/>
  <c r="I219" i="1"/>
  <c r="DO218" i="1"/>
  <c r="DP218" i="1" s="1"/>
  <c r="DL218" i="1"/>
  <c r="DM218" i="1" s="1"/>
  <c r="DI218" i="1"/>
  <c r="DJ218" i="1" s="1"/>
  <c r="DG218" i="1"/>
  <c r="DF218" i="1"/>
  <c r="DC218" i="1"/>
  <c r="DD218" i="1" s="1"/>
  <c r="CZ218" i="1"/>
  <c r="DA218" i="1" s="1"/>
  <c r="CW218" i="1"/>
  <c r="CX218" i="1" s="1"/>
  <c r="CT218" i="1"/>
  <c r="CU218" i="1" s="1"/>
  <c r="CR218" i="1"/>
  <c r="CQ218" i="1"/>
  <c r="CN218" i="1"/>
  <c r="CO218" i="1" s="1"/>
  <c r="CK218" i="1"/>
  <c r="CL218" i="1" s="1"/>
  <c r="CH218" i="1"/>
  <c r="CI218" i="1" s="1"/>
  <c r="CF218" i="1"/>
  <c r="CE218" i="1"/>
  <c r="CB218" i="1"/>
  <c r="CC218" i="1" s="1"/>
  <c r="BY218" i="1"/>
  <c r="BZ218" i="1" s="1"/>
  <c r="BV218" i="1"/>
  <c r="BW218" i="1" s="1"/>
  <c r="BS218" i="1"/>
  <c r="BT218" i="1" s="1"/>
  <c r="BP218" i="1"/>
  <c r="BQ218" i="1" s="1"/>
  <c r="BM218" i="1"/>
  <c r="BN218" i="1" s="1"/>
  <c r="BK218" i="1"/>
  <c r="BJ218" i="1"/>
  <c r="BH218" i="1"/>
  <c r="BG218" i="1"/>
  <c r="BD218" i="1"/>
  <c r="BE218" i="1" s="1"/>
  <c r="BA218" i="1"/>
  <c r="BB218" i="1" s="1"/>
  <c r="AX218" i="1"/>
  <c r="AY218" i="1" s="1"/>
  <c r="AV218" i="1"/>
  <c r="AU218" i="1"/>
  <c r="AR218" i="1"/>
  <c r="AS218" i="1" s="1"/>
  <c r="AO218" i="1"/>
  <c r="AP218" i="1" s="1"/>
  <c r="AL218" i="1"/>
  <c r="AM218" i="1" s="1"/>
  <c r="AI218" i="1"/>
  <c r="AJ218" i="1" s="1"/>
  <c r="AF218" i="1"/>
  <c r="AG218" i="1" s="1"/>
  <c r="AC218" i="1"/>
  <c r="AD218" i="1" s="1"/>
  <c r="Z218" i="1"/>
  <c r="AA218" i="1" s="1"/>
  <c r="X218" i="1"/>
  <c r="W218" i="1"/>
  <c r="T218" i="1"/>
  <c r="U218" i="1" s="1"/>
  <c r="R218" i="1"/>
  <c r="O218" i="1"/>
  <c r="L218" i="1"/>
  <c r="I218" i="1"/>
  <c r="DP217" i="1"/>
  <c r="DO217" i="1"/>
  <c r="DL217" i="1"/>
  <c r="DM217" i="1" s="1"/>
  <c r="DI217" i="1"/>
  <c r="DJ217" i="1" s="1"/>
  <c r="DF217" i="1"/>
  <c r="DG217" i="1" s="1"/>
  <c r="DC217" i="1"/>
  <c r="DD217" i="1" s="1"/>
  <c r="CZ217" i="1"/>
  <c r="DA217" i="1" s="1"/>
  <c r="CW217" i="1"/>
  <c r="CX217" i="1" s="1"/>
  <c r="CU217" i="1"/>
  <c r="CT217" i="1"/>
  <c r="CQ217" i="1"/>
  <c r="CR217" i="1" s="1"/>
  <c r="CN217" i="1"/>
  <c r="CO217" i="1" s="1"/>
  <c r="CK217" i="1"/>
  <c r="CL217" i="1" s="1"/>
  <c r="CH217" i="1"/>
  <c r="CI217" i="1" s="1"/>
  <c r="CE217" i="1"/>
  <c r="CF217" i="1" s="1"/>
  <c r="CB217" i="1"/>
  <c r="CC217" i="1" s="1"/>
  <c r="BY217" i="1"/>
  <c r="BZ217" i="1" s="1"/>
  <c r="BV217" i="1"/>
  <c r="BW217" i="1" s="1"/>
  <c r="BT217" i="1"/>
  <c r="BS217" i="1"/>
  <c r="BP217" i="1"/>
  <c r="BQ217" i="1" s="1"/>
  <c r="BM217" i="1"/>
  <c r="BN217" i="1" s="1"/>
  <c r="BK217" i="1"/>
  <c r="BJ217" i="1"/>
  <c r="BG217" i="1"/>
  <c r="BH217" i="1" s="1"/>
  <c r="BD217" i="1"/>
  <c r="BE217" i="1" s="1"/>
  <c r="BA217" i="1"/>
  <c r="BB217" i="1" s="1"/>
  <c r="AX217" i="1"/>
  <c r="AY217" i="1" s="1"/>
  <c r="AV217" i="1"/>
  <c r="AU217" i="1"/>
  <c r="AR217" i="1"/>
  <c r="AS217" i="1" s="1"/>
  <c r="AO217" i="1"/>
  <c r="AP217" i="1" s="1"/>
  <c r="AL217" i="1"/>
  <c r="AM217" i="1" s="1"/>
  <c r="AJ217" i="1"/>
  <c r="AI217" i="1"/>
  <c r="AF217" i="1"/>
  <c r="AG217" i="1" s="1"/>
  <c r="AC217" i="1"/>
  <c r="AD217" i="1" s="1"/>
  <c r="Z217" i="1"/>
  <c r="AA217" i="1" s="1"/>
  <c r="W217" i="1"/>
  <c r="X217" i="1" s="1"/>
  <c r="T217" i="1"/>
  <c r="U217" i="1" s="1"/>
  <c r="R217" i="1"/>
  <c r="O217" i="1"/>
  <c r="L217" i="1"/>
  <c r="I217" i="1"/>
  <c r="DO216" i="1"/>
  <c r="DP216" i="1" s="1"/>
  <c r="DL216" i="1"/>
  <c r="DM216" i="1" s="1"/>
  <c r="DI216" i="1"/>
  <c r="DJ216" i="1" s="1"/>
  <c r="DG216" i="1"/>
  <c r="DF216" i="1"/>
  <c r="DD216" i="1"/>
  <c r="DC216" i="1"/>
  <c r="CZ216" i="1"/>
  <c r="DA216" i="1" s="1"/>
  <c r="CW216" i="1"/>
  <c r="CX216" i="1" s="1"/>
  <c r="CT216" i="1"/>
  <c r="CU216" i="1" s="1"/>
  <c r="CR216" i="1"/>
  <c r="CQ216" i="1"/>
  <c r="CN216" i="1"/>
  <c r="CO216" i="1" s="1"/>
  <c r="CK216" i="1"/>
  <c r="CL216" i="1" s="1"/>
  <c r="CH216" i="1"/>
  <c r="CI216" i="1" s="1"/>
  <c r="CE216" i="1"/>
  <c r="CF216" i="1" s="1"/>
  <c r="CB216" i="1"/>
  <c r="CC216" i="1" s="1"/>
  <c r="BY216" i="1"/>
  <c r="BZ216" i="1" s="1"/>
  <c r="BW216" i="1"/>
  <c r="BV216" i="1"/>
  <c r="BT216" i="1"/>
  <c r="BS216" i="1"/>
  <c r="BP216" i="1"/>
  <c r="BQ216" i="1" s="1"/>
  <c r="BM216" i="1"/>
  <c r="BN216" i="1" s="1"/>
  <c r="BJ216" i="1"/>
  <c r="BK216" i="1" s="1"/>
  <c r="BG216" i="1"/>
  <c r="BH216" i="1" s="1"/>
  <c r="BD216" i="1"/>
  <c r="BE216" i="1" s="1"/>
  <c r="BA216" i="1"/>
  <c r="BB216" i="1" s="1"/>
  <c r="AX216" i="1"/>
  <c r="AY216" i="1" s="1"/>
  <c r="AU216" i="1"/>
  <c r="AV216" i="1" s="1"/>
  <c r="AR216" i="1"/>
  <c r="AS216" i="1" s="1"/>
  <c r="AO216" i="1"/>
  <c r="AP216" i="1" s="1"/>
  <c r="AL216" i="1"/>
  <c r="AM216" i="1" s="1"/>
  <c r="AJ216" i="1"/>
  <c r="AI216" i="1"/>
  <c r="AF216" i="1"/>
  <c r="AG216" i="1" s="1"/>
  <c r="AC216" i="1"/>
  <c r="AD216" i="1" s="1"/>
  <c r="Z216" i="1"/>
  <c r="AA216" i="1" s="1"/>
  <c r="W216" i="1"/>
  <c r="X216" i="1" s="1"/>
  <c r="T216" i="1"/>
  <c r="U216" i="1" s="1"/>
  <c r="R216" i="1"/>
  <c r="O216" i="1"/>
  <c r="L216" i="1"/>
  <c r="I216" i="1"/>
  <c r="DO215" i="1"/>
  <c r="DP215" i="1" s="1"/>
  <c r="DL215" i="1"/>
  <c r="DM215" i="1" s="1"/>
  <c r="DI215" i="1"/>
  <c r="DJ215" i="1" s="1"/>
  <c r="DF215" i="1"/>
  <c r="DG215" i="1" s="1"/>
  <c r="DC215" i="1"/>
  <c r="DD215" i="1" s="1"/>
  <c r="CZ215" i="1"/>
  <c r="DA215" i="1" s="1"/>
  <c r="CW215" i="1"/>
  <c r="CX215" i="1" s="1"/>
  <c r="CT215" i="1"/>
  <c r="CU215" i="1" s="1"/>
  <c r="CR215" i="1"/>
  <c r="CQ215" i="1"/>
  <c r="CN215" i="1"/>
  <c r="CO215" i="1" s="1"/>
  <c r="CK215" i="1"/>
  <c r="CL215" i="1" s="1"/>
  <c r="CH215" i="1"/>
  <c r="CI215" i="1" s="1"/>
  <c r="CE215" i="1"/>
  <c r="CF215" i="1" s="1"/>
  <c r="CB215" i="1"/>
  <c r="CC215" i="1" s="1"/>
  <c r="BY215" i="1"/>
  <c r="BZ215" i="1" s="1"/>
  <c r="BV215" i="1"/>
  <c r="BW215" i="1" s="1"/>
  <c r="BS215" i="1"/>
  <c r="BT215" i="1" s="1"/>
  <c r="BP215" i="1"/>
  <c r="BQ215" i="1" s="1"/>
  <c r="BM215" i="1"/>
  <c r="BN215" i="1" s="1"/>
  <c r="BJ215" i="1"/>
  <c r="BK215" i="1" s="1"/>
  <c r="BH215" i="1"/>
  <c r="BG215" i="1"/>
  <c r="BD215" i="1"/>
  <c r="BE215" i="1" s="1"/>
  <c r="BA215" i="1"/>
  <c r="BB215" i="1" s="1"/>
  <c r="AX215" i="1"/>
  <c r="AY215" i="1" s="1"/>
  <c r="AV215" i="1"/>
  <c r="AU215" i="1"/>
  <c r="AR215" i="1"/>
  <c r="AS215" i="1" s="1"/>
  <c r="AO215" i="1"/>
  <c r="AP215" i="1" s="1"/>
  <c r="AM215" i="1"/>
  <c r="AL215" i="1"/>
  <c r="AI215" i="1"/>
  <c r="AJ215" i="1" s="1"/>
  <c r="AF215" i="1"/>
  <c r="AG215" i="1" s="1"/>
  <c r="AC215" i="1"/>
  <c r="AD215" i="1" s="1"/>
  <c r="Z215" i="1"/>
  <c r="AA215" i="1" s="1"/>
  <c r="X215" i="1"/>
  <c r="W215" i="1"/>
  <c r="T215" i="1"/>
  <c r="U215" i="1" s="1"/>
  <c r="DO214" i="1"/>
  <c r="DP214" i="1" s="1"/>
  <c r="DL214" i="1"/>
  <c r="DM214" i="1" s="1"/>
  <c r="DJ214" i="1"/>
  <c r="DI214" i="1"/>
  <c r="DF214" i="1"/>
  <c r="DG214" i="1" s="1"/>
  <c r="DC214" i="1"/>
  <c r="DD214" i="1" s="1"/>
  <c r="CZ214" i="1"/>
  <c r="DA214" i="1" s="1"/>
  <c r="CW214" i="1"/>
  <c r="CX214" i="1" s="1"/>
  <c r="CT214" i="1"/>
  <c r="CU214" i="1" s="1"/>
  <c r="CQ214" i="1"/>
  <c r="CR214" i="1" s="1"/>
  <c r="CO214" i="1"/>
  <c r="CN214" i="1"/>
  <c r="CL214" i="1"/>
  <c r="CK214" i="1"/>
  <c r="CH214" i="1"/>
  <c r="CI214" i="1" s="1"/>
  <c r="CE214" i="1"/>
  <c r="CF214" i="1" s="1"/>
  <c r="CB214" i="1"/>
  <c r="CC214" i="1" s="1"/>
  <c r="BZ214" i="1"/>
  <c r="BY214" i="1"/>
  <c r="BV214" i="1"/>
  <c r="BW214" i="1" s="1"/>
  <c r="BS214" i="1"/>
  <c r="BT214" i="1" s="1"/>
  <c r="BP214" i="1"/>
  <c r="BQ214" i="1" s="1"/>
  <c r="BM214" i="1"/>
  <c r="BN214" i="1" s="1"/>
  <c r="BJ214" i="1"/>
  <c r="BK214" i="1" s="1"/>
  <c r="BG214" i="1"/>
  <c r="BH214" i="1" s="1"/>
  <c r="BE214" i="1"/>
  <c r="BD214" i="1"/>
  <c r="BA214" i="1"/>
  <c r="BB214" i="1" s="1"/>
  <c r="AX214" i="1"/>
  <c r="AY214" i="1" s="1"/>
  <c r="AU214" i="1"/>
  <c r="AV214" i="1" s="1"/>
  <c r="AS214" i="1"/>
  <c r="AR214" i="1"/>
  <c r="AP214" i="1"/>
  <c r="AO214" i="1"/>
  <c r="AL214" i="1"/>
  <c r="AM214" i="1" s="1"/>
  <c r="AI214" i="1"/>
  <c r="AJ214" i="1" s="1"/>
  <c r="AF214" i="1"/>
  <c r="AG214" i="1" s="1"/>
  <c r="AC214" i="1"/>
  <c r="AD214" i="1" s="1"/>
  <c r="Z214" i="1"/>
  <c r="AA214" i="1" s="1"/>
  <c r="W214" i="1"/>
  <c r="X214" i="1" s="1"/>
  <c r="T214" i="1"/>
  <c r="U214" i="1" s="1"/>
  <c r="O214" i="1"/>
  <c r="L214" i="1"/>
  <c r="I214" i="1"/>
  <c r="DO213" i="1"/>
  <c r="DP213" i="1" s="1"/>
  <c r="DL213" i="1"/>
  <c r="DM213" i="1" s="1"/>
  <c r="DI213" i="1"/>
  <c r="DJ213" i="1" s="1"/>
  <c r="DF213" i="1"/>
  <c r="DG213" i="1" s="1"/>
  <c r="DC213" i="1"/>
  <c r="DD213" i="1" s="1"/>
  <c r="CZ213" i="1"/>
  <c r="DA213" i="1" s="1"/>
  <c r="CW213" i="1"/>
  <c r="CX213" i="1" s="1"/>
  <c r="CT213" i="1"/>
  <c r="CU213" i="1" s="1"/>
  <c r="CR213" i="1"/>
  <c r="CQ213" i="1"/>
  <c r="CN213" i="1"/>
  <c r="CO213" i="1" s="1"/>
  <c r="CK213" i="1"/>
  <c r="CL213" i="1" s="1"/>
  <c r="CH213" i="1"/>
  <c r="CI213" i="1" s="1"/>
  <c r="CE213" i="1"/>
  <c r="CF213" i="1" s="1"/>
  <c r="CB213" i="1"/>
  <c r="CC213" i="1" s="1"/>
  <c r="BY213" i="1"/>
  <c r="BZ213" i="1" s="1"/>
  <c r="BV213" i="1"/>
  <c r="BW213" i="1" s="1"/>
  <c r="BS213" i="1"/>
  <c r="BT213" i="1" s="1"/>
  <c r="BQ213" i="1"/>
  <c r="BP213" i="1"/>
  <c r="BM213" i="1"/>
  <c r="BN213" i="1" s="1"/>
  <c r="BJ213" i="1"/>
  <c r="BK213" i="1" s="1"/>
  <c r="BG213" i="1"/>
  <c r="BH213" i="1" s="1"/>
  <c r="BD213" i="1"/>
  <c r="BE213" i="1" s="1"/>
  <c r="BA213" i="1"/>
  <c r="BB213" i="1" s="1"/>
  <c r="AX213" i="1"/>
  <c r="AY213" i="1" s="1"/>
  <c r="AU213" i="1"/>
  <c r="AV213" i="1" s="1"/>
  <c r="AR213" i="1"/>
  <c r="AS213" i="1" s="1"/>
  <c r="AP213" i="1"/>
  <c r="AO213" i="1"/>
  <c r="AL213" i="1"/>
  <c r="AM213" i="1" s="1"/>
  <c r="AI213" i="1"/>
  <c r="AJ213" i="1" s="1"/>
  <c r="AF213" i="1"/>
  <c r="AG213" i="1" s="1"/>
  <c r="AD213" i="1"/>
  <c r="AC213" i="1"/>
  <c r="Z213" i="1"/>
  <c r="AA213" i="1" s="1"/>
  <c r="W213" i="1"/>
  <c r="X213" i="1" s="1"/>
  <c r="T213" i="1"/>
  <c r="U213" i="1" s="1"/>
  <c r="R213" i="1"/>
  <c r="O213" i="1"/>
  <c r="L213" i="1"/>
  <c r="I213" i="1"/>
  <c r="DO212" i="1"/>
  <c r="DP212" i="1" s="1"/>
  <c r="DL212" i="1"/>
  <c r="DM212" i="1" s="1"/>
  <c r="DI212" i="1"/>
  <c r="DJ212" i="1" s="1"/>
  <c r="DF212" i="1"/>
  <c r="DG212" i="1" s="1"/>
  <c r="DC212" i="1"/>
  <c r="DD212" i="1" s="1"/>
  <c r="CZ212" i="1"/>
  <c r="DA212" i="1" s="1"/>
  <c r="CX212" i="1"/>
  <c r="CW212" i="1"/>
  <c r="CT212" i="1"/>
  <c r="CU212" i="1" s="1"/>
  <c r="CR212" i="1"/>
  <c r="CQ212" i="1"/>
  <c r="CN212" i="1"/>
  <c r="CO212" i="1" s="1"/>
  <c r="CK212" i="1"/>
  <c r="CL212" i="1" s="1"/>
  <c r="CH212" i="1"/>
  <c r="CI212" i="1" s="1"/>
  <c r="CF212" i="1"/>
  <c r="CE212" i="1"/>
  <c r="CB212" i="1"/>
  <c r="CC212" i="1" s="1"/>
  <c r="BY212" i="1"/>
  <c r="BZ212" i="1" s="1"/>
  <c r="BV212" i="1"/>
  <c r="BW212" i="1" s="1"/>
  <c r="BS212" i="1"/>
  <c r="BT212" i="1" s="1"/>
  <c r="BP212" i="1"/>
  <c r="BQ212" i="1" s="1"/>
  <c r="BM212" i="1"/>
  <c r="BN212" i="1" s="1"/>
  <c r="BJ212" i="1"/>
  <c r="BK212" i="1" s="1"/>
  <c r="BG212" i="1"/>
  <c r="BH212" i="1" s="1"/>
  <c r="BE212" i="1"/>
  <c r="BD212" i="1"/>
  <c r="BA212" i="1"/>
  <c r="BB212" i="1" s="1"/>
  <c r="AX212" i="1"/>
  <c r="AY212" i="1" s="1"/>
  <c r="AU212" i="1"/>
  <c r="AV212" i="1" s="1"/>
  <c r="AR212" i="1"/>
  <c r="AS212" i="1" s="1"/>
  <c r="AO212" i="1"/>
  <c r="AP212" i="1" s="1"/>
  <c r="AL212" i="1"/>
  <c r="AM212" i="1" s="1"/>
  <c r="AJ212" i="1"/>
  <c r="AI212" i="1"/>
  <c r="AF212" i="1"/>
  <c r="AG212" i="1" s="1"/>
  <c r="AC212" i="1"/>
  <c r="AD212" i="1" s="1"/>
  <c r="Z212" i="1"/>
  <c r="AA212" i="1" s="1"/>
  <c r="X212" i="1"/>
  <c r="W212" i="1"/>
  <c r="U212" i="1"/>
  <c r="T212" i="1"/>
  <c r="O212" i="1"/>
  <c r="L212" i="1"/>
  <c r="I212" i="1"/>
  <c r="DO211" i="1"/>
  <c r="DP211" i="1" s="1"/>
  <c r="DM211" i="1"/>
  <c r="DL211" i="1"/>
  <c r="DI211" i="1"/>
  <c r="DJ211" i="1" s="1"/>
  <c r="DF211" i="1"/>
  <c r="DG211" i="1" s="1"/>
  <c r="DC211" i="1"/>
  <c r="DD211" i="1" s="1"/>
  <c r="DA211" i="1"/>
  <c r="CZ211" i="1"/>
  <c r="CX211" i="1"/>
  <c r="CW211" i="1"/>
  <c r="CT211" i="1"/>
  <c r="CU211" i="1" s="1"/>
  <c r="CQ211" i="1"/>
  <c r="CR211" i="1" s="1"/>
  <c r="CN211" i="1"/>
  <c r="CO211" i="1" s="1"/>
  <c r="CK211" i="1"/>
  <c r="CL211" i="1" s="1"/>
  <c r="CH211" i="1"/>
  <c r="CI211" i="1" s="1"/>
  <c r="CE211" i="1"/>
  <c r="CF211" i="1" s="1"/>
  <c r="CB211" i="1"/>
  <c r="CC211" i="1" s="1"/>
  <c r="BY211" i="1"/>
  <c r="BZ211" i="1" s="1"/>
  <c r="BV211" i="1"/>
  <c r="BW211" i="1" s="1"/>
  <c r="BS211" i="1"/>
  <c r="BT211" i="1" s="1"/>
  <c r="BP211" i="1"/>
  <c r="BQ211" i="1" s="1"/>
  <c r="BN211" i="1"/>
  <c r="BM211" i="1"/>
  <c r="BJ211" i="1"/>
  <c r="BK211" i="1" s="1"/>
  <c r="BG211" i="1"/>
  <c r="BH211" i="1" s="1"/>
  <c r="BD211" i="1"/>
  <c r="BE211" i="1" s="1"/>
  <c r="BA211" i="1"/>
  <c r="BB211" i="1" s="1"/>
  <c r="AX211" i="1"/>
  <c r="AY211" i="1" s="1"/>
  <c r="AV211" i="1"/>
  <c r="AU211" i="1"/>
  <c r="AR211" i="1"/>
  <c r="AS211" i="1" s="1"/>
  <c r="AO211" i="1"/>
  <c r="AP211" i="1" s="1"/>
  <c r="AL211" i="1"/>
  <c r="AM211" i="1" s="1"/>
  <c r="AI211" i="1"/>
  <c r="AJ211" i="1" s="1"/>
  <c r="AG211" i="1"/>
  <c r="AF211" i="1"/>
  <c r="AC211" i="1"/>
  <c r="AD211" i="1" s="1"/>
  <c r="Z211" i="1"/>
  <c r="AA211" i="1" s="1"/>
  <c r="W211" i="1"/>
  <c r="X211" i="1" s="1"/>
  <c r="T211" i="1"/>
  <c r="U211" i="1" s="1"/>
  <c r="R211" i="1"/>
  <c r="O211" i="1"/>
  <c r="L211" i="1"/>
  <c r="I211" i="1"/>
  <c r="DP210" i="1"/>
  <c r="DO210" i="1"/>
  <c r="DL210" i="1"/>
  <c r="DM210" i="1" s="1"/>
  <c r="DJ210" i="1"/>
  <c r="DI210" i="1"/>
  <c r="DF210" i="1"/>
  <c r="DG210" i="1" s="1"/>
  <c r="DC210" i="1"/>
  <c r="DD210" i="1" s="1"/>
  <c r="CZ210" i="1"/>
  <c r="DA210" i="1" s="1"/>
  <c r="CX210" i="1"/>
  <c r="CW210" i="1"/>
  <c r="CT210" i="1"/>
  <c r="CU210" i="1" s="1"/>
  <c r="CR210" i="1"/>
  <c r="CQ210" i="1"/>
  <c r="CN210" i="1"/>
  <c r="CO210" i="1" s="1"/>
  <c r="CK210" i="1"/>
  <c r="CL210" i="1" s="1"/>
  <c r="CH210" i="1"/>
  <c r="CI210" i="1" s="1"/>
  <c r="CE210" i="1"/>
  <c r="CF210" i="1" s="1"/>
  <c r="CB210" i="1"/>
  <c r="CC210" i="1" s="1"/>
  <c r="BY210" i="1"/>
  <c r="BZ210" i="1" s="1"/>
  <c r="BV210" i="1"/>
  <c r="BW210" i="1" s="1"/>
  <c r="BT210" i="1"/>
  <c r="BS210" i="1"/>
  <c r="BP210" i="1"/>
  <c r="BQ210" i="1" s="1"/>
  <c r="BN210" i="1"/>
  <c r="BM210" i="1"/>
  <c r="BJ210" i="1"/>
  <c r="BK210" i="1" s="1"/>
  <c r="BG210" i="1"/>
  <c r="BH210" i="1" s="1"/>
  <c r="BD210" i="1"/>
  <c r="BE210" i="1" s="1"/>
  <c r="BB210" i="1"/>
  <c r="BA210" i="1"/>
  <c r="AX210" i="1"/>
  <c r="AY210" i="1" s="1"/>
  <c r="AU210" i="1"/>
  <c r="AV210" i="1" s="1"/>
  <c r="AR210" i="1"/>
  <c r="AS210" i="1" s="1"/>
  <c r="AO210" i="1"/>
  <c r="AP210" i="1" s="1"/>
  <c r="AL210" i="1"/>
  <c r="AM210" i="1" s="1"/>
  <c r="AI210" i="1"/>
  <c r="AJ210" i="1" s="1"/>
  <c r="AG210" i="1"/>
  <c r="AF210" i="1"/>
  <c r="AC210" i="1"/>
  <c r="AD210" i="1" s="1"/>
  <c r="Z210" i="1"/>
  <c r="AA210" i="1" s="1"/>
  <c r="W210" i="1"/>
  <c r="X210" i="1" s="1"/>
  <c r="T210" i="1"/>
  <c r="U210" i="1" s="1"/>
  <c r="R210" i="1"/>
  <c r="O210" i="1"/>
  <c r="DO209" i="1"/>
  <c r="DP209" i="1" s="1"/>
  <c r="DL209" i="1"/>
  <c r="DM209" i="1" s="1"/>
  <c r="DI209" i="1"/>
  <c r="DJ209" i="1" s="1"/>
  <c r="DF209" i="1"/>
  <c r="DG209" i="1" s="1"/>
  <c r="DC209" i="1"/>
  <c r="DD209" i="1" s="1"/>
  <c r="CZ209" i="1"/>
  <c r="DA209" i="1" s="1"/>
  <c r="CW209" i="1"/>
  <c r="CX209" i="1" s="1"/>
  <c r="CU209" i="1"/>
  <c r="CT209" i="1"/>
  <c r="CQ209" i="1"/>
  <c r="CR209" i="1" s="1"/>
  <c r="CN209" i="1"/>
  <c r="CO209" i="1" s="1"/>
  <c r="CK209" i="1"/>
  <c r="CL209" i="1" s="1"/>
  <c r="CH209" i="1"/>
  <c r="CI209" i="1" s="1"/>
  <c r="CE209" i="1"/>
  <c r="CF209" i="1" s="1"/>
  <c r="CC209" i="1"/>
  <c r="CB209" i="1"/>
  <c r="BY209" i="1"/>
  <c r="BZ209" i="1" s="1"/>
  <c r="BV209" i="1"/>
  <c r="BW209" i="1" s="1"/>
  <c r="BS209" i="1"/>
  <c r="BT209" i="1" s="1"/>
  <c r="BP209" i="1"/>
  <c r="BQ209" i="1" s="1"/>
  <c r="BM209" i="1"/>
  <c r="BN209" i="1" s="1"/>
  <c r="BJ209" i="1"/>
  <c r="BK209" i="1" s="1"/>
  <c r="BG209" i="1"/>
  <c r="BH209" i="1" s="1"/>
  <c r="BE209" i="1"/>
  <c r="BD209" i="1"/>
  <c r="BB209" i="1"/>
  <c r="BA209" i="1"/>
  <c r="AY209" i="1"/>
  <c r="AX209" i="1"/>
  <c r="AU209" i="1"/>
  <c r="AV209" i="1" s="1"/>
  <c r="AR209" i="1"/>
  <c r="AS209" i="1" s="1"/>
  <c r="AP209" i="1"/>
  <c r="AO209" i="1"/>
  <c r="AM209" i="1"/>
  <c r="AL209" i="1"/>
  <c r="AI209" i="1"/>
  <c r="AJ209" i="1" s="1"/>
  <c r="AF209" i="1"/>
  <c r="AG209" i="1" s="1"/>
  <c r="AC209" i="1"/>
  <c r="AD209" i="1" s="1"/>
  <c r="Z209" i="1"/>
  <c r="AA209" i="1" s="1"/>
  <c r="W209" i="1"/>
  <c r="X209" i="1" s="1"/>
  <c r="T209" i="1"/>
  <c r="U209" i="1" s="1"/>
  <c r="O209" i="1"/>
  <c r="L209" i="1"/>
  <c r="I209" i="1"/>
  <c r="DO208" i="1"/>
  <c r="DP208" i="1" s="1"/>
  <c r="DL208" i="1"/>
  <c r="DM208" i="1" s="1"/>
  <c r="DJ208" i="1"/>
  <c r="DI208" i="1"/>
  <c r="DG208" i="1"/>
  <c r="DF208" i="1"/>
  <c r="DC208" i="1"/>
  <c r="DD208" i="1" s="1"/>
  <c r="CZ208" i="1"/>
  <c r="DA208" i="1" s="1"/>
  <c r="CW208" i="1"/>
  <c r="CX208" i="1" s="1"/>
  <c r="CT208" i="1"/>
  <c r="CU208" i="1" s="1"/>
  <c r="CQ208" i="1"/>
  <c r="CR208" i="1" s="1"/>
  <c r="CN208" i="1"/>
  <c r="CO208" i="1" s="1"/>
  <c r="CK208" i="1"/>
  <c r="CL208" i="1" s="1"/>
  <c r="CH208" i="1"/>
  <c r="CI208" i="1" s="1"/>
  <c r="CE208" i="1"/>
  <c r="CF208" i="1" s="1"/>
  <c r="CB208" i="1"/>
  <c r="CC208" i="1" s="1"/>
  <c r="BY208" i="1"/>
  <c r="BZ208" i="1" s="1"/>
  <c r="BV208" i="1"/>
  <c r="BW208" i="1" s="1"/>
  <c r="BS208" i="1"/>
  <c r="BT208" i="1" s="1"/>
  <c r="BP208" i="1"/>
  <c r="BQ208" i="1" s="1"/>
  <c r="BM208" i="1"/>
  <c r="BN208" i="1" s="1"/>
  <c r="BK208" i="1"/>
  <c r="BJ208" i="1"/>
  <c r="BG208" i="1"/>
  <c r="BH208" i="1" s="1"/>
  <c r="BD208" i="1"/>
  <c r="BE208" i="1" s="1"/>
  <c r="BA208" i="1"/>
  <c r="BB208" i="1" s="1"/>
  <c r="AY208" i="1"/>
  <c r="AX208" i="1"/>
  <c r="AU208" i="1"/>
  <c r="AV208" i="1" s="1"/>
  <c r="AR208" i="1"/>
  <c r="AS208" i="1" s="1"/>
  <c r="AO208" i="1"/>
  <c r="AP208" i="1" s="1"/>
  <c r="AL208" i="1"/>
  <c r="AM208" i="1" s="1"/>
  <c r="AI208" i="1"/>
  <c r="AJ208" i="1" s="1"/>
  <c r="AF208" i="1"/>
  <c r="AG208" i="1" s="1"/>
  <c r="AC208" i="1"/>
  <c r="AD208" i="1" s="1"/>
  <c r="AA208" i="1"/>
  <c r="Z208" i="1"/>
  <c r="W208" i="1"/>
  <c r="X208" i="1" s="1"/>
  <c r="T208" i="1"/>
  <c r="U208" i="1" s="1"/>
  <c r="R208" i="1"/>
  <c r="O208" i="1"/>
  <c r="L208" i="1"/>
  <c r="I208" i="1"/>
  <c r="DO207" i="1"/>
  <c r="DP207" i="1" s="1"/>
  <c r="DL207" i="1"/>
  <c r="DM207" i="1" s="1"/>
  <c r="DI207" i="1"/>
  <c r="DJ207" i="1" s="1"/>
  <c r="DF207" i="1"/>
  <c r="DG207" i="1" s="1"/>
  <c r="DC207" i="1"/>
  <c r="DD207" i="1" s="1"/>
  <c r="CZ207" i="1"/>
  <c r="DA207" i="1" s="1"/>
  <c r="CX207" i="1"/>
  <c r="CW207" i="1"/>
  <c r="CT207" i="1"/>
  <c r="CU207" i="1" s="1"/>
  <c r="CQ207" i="1"/>
  <c r="CR207" i="1" s="1"/>
  <c r="CN207" i="1"/>
  <c r="CO207" i="1" s="1"/>
  <c r="CK207" i="1"/>
  <c r="CL207" i="1" s="1"/>
  <c r="CI207" i="1"/>
  <c r="CH207" i="1"/>
  <c r="CE207" i="1"/>
  <c r="CF207" i="1" s="1"/>
  <c r="CB207" i="1"/>
  <c r="CC207" i="1" s="1"/>
  <c r="BY207" i="1"/>
  <c r="BZ207" i="1" s="1"/>
  <c r="BW207" i="1"/>
  <c r="BV207" i="1"/>
  <c r="BS207" i="1"/>
  <c r="BT207" i="1" s="1"/>
  <c r="BP207" i="1"/>
  <c r="BQ207" i="1" s="1"/>
  <c r="BM207" i="1"/>
  <c r="BN207" i="1" s="1"/>
  <c r="BJ207" i="1"/>
  <c r="BK207" i="1" s="1"/>
  <c r="BG207" i="1"/>
  <c r="BH207" i="1" s="1"/>
  <c r="BD207" i="1"/>
  <c r="BE207" i="1" s="1"/>
  <c r="BB207" i="1"/>
  <c r="BA207" i="1"/>
  <c r="AX207" i="1"/>
  <c r="AY207" i="1" s="1"/>
  <c r="AU207" i="1"/>
  <c r="AV207" i="1" s="1"/>
  <c r="AR207" i="1"/>
  <c r="AS207" i="1" s="1"/>
  <c r="AO207" i="1"/>
  <c r="AP207" i="1" s="1"/>
  <c r="AL207" i="1"/>
  <c r="AM207" i="1" s="1"/>
  <c r="AI207" i="1"/>
  <c r="AJ207" i="1" s="1"/>
  <c r="AF207" i="1"/>
  <c r="AG207" i="1" s="1"/>
  <c r="AC207" i="1"/>
  <c r="AD207" i="1" s="1"/>
  <c r="AA207" i="1"/>
  <c r="Z207" i="1"/>
  <c r="W207" i="1"/>
  <c r="X207" i="1" s="1"/>
  <c r="T207" i="1"/>
  <c r="U207" i="1" s="1"/>
  <c r="R207" i="1"/>
  <c r="O207" i="1"/>
  <c r="L207" i="1"/>
  <c r="I207" i="1"/>
  <c r="DO206" i="1"/>
  <c r="DP206" i="1" s="1"/>
  <c r="DL206" i="1"/>
  <c r="DM206" i="1" s="1"/>
  <c r="DJ206" i="1"/>
  <c r="DI206" i="1"/>
  <c r="DG206" i="1"/>
  <c r="DF206" i="1"/>
  <c r="DC206" i="1"/>
  <c r="DD206" i="1" s="1"/>
  <c r="CZ206" i="1"/>
  <c r="DA206" i="1" s="1"/>
  <c r="CW206" i="1"/>
  <c r="CX206" i="1" s="1"/>
  <c r="CT206" i="1"/>
  <c r="CU206" i="1" s="1"/>
  <c r="CQ206" i="1"/>
  <c r="CR206" i="1" s="1"/>
  <c r="CN206" i="1"/>
  <c r="CO206" i="1" s="1"/>
  <c r="CK206" i="1"/>
  <c r="CL206" i="1" s="1"/>
  <c r="CH206" i="1"/>
  <c r="CI206" i="1" s="1"/>
  <c r="CE206" i="1"/>
  <c r="CF206" i="1" s="1"/>
  <c r="CB206" i="1"/>
  <c r="CC206" i="1" s="1"/>
  <c r="BY206" i="1"/>
  <c r="BZ206" i="1" s="1"/>
  <c r="BV206" i="1"/>
  <c r="BW206" i="1" s="1"/>
  <c r="BS206" i="1"/>
  <c r="BT206" i="1" s="1"/>
  <c r="BP206" i="1"/>
  <c r="BQ206" i="1" s="1"/>
  <c r="BN206" i="1"/>
  <c r="BM206" i="1"/>
  <c r="BK206" i="1"/>
  <c r="BJ206" i="1"/>
  <c r="BG206" i="1"/>
  <c r="BH206" i="1" s="1"/>
  <c r="BD206" i="1"/>
  <c r="BE206" i="1" s="1"/>
  <c r="BA206" i="1"/>
  <c r="BB206" i="1" s="1"/>
  <c r="AX206" i="1"/>
  <c r="AY206" i="1" s="1"/>
  <c r="AU206" i="1"/>
  <c r="AV206" i="1" s="1"/>
  <c r="AR206" i="1"/>
  <c r="AS206" i="1" s="1"/>
  <c r="AP206" i="1"/>
  <c r="AO206" i="1"/>
  <c r="AL206" i="1"/>
  <c r="AM206" i="1" s="1"/>
  <c r="AI206" i="1"/>
  <c r="AJ206" i="1" s="1"/>
  <c r="AF206" i="1"/>
  <c r="AG206" i="1" s="1"/>
  <c r="AD206" i="1"/>
  <c r="AC206" i="1"/>
  <c r="AA206" i="1"/>
  <c r="Z206" i="1"/>
  <c r="W206" i="1"/>
  <c r="X206" i="1" s="1"/>
  <c r="T206" i="1"/>
  <c r="U206" i="1" s="1"/>
  <c r="I206" i="1"/>
  <c r="DO205" i="1"/>
  <c r="DP205" i="1" s="1"/>
  <c r="DM205" i="1"/>
  <c r="DL205" i="1"/>
  <c r="DI205" i="1"/>
  <c r="DJ205" i="1" s="1"/>
  <c r="DF205" i="1"/>
  <c r="DG205" i="1" s="1"/>
  <c r="DC205" i="1"/>
  <c r="DD205" i="1" s="1"/>
  <c r="DA205" i="1"/>
  <c r="CZ205" i="1"/>
  <c r="CW205" i="1"/>
  <c r="CX205" i="1" s="1"/>
  <c r="CT205" i="1"/>
  <c r="CU205" i="1" s="1"/>
  <c r="CQ205" i="1"/>
  <c r="CR205" i="1" s="1"/>
  <c r="CN205" i="1"/>
  <c r="CO205" i="1" s="1"/>
  <c r="CK205" i="1"/>
  <c r="CL205" i="1" s="1"/>
  <c r="CH205" i="1"/>
  <c r="CI205" i="1" s="1"/>
  <c r="CE205" i="1"/>
  <c r="CF205" i="1" s="1"/>
  <c r="CC205" i="1"/>
  <c r="CB205" i="1"/>
  <c r="BY205" i="1"/>
  <c r="BZ205" i="1" s="1"/>
  <c r="BV205" i="1"/>
  <c r="BW205" i="1" s="1"/>
  <c r="BS205" i="1"/>
  <c r="BT205" i="1" s="1"/>
  <c r="BP205" i="1"/>
  <c r="BQ205" i="1" s="1"/>
  <c r="BM205" i="1"/>
  <c r="BN205" i="1" s="1"/>
  <c r="BK205" i="1"/>
  <c r="BJ205" i="1"/>
  <c r="BG205" i="1"/>
  <c r="BH205" i="1" s="1"/>
  <c r="BD205" i="1"/>
  <c r="BE205" i="1" s="1"/>
  <c r="BA205" i="1"/>
  <c r="BB205" i="1" s="1"/>
  <c r="AX205" i="1"/>
  <c r="AY205" i="1" s="1"/>
  <c r="AU205" i="1"/>
  <c r="AV205" i="1" s="1"/>
  <c r="AR205" i="1"/>
  <c r="AS205" i="1" s="1"/>
  <c r="AO205" i="1"/>
  <c r="AP205" i="1" s="1"/>
  <c r="AL205" i="1"/>
  <c r="AM205" i="1" s="1"/>
  <c r="AI205" i="1"/>
  <c r="AJ205" i="1" s="1"/>
  <c r="AF205" i="1"/>
  <c r="AG205" i="1" s="1"/>
  <c r="AC205" i="1"/>
  <c r="AD205" i="1" s="1"/>
  <c r="Z205" i="1"/>
  <c r="AA205" i="1" s="1"/>
  <c r="X205" i="1"/>
  <c r="W205" i="1"/>
  <c r="T205" i="1"/>
  <c r="U205" i="1" s="1"/>
  <c r="R205" i="1"/>
  <c r="O205" i="1"/>
  <c r="L205" i="1"/>
  <c r="I205" i="1"/>
  <c r="DP204" i="1"/>
  <c r="DO204" i="1"/>
  <c r="DL204" i="1"/>
  <c r="DM204" i="1" s="1"/>
  <c r="DI204" i="1"/>
  <c r="DJ204" i="1" s="1"/>
  <c r="DF204" i="1"/>
  <c r="DG204" i="1" s="1"/>
  <c r="DC204" i="1"/>
  <c r="DD204" i="1" s="1"/>
  <c r="DA204" i="1"/>
  <c r="CZ204" i="1"/>
  <c r="CW204" i="1"/>
  <c r="CX204" i="1" s="1"/>
  <c r="CT204" i="1"/>
  <c r="CU204" i="1" s="1"/>
  <c r="CQ204" i="1"/>
  <c r="CR204" i="1" s="1"/>
  <c r="CN204" i="1"/>
  <c r="CO204" i="1" s="1"/>
  <c r="CK204" i="1"/>
  <c r="CL204" i="1" s="1"/>
  <c r="CH204" i="1"/>
  <c r="CI204" i="1" s="1"/>
  <c r="CF204" i="1"/>
  <c r="CE204" i="1"/>
  <c r="CB204" i="1"/>
  <c r="CC204" i="1" s="1"/>
  <c r="BY204" i="1"/>
  <c r="BZ204" i="1" s="1"/>
  <c r="BV204" i="1"/>
  <c r="BW204" i="1" s="1"/>
  <c r="BS204" i="1"/>
  <c r="BT204" i="1" s="1"/>
  <c r="BP204" i="1"/>
  <c r="BQ204" i="1" s="1"/>
  <c r="BM204" i="1"/>
  <c r="BN204" i="1" s="1"/>
  <c r="BJ204" i="1"/>
  <c r="BK204" i="1" s="1"/>
  <c r="BG204" i="1"/>
  <c r="BH204" i="1" s="1"/>
  <c r="BE204" i="1"/>
  <c r="BD204" i="1"/>
  <c r="BA204" i="1"/>
  <c r="BB204" i="1" s="1"/>
  <c r="AX204" i="1"/>
  <c r="AY204" i="1" s="1"/>
  <c r="AU204" i="1"/>
  <c r="AV204" i="1" s="1"/>
  <c r="AR204" i="1"/>
  <c r="AS204" i="1" s="1"/>
  <c r="AO204" i="1"/>
  <c r="AP204" i="1" s="1"/>
  <c r="AL204" i="1"/>
  <c r="AM204" i="1" s="1"/>
  <c r="AI204" i="1"/>
  <c r="AJ204" i="1" s="1"/>
  <c r="AF204" i="1"/>
  <c r="AG204" i="1" s="1"/>
  <c r="AC204" i="1"/>
  <c r="AD204" i="1" s="1"/>
  <c r="Z204" i="1"/>
  <c r="AA204" i="1" s="1"/>
  <c r="W204" i="1"/>
  <c r="X204" i="1" s="1"/>
  <c r="T204" i="1"/>
  <c r="U204" i="1" s="1"/>
  <c r="R204" i="1"/>
  <c r="O204" i="1"/>
  <c r="L204" i="1"/>
  <c r="I204" i="1"/>
  <c r="DO203" i="1"/>
  <c r="DP203" i="1" s="1"/>
  <c r="DL203" i="1"/>
  <c r="DM203" i="1" s="1"/>
  <c r="DI203" i="1"/>
  <c r="DJ203" i="1" s="1"/>
  <c r="DF203" i="1"/>
  <c r="DG203" i="1" s="1"/>
  <c r="DC203" i="1"/>
  <c r="DD203" i="1" s="1"/>
  <c r="DA203" i="1"/>
  <c r="CZ203" i="1"/>
  <c r="CW203" i="1"/>
  <c r="CX203" i="1" s="1"/>
  <c r="CT203" i="1"/>
  <c r="CU203" i="1" s="1"/>
  <c r="CQ203" i="1"/>
  <c r="CR203" i="1" s="1"/>
  <c r="CO203" i="1"/>
  <c r="CN203" i="1"/>
  <c r="CK203" i="1"/>
  <c r="CL203" i="1" s="1"/>
  <c r="CI203" i="1"/>
  <c r="CH203" i="1"/>
  <c r="CE203" i="1"/>
  <c r="CF203" i="1" s="1"/>
  <c r="CB203" i="1"/>
  <c r="CC203" i="1" s="1"/>
  <c r="BY203" i="1"/>
  <c r="BZ203" i="1" s="1"/>
  <c r="BV203" i="1"/>
  <c r="BW203" i="1" s="1"/>
  <c r="BS203" i="1"/>
  <c r="BT203" i="1" s="1"/>
  <c r="BQ203" i="1"/>
  <c r="BP203" i="1"/>
  <c r="BM203" i="1"/>
  <c r="BN203" i="1" s="1"/>
  <c r="BJ203" i="1"/>
  <c r="BK203" i="1" s="1"/>
  <c r="BG203" i="1"/>
  <c r="BH203" i="1" s="1"/>
  <c r="BD203" i="1"/>
  <c r="BE203" i="1" s="1"/>
  <c r="BA203" i="1"/>
  <c r="BB203" i="1" s="1"/>
  <c r="AX203" i="1"/>
  <c r="AY203" i="1" s="1"/>
  <c r="AU203" i="1"/>
  <c r="AV203" i="1" s="1"/>
  <c r="AR203" i="1"/>
  <c r="AS203" i="1" s="1"/>
  <c r="AO203" i="1"/>
  <c r="AP203" i="1" s="1"/>
  <c r="AL203" i="1"/>
  <c r="AM203" i="1" s="1"/>
  <c r="AJ203" i="1"/>
  <c r="AI203" i="1"/>
  <c r="AF203" i="1"/>
  <c r="AG203" i="1" s="1"/>
  <c r="AC203" i="1"/>
  <c r="AD203" i="1" s="1"/>
  <c r="Z203" i="1"/>
  <c r="AA203" i="1" s="1"/>
  <c r="W203" i="1"/>
  <c r="X203" i="1" s="1"/>
  <c r="U203" i="1"/>
  <c r="T203" i="1"/>
  <c r="R203" i="1"/>
  <c r="O203" i="1"/>
  <c r="L203" i="1"/>
  <c r="I203" i="1"/>
  <c r="DO202" i="1"/>
  <c r="DP202" i="1" s="1"/>
  <c r="DM202" i="1"/>
  <c r="DL202" i="1"/>
  <c r="DI202" i="1"/>
  <c r="DJ202" i="1" s="1"/>
  <c r="DF202" i="1"/>
  <c r="DG202" i="1" s="1"/>
  <c r="DC202" i="1"/>
  <c r="DD202" i="1" s="1"/>
  <c r="CZ202" i="1"/>
  <c r="DA202" i="1" s="1"/>
  <c r="CW202" i="1"/>
  <c r="CX202" i="1" s="1"/>
  <c r="CT202" i="1"/>
  <c r="CU202" i="1" s="1"/>
  <c r="CQ202" i="1"/>
  <c r="CR202" i="1" s="1"/>
  <c r="CO202" i="1"/>
  <c r="CN202" i="1"/>
  <c r="CK202" i="1"/>
  <c r="CL202" i="1" s="1"/>
  <c r="CH202" i="1"/>
  <c r="CI202" i="1" s="1"/>
  <c r="CE202" i="1"/>
  <c r="CF202" i="1" s="1"/>
  <c r="CB202" i="1"/>
  <c r="CC202" i="1" s="1"/>
  <c r="BY202" i="1"/>
  <c r="BZ202" i="1" s="1"/>
  <c r="BV202" i="1"/>
  <c r="BW202" i="1" s="1"/>
  <c r="BS202" i="1"/>
  <c r="BT202" i="1" s="1"/>
  <c r="BQ202" i="1"/>
  <c r="BP202" i="1"/>
  <c r="BM202" i="1"/>
  <c r="BN202" i="1" s="1"/>
  <c r="BJ202" i="1"/>
  <c r="BK202" i="1" s="1"/>
  <c r="BH202" i="1"/>
  <c r="BG202" i="1"/>
  <c r="BE202" i="1"/>
  <c r="BD202" i="1"/>
  <c r="BA202" i="1"/>
  <c r="BB202" i="1" s="1"/>
  <c r="AX202" i="1"/>
  <c r="AY202" i="1" s="1"/>
  <c r="AU202" i="1"/>
  <c r="AV202" i="1" s="1"/>
  <c r="AS202" i="1"/>
  <c r="AR202" i="1"/>
  <c r="AO202" i="1"/>
  <c r="AP202" i="1" s="1"/>
  <c r="AM202" i="1"/>
  <c r="AL202" i="1"/>
  <c r="AI202" i="1"/>
  <c r="AJ202" i="1" s="1"/>
  <c r="AF202" i="1"/>
  <c r="AG202" i="1" s="1"/>
  <c r="AC202" i="1"/>
  <c r="AD202" i="1" s="1"/>
  <c r="Z202" i="1"/>
  <c r="AA202" i="1" s="1"/>
  <c r="X202" i="1"/>
  <c r="W202" i="1"/>
  <c r="T202" i="1"/>
  <c r="U202" i="1" s="1"/>
  <c r="R202" i="1"/>
  <c r="O202" i="1"/>
  <c r="L202" i="1"/>
  <c r="I202" i="1"/>
  <c r="DP201" i="1"/>
  <c r="DO201" i="1"/>
  <c r="DL201" i="1"/>
  <c r="DM201" i="1" s="1"/>
  <c r="DI201" i="1"/>
  <c r="DJ201" i="1" s="1"/>
  <c r="DF201" i="1"/>
  <c r="DG201" i="1" s="1"/>
  <c r="DC201" i="1"/>
  <c r="DD201" i="1" s="1"/>
  <c r="DA201" i="1"/>
  <c r="CZ201" i="1"/>
  <c r="CW201" i="1"/>
  <c r="CX201" i="1" s="1"/>
  <c r="CT201" i="1"/>
  <c r="CU201" i="1" s="1"/>
  <c r="CQ201" i="1"/>
  <c r="CR201" i="1" s="1"/>
  <c r="CN201" i="1"/>
  <c r="CO201" i="1" s="1"/>
  <c r="CK201" i="1"/>
  <c r="CL201" i="1" s="1"/>
  <c r="CI201" i="1"/>
  <c r="CH201" i="1"/>
  <c r="CE201" i="1"/>
  <c r="CF201" i="1" s="1"/>
  <c r="CB201" i="1"/>
  <c r="CC201" i="1" s="1"/>
  <c r="BY201" i="1"/>
  <c r="BZ201" i="1" s="1"/>
  <c r="BV201" i="1"/>
  <c r="BW201" i="1" s="1"/>
  <c r="BS201" i="1"/>
  <c r="BT201" i="1" s="1"/>
  <c r="BQ201" i="1"/>
  <c r="BP201" i="1"/>
  <c r="BM201" i="1"/>
  <c r="BN201" i="1" s="1"/>
  <c r="BJ201" i="1"/>
  <c r="BK201" i="1" s="1"/>
  <c r="BH201" i="1"/>
  <c r="BG201" i="1"/>
  <c r="BD201" i="1"/>
  <c r="BE201" i="1" s="1"/>
  <c r="BA201" i="1"/>
  <c r="BB201" i="1" s="1"/>
  <c r="AX201" i="1"/>
  <c r="AY201" i="1" s="1"/>
  <c r="AU201" i="1"/>
  <c r="AV201" i="1" s="1"/>
  <c r="AR201" i="1"/>
  <c r="AS201" i="1" s="1"/>
  <c r="AO201" i="1"/>
  <c r="AP201" i="1" s="1"/>
  <c r="AL201" i="1"/>
  <c r="AM201" i="1" s="1"/>
  <c r="AI201" i="1"/>
  <c r="AJ201" i="1" s="1"/>
  <c r="AF201" i="1"/>
  <c r="AG201" i="1" s="1"/>
  <c r="AC201" i="1"/>
  <c r="AD201" i="1" s="1"/>
  <c r="Z201" i="1"/>
  <c r="AA201" i="1" s="1"/>
  <c r="W201" i="1"/>
  <c r="X201" i="1" s="1"/>
  <c r="T201" i="1"/>
  <c r="U201" i="1" s="1"/>
  <c r="R201" i="1"/>
  <c r="O201" i="1"/>
  <c r="L201" i="1"/>
  <c r="I201" i="1"/>
  <c r="DP200" i="1"/>
  <c r="DO200" i="1"/>
  <c r="DL200" i="1"/>
  <c r="DM200" i="1" s="1"/>
  <c r="DI200" i="1"/>
  <c r="DJ200" i="1" s="1"/>
  <c r="DF200" i="1"/>
  <c r="DG200" i="1" s="1"/>
  <c r="DC200" i="1"/>
  <c r="DD200" i="1" s="1"/>
  <c r="DA200" i="1"/>
  <c r="CZ200" i="1"/>
  <c r="CW200" i="1"/>
  <c r="CX200" i="1" s="1"/>
  <c r="CT200" i="1"/>
  <c r="CU200" i="1" s="1"/>
  <c r="CQ200" i="1"/>
  <c r="CR200" i="1" s="1"/>
  <c r="CN200" i="1"/>
  <c r="CO200" i="1" s="1"/>
  <c r="CK200" i="1"/>
  <c r="CL200" i="1" s="1"/>
  <c r="CI200" i="1"/>
  <c r="CH200" i="1"/>
  <c r="CE200" i="1"/>
  <c r="CF200" i="1" s="1"/>
  <c r="CC200" i="1"/>
  <c r="CB200" i="1"/>
  <c r="BY200" i="1"/>
  <c r="BZ200" i="1" s="1"/>
  <c r="BV200" i="1"/>
  <c r="BW200" i="1" s="1"/>
  <c r="BS200" i="1"/>
  <c r="BT200" i="1" s="1"/>
  <c r="BP200" i="1"/>
  <c r="BQ200" i="1" s="1"/>
  <c r="BM200" i="1"/>
  <c r="BN200" i="1" s="1"/>
  <c r="BJ200" i="1"/>
  <c r="BK200" i="1" s="1"/>
  <c r="BH200" i="1"/>
  <c r="BG200" i="1"/>
  <c r="BE200" i="1"/>
  <c r="BD200" i="1"/>
  <c r="BA200" i="1"/>
  <c r="BB200" i="1" s="1"/>
  <c r="AX200" i="1"/>
  <c r="AY200" i="1" s="1"/>
  <c r="AU200" i="1"/>
  <c r="AV200" i="1" s="1"/>
  <c r="AS200" i="1"/>
  <c r="AR200" i="1"/>
  <c r="AO200" i="1"/>
  <c r="AP200" i="1" s="1"/>
  <c r="AL200" i="1"/>
  <c r="AM200" i="1" s="1"/>
  <c r="AI200" i="1"/>
  <c r="AJ200" i="1" s="1"/>
  <c r="AF200" i="1"/>
  <c r="AG200" i="1" s="1"/>
  <c r="AC200" i="1"/>
  <c r="AD200" i="1" s="1"/>
  <c r="Z200" i="1"/>
  <c r="AA200" i="1" s="1"/>
  <c r="W200" i="1"/>
  <c r="X200" i="1" s="1"/>
  <c r="T200" i="1"/>
  <c r="U200" i="1" s="1"/>
  <c r="R200" i="1"/>
  <c r="O200" i="1"/>
  <c r="L200" i="1"/>
  <c r="I200" i="1"/>
  <c r="DO199" i="1"/>
  <c r="DP199" i="1" s="1"/>
  <c r="DL199" i="1"/>
  <c r="DM199" i="1" s="1"/>
  <c r="DI199" i="1"/>
  <c r="DJ199" i="1" s="1"/>
  <c r="DF199" i="1"/>
  <c r="DG199" i="1" s="1"/>
  <c r="DC199" i="1"/>
  <c r="DD199" i="1" s="1"/>
  <c r="CZ199" i="1"/>
  <c r="DA199" i="1" s="1"/>
  <c r="CW199" i="1"/>
  <c r="CX199" i="1" s="1"/>
  <c r="CT199" i="1"/>
  <c r="CU199" i="1" s="1"/>
  <c r="CQ199" i="1"/>
  <c r="CR199" i="1" s="1"/>
  <c r="CO199" i="1"/>
  <c r="CN199" i="1"/>
  <c r="CK199" i="1"/>
  <c r="CL199" i="1" s="1"/>
  <c r="CH199" i="1"/>
  <c r="CI199" i="1" s="1"/>
  <c r="CE199" i="1"/>
  <c r="CF199" i="1" s="1"/>
  <c r="CB199" i="1"/>
  <c r="CC199" i="1" s="1"/>
  <c r="BY199" i="1"/>
  <c r="BZ199" i="1" s="1"/>
  <c r="BV199" i="1"/>
  <c r="BW199" i="1" s="1"/>
  <c r="BS199" i="1"/>
  <c r="BT199" i="1" s="1"/>
  <c r="BP199" i="1"/>
  <c r="BQ199" i="1" s="1"/>
  <c r="BM199" i="1"/>
  <c r="BN199" i="1" s="1"/>
  <c r="BK199" i="1"/>
  <c r="BJ199" i="1"/>
  <c r="BH199" i="1"/>
  <c r="BG199" i="1"/>
  <c r="BE199" i="1"/>
  <c r="BD199" i="1"/>
  <c r="BA199" i="1"/>
  <c r="BB199" i="1" s="1"/>
  <c r="AX199" i="1"/>
  <c r="AY199" i="1" s="1"/>
  <c r="AU199" i="1"/>
  <c r="AV199" i="1" s="1"/>
  <c r="AR199" i="1"/>
  <c r="AS199" i="1" s="1"/>
  <c r="AO199" i="1"/>
  <c r="AP199" i="1" s="1"/>
  <c r="AL199" i="1"/>
  <c r="AM199" i="1" s="1"/>
  <c r="AI199" i="1"/>
  <c r="AJ199" i="1" s="1"/>
  <c r="AF199" i="1"/>
  <c r="AG199" i="1" s="1"/>
  <c r="AC199" i="1"/>
  <c r="AD199" i="1" s="1"/>
  <c r="Z199" i="1"/>
  <c r="AA199" i="1" s="1"/>
  <c r="X199" i="1"/>
  <c r="W199" i="1"/>
  <c r="T199" i="1"/>
  <c r="U199" i="1" s="1"/>
  <c r="O199" i="1"/>
  <c r="L199" i="1"/>
  <c r="I199" i="1"/>
  <c r="DO198" i="1"/>
  <c r="DP198" i="1" s="1"/>
  <c r="DM198" i="1"/>
  <c r="DL198" i="1"/>
  <c r="DI198" i="1"/>
  <c r="DJ198" i="1" s="1"/>
  <c r="DF198" i="1"/>
  <c r="DG198" i="1" s="1"/>
  <c r="DC198" i="1"/>
  <c r="DD198" i="1" s="1"/>
  <c r="CZ198" i="1"/>
  <c r="DA198" i="1" s="1"/>
  <c r="CW198" i="1"/>
  <c r="CX198" i="1" s="1"/>
  <c r="CT198" i="1"/>
  <c r="CU198" i="1" s="1"/>
  <c r="CQ198" i="1"/>
  <c r="CR198" i="1" s="1"/>
  <c r="CN198" i="1"/>
  <c r="CO198" i="1" s="1"/>
  <c r="CK198" i="1"/>
  <c r="CL198" i="1" s="1"/>
  <c r="CH198" i="1"/>
  <c r="CI198" i="1" s="1"/>
  <c r="CF198" i="1"/>
  <c r="CE198" i="1"/>
  <c r="CB198" i="1"/>
  <c r="CC198" i="1" s="1"/>
  <c r="BY198" i="1"/>
  <c r="BZ198" i="1" s="1"/>
  <c r="BV198" i="1"/>
  <c r="BW198" i="1" s="1"/>
  <c r="BS198" i="1"/>
  <c r="BT198" i="1" s="1"/>
  <c r="BP198" i="1"/>
  <c r="BQ198" i="1" s="1"/>
  <c r="BM198" i="1"/>
  <c r="BN198" i="1" s="1"/>
  <c r="BJ198" i="1"/>
  <c r="BK198" i="1" s="1"/>
  <c r="BH198" i="1"/>
  <c r="BG198" i="1"/>
  <c r="BD198" i="1"/>
  <c r="BE198" i="1" s="1"/>
  <c r="BA198" i="1"/>
  <c r="BB198" i="1" s="1"/>
  <c r="AX198" i="1"/>
  <c r="AY198" i="1" s="1"/>
  <c r="AU198" i="1"/>
  <c r="AV198" i="1" s="1"/>
  <c r="AS198" i="1"/>
  <c r="AR198" i="1"/>
  <c r="AO198" i="1"/>
  <c r="AP198" i="1" s="1"/>
  <c r="AL198" i="1"/>
  <c r="AM198" i="1" s="1"/>
  <c r="AI198" i="1"/>
  <c r="AJ198" i="1" s="1"/>
  <c r="AF198" i="1"/>
  <c r="AG198" i="1" s="1"/>
  <c r="AC198" i="1"/>
  <c r="AD198" i="1" s="1"/>
  <c r="Z198" i="1"/>
  <c r="AA198" i="1" s="1"/>
  <c r="W198" i="1"/>
  <c r="X198" i="1" s="1"/>
  <c r="U198" i="1"/>
  <c r="T198" i="1"/>
  <c r="R198" i="1"/>
  <c r="O198" i="1"/>
  <c r="L198" i="1"/>
  <c r="I198" i="1"/>
  <c r="DO197" i="1"/>
  <c r="DP197" i="1" s="1"/>
  <c r="DM197" i="1"/>
  <c r="DL197" i="1"/>
  <c r="DI197" i="1"/>
  <c r="DJ197" i="1" s="1"/>
  <c r="DF197" i="1"/>
  <c r="DG197" i="1" s="1"/>
  <c r="DC197" i="1"/>
  <c r="DD197" i="1" s="1"/>
  <c r="CZ197" i="1"/>
  <c r="DA197" i="1" s="1"/>
  <c r="CW197" i="1"/>
  <c r="CX197" i="1" s="1"/>
  <c r="CT197" i="1"/>
  <c r="CU197" i="1" s="1"/>
  <c r="CR197" i="1"/>
  <c r="CQ197" i="1"/>
  <c r="CN197" i="1"/>
  <c r="CO197" i="1" s="1"/>
  <c r="CK197" i="1"/>
  <c r="CL197" i="1" s="1"/>
  <c r="CH197" i="1"/>
  <c r="CI197" i="1" s="1"/>
  <c r="CF197" i="1"/>
  <c r="CE197" i="1"/>
  <c r="CC197" i="1"/>
  <c r="CB197" i="1"/>
  <c r="BY197" i="1"/>
  <c r="BZ197" i="1" s="1"/>
  <c r="BV197" i="1"/>
  <c r="BW197" i="1" s="1"/>
  <c r="BS197" i="1"/>
  <c r="BT197" i="1" s="1"/>
  <c r="BQ197" i="1"/>
  <c r="BP197" i="1"/>
  <c r="BM197" i="1"/>
  <c r="BN197" i="1" s="1"/>
  <c r="BJ197" i="1"/>
  <c r="BK197" i="1" s="1"/>
  <c r="BG197" i="1"/>
  <c r="BH197" i="1" s="1"/>
  <c r="BD197" i="1"/>
  <c r="BE197" i="1" s="1"/>
  <c r="BA197" i="1"/>
  <c r="BB197" i="1" s="1"/>
  <c r="AX197" i="1"/>
  <c r="AY197" i="1" s="1"/>
  <c r="AV197" i="1"/>
  <c r="AU197" i="1"/>
  <c r="AR197" i="1"/>
  <c r="AS197" i="1" s="1"/>
  <c r="AO197" i="1"/>
  <c r="AP197" i="1" s="1"/>
  <c r="AL197" i="1"/>
  <c r="AM197" i="1" s="1"/>
  <c r="AJ197" i="1"/>
  <c r="AI197" i="1"/>
  <c r="AG197" i="1"/>
  <c r="AF197" i="1"/>
  <c r="AC197" i="1"/>
  <c r="AD197" i="1" s="1"/>
  <c r="Z197" i="1"/>
  <c r="AA197" i="1" s="1"/>
  <c r="W197" i="1"/>
  <c r="X197" i="1" s="1"/>
  <c r="U197" i="1"/>
  <c r="T197" i="1"/>
  <c r="R197" i="1"/>
  <c r="O197" i="1"/>
  <c r="L197" i="1"/>
  <c r="I197" i="1"/>
  <c r="DO196" i="1"/>
  <c r="DP196" i="1" s="1"/>
  <c r="DM196" i="1"/>
  <c r="DL196" i="1"/>
  <c r="DI196" i="1"/>
  <c r="DJ196" i="1" s="1"/>
  <c r="DF196" i="1"/>
  <c r="DG196" i="1" s="1"/>
  <c r="DC196" i="1"/>
  <c r="DD196" i="1" s="1"/>
  <c r="CZ196" i="1"/>
  <c r="DA196" i="1" s="1"/>
  <c r="CW196" i="1"/>
  <c r="CX196" i="1" s="1"/>
  <c r="CT196" i="1"/>
  <c r="CU196" i="1" s="1"/>
  <c r="CR196" i="1"/>
  <c r="CQ196" i="1"/>
  <c r="CN196" i="1"/>
  <c r="CO196" i="1" s="1"/>
  <c r="CK196" i="1"/>
  <c r="CL196" i="1" s="1"/>
  <c r="CH196" i="1"/>
  <c r="CI196" i="1" s="1"/>
  <c r="CF196" i="1"/>
  <c r="CE196" i="1"/>
  <c r="CC196" i="1"/>
  <c r="CB196" i="1"/>
  <c r="BY196" i="1"/>
  <c r="BZ196" i="1" s="1"/>
  <c r="BV196" i="1"/>
  <c r="BW196" i="1" s="1"/>
  <c r="BS196" i="1"/>
  <c r="BT196" i="1" s="1"/>
  <c r="BQ196" i="1"/>
  <c r="BP196" i="1"/>
  <c r="BM196" i="1"/>
  <c r="BN196" i="1" s="1"/>
  <c r="BJ196" i="1"/>
  <c r="BK196" i="1" s="1"/>
  <c r="BG196" i="1"/>
  <c r="BH196" i="1" s="1"/>
  <c r="BD196" i="1"/>
  <c r="BE196" i="1" s="1"/>
  <c r="BA196" i="1"/>
  <c r="BB196" i="1" s="1"/>
  <c r="AX196" i="1"/>
  <c r="AY196" i="1" s="1"/>
  <c r="AV196" i="1"/>
  <c r="AU196" i="1"/>
  <c r="AR196" i="1"/>
  <c r="AS196" i="1" s="1"/>
  <c r="AO196" i="1"/>
  <c r="AP196" i="1" s="1"/>
  <c r="AL196" i="1"/>
  <c r="AM196" i="1" s="1"/>
  <c r="AJ196" i="1"/>
  <c r="AI196" i="1"/>
  <c r="AG196" i="1"/>
  <c r="AF196" i="1"/>
  <c r="AC196" i="1"/>
  <c r="AD196" i="1" s="1"/>
  <c r="Z196" i="1"/>
  <c r="AA196" i="1" s="1"/>
  <c r="W196" i="1"/>
  <c r="X196" i="1" s="1"/>
  <c r="U196" i="1"/>
  <c r="T196" i="1"/>
  <c r="R196" i="1"/>
  <c r="O196" i="1"/>
  <c r="L196" i="1"/>
  <c r="I196" i="1"/>
  <c r="DO195" i="1"/>
  <c r="DP195" i="1" s="1"/>
  <c r="DM195" i="1"/>
  <c r="DL195" i="1"/>
  <c r="DI195" i="1"/>
  <c r="DJ195" i="1" s="1"/>
  <c r="DF195" i="1"/>
  <c r="DG195" i="1" s="1"/>
  <c r="DC195" i="1"/>
  <c r="DD195" i="1" s="1"/>
  <c r="CZ195" i="1"/>
  <c r="DA195" i="1" s="1"/>
  <c r="CW195" i="1"/>
  <c r="CX195" i="1" s="1"/>
  <c r="CT195" i="1"/>
  <c r="CU195" i="1" s="1"/>
  <c r="CR195" i="1"/>
  <c r="CQ195" i="1"/>
  <c r="CN195" i="1"/>
  <c r="CO195" i="1" s="1"/>
  <c r="CK195" i="1"/>
  <c r="CL195" i="1" s="1"/>
  <c r="CH195" i="1"/>
  <c r="CI195" i="1" s="1"/>
  <c r="CF195" i="1"/>
  <c r="CE195" i="1"/>
  <c r="CC195" i="1"/>
  <c r="CB195" i="1"/>
  <c r="BY195" i="1"/>
  <c r="BZ195" i="1" s="1"/>
  <c r="BV195" i="1"/>
  <c r="BW195" i="1" s="1"/>
  <c r="BS195" i="1"/>
  <c r="BT195" i="1" s="1"/>
  <c r="BQ195" i="1"/>
  <c r="BP195" i="1"/>
  <c r="BM195" i="1"/>
  <c r="BN195" i="1" s="1"/>
  <c r="BJ195" i="1"/>
  <c r="BK195" i="1" s="1"/>
  <c r="BG195" i="1"/>
  <c r="BH195" i="1" s="1"/>
  <c r="BD195" i="1"/>
  <c r="BE195" i="1" s="1"/>
  <c r="BA195" i="1"/>
  <c r="BB195" i="1" s="1"/>
  <c r="AX195" i="1"/>
  <c r="AY195" i="1" s="1"/>
  <c r="AV195" i="1"/>
  <c r="AU195" i="1"/>
  <c r="AR195" i="1"/>
  <c r="AS195" i="1" s="1"/>
  <c r="AO195" i="1"/>
  <c r="AP195" i="1" s="1"/>
  <c r="AL195" i="1"/>
  <c r="AM195" i="1" s="1"/>
  <c r="AJ195" i="1"/>
  <c r="AI195" i="1"/>
  <c r="AG195" i="1"/>
  <c r="AF195" i="1"/>
  <c r="AC195" i="1"/>
  <c r="AD195" i="1" s="1"/>
  <c r="Z195" i="1"/>
  <c r="AA195" i="1" s="1"/>
  <c r="W195" i="1"/>
  <c r="X195" i="1" s="1"/>
  <c r="U195" i="1"/>
  <c r="T195" i="1"/>
  <c r="L195" i="1"/>
  <c r="I195" i="1"/>
  <c r="DO194" i="1"/>
  <c r="DP194" i="1" s="1"/>
  <c r="DL194" i="1"/>
  <c r="DM194" i="1" s="1"/>
  <c r="DI194" i="1"/>
  <c r="DJ194" i="1" s="1"/>
  <c r="DF194" i="1"/>
  <c r="DG194" i="1" s="1"/>
  <c r="DC194" i="1"/>
  <c r="DD194" i="1" s="1"/>
  <c r="CZ194" i="1"/>
  <c r="DA194" i="1" s="1"/>
  <c r="CW194" i="1"/>
  <c r="CX194" i="1" s="1"/>
  <c r="CT194" i="1"/>
  <c r="CU194" i="1" s="1"/>
  <c r="CQ194" i="1"/>
  <c r="CR194" i="1" s="1"/>
  <c r="CN194" i="1"/>
  <c r="CO194" i="1" s="1"/>
  <c r="CL194" i="1"/>
  <c r="CK194" i="1"/>
  <c r="CH194" i="1"/>
  <c r="CI194" i="1" s="1"/>
  <c r="CE194" i="1"/>
  <c r="CF194" i="1" s="1"/>
  <c r="CB194" i="1"/>
  <c r="CC194" i="1" s="1"/>
  <c r="BY194" i="1"/>
  <c r="BZ194" i="1" s="1"/>
  <c r="BV194" i="1"/>
  <c r="BW194" i="1" s="1"/>
  <c r="BS194" i="1"/>
  <c r="BT194" i="1" s="1"/>
  <c r="BQ194" i="1"/>
  <c r="BP194" i="1"/>
  <c r="BM194" i="1"/>
  <c r="BN194" i="1" s="1"/>
  <c r="BJ194" i="1"/>
  <c r="BK194" i="1" s="1"/>
  <c r="BG194" i="1"/>
  <c r="BH194" i="1" s="1"/>
  <c r="BD194" i="1"/>
  <c r="BE194" i="1" s="1"/>
  <c r="BB194" i="1"/>
  <c r="BA194" i="1"/>
  <c r="AX194" i="1"/>
  <c r="AY194" i="1" s="1"/>
  <c r="AU194" i="1"/>
  <c r="AV194" i="1" s="1"/>
  <c r="AR194" i="1"/>
  <c r="AS194" i="1" s="1"/>
  <c r="AP194" i="1"/>
  <c r="AO194" i="1"/>
  <c r="AL194" i="1"/>
  <c r="AM194" i="1" s="1"/>
  <c r="AI194" i="1"/>
  <c r="AJ194" i="1" s="1"/>
  <c r="AG194" i="1"/>
  <c r="AF194" i="1"/>
  <c r="AC194" i="1"/>
  <c r="AD194" i="1" s="1"/>
  <c r="Z194" i="1"/>
  <c r="AA194" i="1" s="1"/>
  <c r="W194" i="1"/>
  <c r="X194" i="1" s="1"/>
  <c r="T194" i="1"/>
  <c r="U194" i="1" s="1"/>
  <c r="R194" i="1"/>
  <c r="O194" i="1"/>
  <c r="L194" i="1"/>
  <c r="I194" i="1"/>
  <c r="DO193" i="1"/>
  <c r="DP193" i="1" s="1"/>
  <c r="DL193" i="1"/>
  <c r="DM193" i="1" s="1"/>
  <c r="DJ193" i="1"/>
  <c r="DI193" i="1"/>
  <c r="DF193" i="1"/>
  <c r="DG193" i="1" s="1"/>
  <c r="DC193" i="1"/>
  <c r="DD193" i="1" s="1"/>
  <c r="CZ193" i="1"/>
  <c r="DA193" i="1" s="1"/>
  <c r="CW193" i="1"/>
  <c r="CX193" i="1" s="1"/>
  <c r="CT193" i="1"/>
  <c r="CU193" i="1" s="1"/>
  <c r="CQ193" i="1"/>
  <c r="CR193" i="1" s="1"/>
  <c r="CO193" i="1"/>
  <c r="CN193" i="1"/>
  <c r="CK193" i="1"/>
  <c r="CL193" i="1" s="1"/>
  <c r="CH193" i="1"/>
  <c r="CI193" i="1" s="1"/>
  <c r="CE193" i="1"/>
  <c r="CF193" i="1" s="1"/>
  <c r="CB193" i="1"/>
  <c r="CC193" i="1" s="1"/>
  <c r="BY193" i="1"/>
  <c r="BZ193" i="1" s="1"/>
  <c r="BV193" i="1"/>
  <c r="BW193" i="1" s="1"/>
  <c r="BS193" i="1"/>
  <c r="BT193" i="1" s="1"/>
  <c r="BP193" i="1"/>
  <c r="BQ193" i="1" s="1"/>
  <c r="BM193" i="1"/>
  <c r="BN193" i="1" s="1"/>
  <c r="BJ193" i="1"/>
  <c r="BK193" i="1" s="1"/>
  <c r="BG193" i="1"/>
  <c r="BH193" i="1" s="1"/>
  <c r="BE193" i="1"/>
  <c r="BD193" i="1"/>
  <c r="BA193" i="1"/>
  <c r="BB193" i="1" s="1"/>
  <c r="AX193" i="1"/>
  <c r="AY193" i="1" s="1"/>
  <c r="AU193" i="1"/>
  <c r="AV193" i="1" s="1"/>
  <c r="AS193" i="1"/>
  <c r="AR193" i="1"/>
  <c r="AP193" i="1"/>
  <c r="AO193" i="1"/>
  <c r="AL193" i="1"/>
  <c r="AM193" i="1" s="1"/>
  <c r="AI193" i="1"/>
  <c r="AJ193" i="1" s="1"/>
  <c r="AF193" i="1"/>
  <c r="AG193" i="1" s="1"/>
  <c r="AC193" i="1"/>
  <c r="AD193" i="1" s="1"/>
  <c r="Z193" i="1"/>
  <c r="AA193" i="1" s="1"/>
  <c r="W193" i="1"/>
  <c r="X193" i="1" s="1"/>
  <c r="T193" i="1"/>
  <c r="U193" i="1" s="1"/>
  <c r="R193" i="1"/>
  <c r="O193" i="1"/>
  <c r="L193" i="1"/>
  <c r="I193" i="1"/>
  <c r="DO192" i="1"/>
  <c r="DP192" i="1" s="1"/>
  <c r="DL192" i="1"/>
  <c r="DM192" i="1" s="1"/>
  <c r="DI192" i="1"/>
  <c r="DJ192" i="1" s="1"/>
  <c r="DF192" i="1"/>
  <c r="DG192" i="1" s="1"/>
  <c r="DD192" i="1"/>
  <c r="DC192" i="1"/>
  <c r="DA192" i="1"/>
  <c r="CZ192" i="1"/>
  <c r="CX192" i="1"/>
  <c r="CW192" i="1"/>
  <c r="CT192" i="1"/>
  <c r="CU192" i="1" s="1"/>
  <c r="CQ192" i="1"/>
  <c r="CR192" i="1" s="1"/>
  <c r="CN192" i="1"/>
  <c r="CO192" i="1" s="1"/>
  <c r="CK192" i="1"/>
  <c r="CL192" i="1" s="1"/>
  <c r="CH192" i="1"/>
  <c r="CI192" i="1" s="1"/>
  <c r="CE192" i="1"/>
  <c r="CF192" i="1" s="1"/>
  <c r="CC192" i="1"/>
  <c r="CB192" i="1"/>
  <c r="BZ192" i="1"/>
  <c r="BY192" i="1"/>
  <c r="BV192" i="1"/>
  <c r="BW192" i="1" s="1"/>
  <c r="BS192" i="1"/>
  <c r="BT192" i="1" s="1"/>
  <c r="BQ192" i="1"/>
  <c r="BP192" i="1"/>
  <c r="BN192" i="1"/>
  <c r="BM192" i="1"/>
  <c r="BJ192" i="1"/>
  <c r="BK192" i="1" s="1"/>
  <c r="BG192" i="1"/>
  <c r="BH192" i="1" s="1"/>
  <c r="BD192" i="1"/>
  <c r="BE192" i="1" s="1"/>
  <c r="BB192" i="1"/>
  <c r="BA192" i="1"/>
  <c r="AX192" i="1"/>
  <c r="AY192" i="1" s="1"/>
  <c r="AU192" i="1"/>
  <c r="AV192" i="1" s="1"/>
  <c r="AR192" i="1"/>
  <c r="AS192" i="1" s="1"/>
  <c r="AO192" i="1"/>
  <c r="AP192" i="1" s="1"/>
  <c r="AL192" i="1"/>
  <c r="AM192" i="1" s="1"/>
  <c r="AI192" i="1"/>
  <c r="AJ192" i="1" s="1"/>
  <c r="AF192" i="1"/>
  <c r="AG192" i="1" s="1"/>
  <c r="AD192" i="1"/>
  <c r="AC192" i="1"/>
  <c r="Z192" i="1"/>
  <c r="AA192" i="1" s="1"/>
  <c r="W192" i="1"/>
  <c r="X192" i="1" s="1"/>
  <c r="T192" i="1"/>
  <c r="U192" i="1" s="1"/>
  <c r="R192" i="1"/>
  <c r="O192" i="1"/>
  <c r="L192" i="1"/>
  <c r="I192" i="1"/>
  <c r="DO191" i="1"/>
  <c r="DP191" i="1" s="1"/>
  <c r="DL191" i="1"/>
  <c r="DM191" i="1" s="1"/>
  <c r="DI191" i="1"/>
  <c r="DJ191" i="1" s="1"/>
  <c r="DF191" i="1"/>
  <c r="DG191" i="1" s="1"/>
  <c r="DD191" i="1"/>
  <c r="DC191" i="1"/>
  <c r="DA191" i="1"/>
  <c r="CZ191" i="1"/>
  <c r="CX191" i="1"/>
  <c r="CW191" i="1"/>
  <c r="CT191" i="1"/>
  <c r="CU191" i="1" s="1"/>
  <c r="CR191" i="1"/>
  <c r="CQ191" i="1"/>
  <c r="CN191" i="1"/>
  <c r="CO191" i="1" s="1"/>
  <c r="CL191" i="1"/>
  <c r="CK191" i="1"/>
  <c r="CH191" i="1"/>
  <c r="CI191" i="1" s="1"/>
  <c r="CE191" i="1"/>
  <c r="CF191" i="1" s="1"/>
  <c r="CC191" i="1"/>
  <c r="CB191" i="1"/>
  <c r="BY191" i="1"/>
  <c r="BZ191" i="1" s="1"/>
  <c r="BV191" i="1"/>
  <c r="BW191" i="1" s="1"/>
  <c r="BS191" i="1"/>
  <c r="BT191" i="1" s="1"/>
  <c r="BQ191" i="1"/>
  <c r="BP191" i="1"/>
  <c r="BM191" i="1"/>
  <c r="BN191" i="1" s="1"/>
  <c r="BJ191" i="1"/>
  <c r="BK191" i="1" s="1"/>
  <c r="BG191" i="1"/>
  <c r="BH191" i="1" s="1"/>
  <c r="BE191" i="1"/>
  <c r="BD191" i="1"/>
  <c r="BB191" i="1"/>
  <c r="BA191" i="1"/>
  <c r="AX191" i="1"/>
  <c r="AY191" i="1" s="1"/>
  <c r="AU191" i="1"/>
  <c r="AV191" i="1" s="1"/>
  <c r="AR191" i="1"/>
  <c r="AS191" i="1" s="1"/>
  <c r="AP191" i="1"/>
  <c r="AO191" i="1"/>
  <c r="AL191" i="1"/>
  <c r="AM191" i="1" s="1"/>
  <c r="AJ191" i="1"/>
  <c r="AI191" i="1"/>
  <c r="AF191" i="1"/>
  <c r="AG191" i="1" s="1"/>
  <c r="AD191" i="1"/>
  <c r="AC191" i="1"/>
  <c r="Z191" i="1"/>
  <c r="AA191" i="1" s="1"/>
  <c r="W191" i="1"/>
  <c r="X191" i="1" s="1"/>
  <c r="T191" i="1"/>
  <c r="U191" i="1" s="1"/>
  <c r="R191" i="1"/>
  <c r="O191" i="1"/>
  <c r="L191" i="1"/>
  <c r="I191" i="1"/>
  <c r="DO190" i="1"/>
  <c r="DP190" i="1" s="1"/>
  <c r="DL190" i="1"/>
  <c r="DM190" i="1" s="1"/>
  <c r="DJ190" i="1"/>
  <c r="DI190" i="1"/>
  <c r="DF190" i="1"/>
  <c r="DG190" i="1" s="1"/>
  <c r="DC190" i="1"/>
  <c r="DD190" i="1" s="1"/>
  <c r="DA190" i="1"/>
  <c r="CZ190" i="1"/>
  <c r="CX190" i="1"/>
  <c r="CW190" i="1"/>
  <c r="CT190" i="1"/>
  <c r="CU190" i="1" s="1"/>
  <c r="CR190" i="1"/>
  <c r="CQ190" i="1"/>
  <c r="CN190" i="1"/>
  <c r="CO190" i="1" s="1"/>
  <c r="CL190" i="1"/>
  <c r="CK190" i="1"/>
  <c r="CH190" i="1"/>
  <c r="CI190" i="1" s="1"/>
  <c r="CF190" i="1"/>
  <c r="CE190" i="1"/>
  <c r="CC190" i="1"/>
  <c r="CB190" i="1"/>
  <c r="BY190" i="1"/>
  <c r="BZ190" i="1" s="1"/>
  <c r="BV190" i="1"/>
  <c r="BW190" i="1" s="1"/>
  <c r="BT190" i="1"/>
  <c r="BS190" i="1"/>
  <c r="BP190" i="1"/>
  <c r="BQ190" i="1" s="1"/>
  <c r="BM190" i="1"/>
  <c r="BN190" i="1" s="1"/>
  <c r="BJ190" i="1"/>
  <c r="BK190" i="1" s="1"/>
  <c r="BG190" i="1"/>
  <c r="BH190" i="1" s="1"/>
  <c r="BE190" i="1"/>
  <c r="BD190" i="1"/>
  <c r="BA190" i="1"/>
  <c r="BB190" i="1" s="1"/>
  <c r="AX190" i="1"/>
  <c r="AY190" i="1" s="1"/>
  <c r="AU190" i="1"/>
  <c r="AV190" i="1" s="1"/>
  <c r="AR190" i="1"/>
  <c r="AS190" i="1" s="1"/>
  <c r="AP190" i="1"/>
  <c r="AO190" i="1"/>
  <c r="AL190" i="1"/>
  <c r="AM190" i="1" s="1"/>
  <c r="AI190" i="1"/>
  <c r="AJ190" i="1" s="1"/>
  <c r="AF190" i="1"/>
  <c r="AG190" i="1" s="1"/>
  <c r="AC190" i="1"/>
  <c r="AD190" i="1" s="1"/>
  <c r="Z190" i="1"/>
  <c r="AA190" i="1" s="1"/>
  <c r="W190" i="1"/>
  <c r="X190" i="1" s="1"/>
  <c r="T190" i="1"/>
  <c r="U190" i="1" s="1"/>
  <c r="R190" i="1"/>
  <c r="O190" i="1"/>
  <c r="L190" i="1"/>
  <c r="I190" i="1"/>
  <c r="DO189" i="1"/>
  <c r="DP189" i="1" s="1"/>
  <c r="DL189" i="1"/>
  <c r="DM189" i="1" s="1"/>
  <c r="DI189" i="1"/>
  <c r="DJ189" i="1" s="1"/>
  <c r="DF189" i="1"/>
  <c r="DG189" i="1" s="1"/>
  <c r="DC189" i="1"/>
  <c r="DD189" i="1" s="1"/>
  <c r="CZ189" i="1"/>
  <c r="DA189" i="1" s="1"/>
  <c r="CX189" i="1"/>
  <c r="CW189" i="1"/>
  <c r="CT189" i="1"/>
  <c r="CU189" i="1" s="1"/>
  <c r="CR189" i="1"/>
  <c r="CQ189" i="1"/>
  <c r="CN189" i="1"/>
  <c r="CO189" i="1" s="1"/>
  <c r="CK189" i="1"/>
  <c r="CL189" i="1" s="1"/>
  <c r="CH189" i="1"/>
  <c r="CI189" i="1" s="1"/>
  <c r="CF189" i="1"/>
  <c r="CE189" i="1"/>
  <c r="CC189" i="1"/>
  <c r="CB189" i="1"/>
  <c r="BZ189" i="1"/>
  <c r="BY189" i="1"/>
  <c r="BV189" i="1"/>
  <c r="BW189" i="1" s="1"/>
  <c r="BS189" i="1"/>
  <c r="BT189" i="1" s="1"/>
  <c r="BQ189" i="1"/>
  <c r="BP189" i="1"/>
  <c r="BN189" i="1"/>
  <c r="BM189" i="1"/>
  <c r="BJ189" i="1"/>
  <c r="BK189" i="1" s="1"/>
  <c r="BG189" i="1"/>
  <c r="BH189" i="1" s="1"/>
  <c r="BE189" i="1"/>
  <c r="BD189" i="1"/>
  <c r="BB189" i="1"/>
  <c r="BA189" i="1"/>
  <c r="AX189" i="1"/>
  <c r="AY189" i="1" s="1"/>
  <c r="AU189" i="1"/>
  <c r="AV189" i="1" s="1"/>
  <c r="AR189" i="1"/>
  <c r="AS189" i="1" s="1"/>
  <c r="AO189" i="1"/>
  <c r="AP189" i="1" s="1"/>
  <c r="AL189" i="1"/>
  <c r="AM189" i="1" s="1"/>
  <c r="AJ189" i="1"/>
  <c r="AI189" i="1"/>
  <c r="AG189" i="1"/>
  <c r="AF189" i="1"/>
  <c r="AD189" i="1"/>
  <c r="AC189" i="1"/>
  <c r="Z189" i="1"/>
  <c r="AA189" i="1" s="1"/>
  <c r="W189" i="1"/>
  <c r="X189" i="1" s="1"/>
  <c r="T189" i="1"/>
  <c r="U189" i="1" s="1"/>
  <c r="O189" i="1"/>
  <c r="L189" i="1"/>
  <c r="I189" i="1"/>
  <c r="DO188" i="1"/>
  <c r="DP188" i="1" s="1"/>
  <c r="DL188" i="1"/>
  <c r="DM188" i="1" s="1"/>
  <c r="DI188" i="1"/>
  <c r="DJ188" i="1" s="1"/>
  <c r="DF188" i="1"/>
  <c r="DG188" i="1" s="1"/>
  <c r="DC188" i="1"/>
  <c r="DD188" i="1" s="1"/>
  <c r="DA188" i="1"/>
  <c r="CZ188" i="1"/>
  <c r="CX188" i="1"/>
  <c r="CW188" i="1"/>
  <c r="CU188" i="1"/>
  <c r="CT188" i="1"/>
  <c r="CQ188" i="1"/>
  <c r="CR188" i="1" s="1"/>
  <c r="CO188" i="1"/>
  <c r="CN188" i="1"/>
  <c r="CK188" i="1"/>
  <c r="CL188" i="1" s="1"/>
  <c r="CI188" i="1"/>
  <c r="CH188" i="1"/>
  <c r="CE188" i="1"/>
  <c r="CF188" i="1" s="1"/>
  <c r="CB188" i="1"/>
  <c r="CC188" i="1" s="1"/>
  <c r="BZ188" i="1"/>
  <c r="BY188" i="1"/>
  <c r="BW188" i="1"/>
  <c r="BV188" i="1"/>
  <c r="BS188" i="1"/>
  <c r="BT188" i="1" s="1"/>
  <c r="BP188" i="1"/>
  <c r="BQ188" i="1" s="1"/>
  <c r="BN188" i="1"/>
  <c r="BM188" i="1"/>
  <c r="BK188" i="1"/>
  <c r="BJ188" i="1"/>
  <c r="BG188" i="1"/>
  <c r="BH188" i="1" s="1"/>
  <c r="BD188" i="1"/>
  <c r="BE188" i="1" s="1"/>
  <c r="BA188" i="1"/>
  <c r="BB188" i="1" s="1"/>
  <c r="AX188" i="1"/>
  <c r="AY188" i="1" s="1"/>
  <c r="AU188" i="1"/>
  <c r="AV188" i="1" s="1"/>
  <c r="AR188" i="1"/>
  <c r="AS188" i="1" s="1"/>
  <c r="AP188" i="1"/>
  <c r="AO188" i="1"/>
  <c r="AM188" i="1"/>
  <c r="AL188" i="1"/>
  <c r="AI188" i="1"/>
  <c r="AJ188" i="1" s="1"/>
  <c r="AG188" i="1"/>
  <c r="AF188" i="1"/>
  <c r="AC188" i="1"/>
  <c r="AD188" i="1" s="1"/>
  <c r="AA188" i="1"/>
  <c r="Z188" i="1"/>
  <c r="W188" i="1"/>
  <c r="X188" i="1" s="1"/>
  <c r="T188" i="1"/>
  <c r="U188" i="1" s="1"/>
  <c r="R188" i="1"/>
  <c r="O188" i="1"/>
  <c r="L188" i="1"/>
  <c r="I188" i="1"/>
  <c r="DO187" i="1"/>
  <c r="DP187" i="1" s="1"/>
  <c r="DL187" i="1"/>
  <c r="DM187" i="1" s="1"/>
  <c r="DI187" i="1"/>
  <c r="DJ187" i="1" s="1"/>
  <c r="DG187" i="1"/>
  <c r="DF187" i="1"/>
  <c r="DC187" i="1"/>
  <c r="DD187" i="1" s="1"/>
  <c r="CZ187" i="1"/>
  <c r="DA187" i="1" s="1"/>
  <c r="CW187" i="1"/>
  <c r="CX187" i="1" s="1"/>
  <c r="CU187" i="1"/>
  <c r="CT187" i="1"/>
  <c r="CQ187" i="1"/>
  <c r="CR187" i="1" s="1"/>
  <c r="CN187" i="1"/>
  <c r="CO187" i="1" s="1"/>
  <c r="CK187" i="1"/>
  <c r="CL187" i="1" s="1"/>
  <c r="CH187" i="1"/>
  <c r="CI187" i="1" s="1"/>
  <c r="CE187" i="1"/>
  <c r="CF187" i="1" s="1"/>
  <c r="CC187" i="1"/>
  <c r="CB187" i="1"/>
  <c r="BY187" i="1"/>
  <c r="BZ187" i="1" s="1"/>
  <c r="BW187" i="1"/>
  <c r="BV187" i="1"/>
  <c r="BS187" i="1"/>
  <c r="BT187" i="1" s="1"/>
  <c r="BP187" i="1"/>
  <c r="BQ187" i="1" s="1"/>
  <c r="BN187" i="1"/>
  <c r="BM187" i="1"/>
  <c r="BK187" i="1"/>
  <c r="BJ187" i="1"/>
  <c r="BG187" i="1"/>
  <c r="BH187" i="1" s="1"/>
  <c r="BD187" i="1"/>
  <c r="BE187" i="1" s="1"/>
  <c r="BA187" i="1"/>
  <c r="BB187" i="1" s="1"/>
  <c r="AY187" i="1"/>
  <c r="AX187" i="1"/>
  <c r="AU187" i="1"/>
  <c r="AV187" i="1" s="1"/>
  <c r="AS187" i="1"/>
  <c r="AR187" i="1"/>
  <c r="AO187" i="1"/>
  <c r="AP187" i="1" s="1"/>
  <c r="AL187" i="1"/>
  <c r="AM187" i="1" s="1"/>
  <c r="AI187" i="1"/>
  <c r="AJ187" i="1" s="1"/>
  <c r="AF187" i="1"/>
  <c r="AG187" i="1" s="1"/>
  <c r="AC187" i="1"/>
  <c r="AD187" i="1" s="1"/>
  <c r="AA187" i="1"/>
  <c r="Z187" i="1"/>
  <c r="W187" i="1"/>
  <c r="X187" i="1" s="1"/>
  <c r="T187" i="1"/>
  <c r="U187" i="1" s="1"/>
  <c r="R187" i="1"/>
  <c r="O187" i="1"/>
  <c r="L187" i="1"/>
  <c r="I187" i="1"/>
  <c r="DO186" i="1"/>
  <c r="DP186" i="1" s="1"/>
  <c r="DM186" i="1"/>
  <c r="DL186" i="1"/>
  <c r="DI186" i="1"/>
  <c r="DJ186" i="1" s="1"/>
  <c r="DG186" i="1"/>
  <c r="DF186" i="1"/>
  <c r="DC186" i="1"/>
  <c r="DD186" i="1" s="1"/>
  <c r="CZ186" i="1"/>
  <c r="DA186" i="1" s="1"/>
  <c r="CW186" i="1"/>
  <c r="CX186" i="1" s="1"/>
  <c r="CU186" i="1"/>
  <c r="CT186" i="1"/>
  <c r="CQ186" i="1"/>
  <c r="CR186" i="1" s="1"/>
  <c r="CN186" i="1"/>
  <c r="CO186" i="1" s="1"/>
  <c r="CK186" i="1"/>
  <c r="CL186" i="1" s="1"/>
  <c r="CH186" i="1"/>
  <c r="CI186" i="1" s="1"/>
  <c r="CE186" i="1"/>
  <c r="CF186" i="1" s="1"/>
  <c r="CB186" i="1"/>
  <c r="CC186" i="1" s="1"/>
  <c r="BY186" i="1"/>
  <c r="BZ186" i="1" s="1"/>
  <c r="BW186" i="1"/>
  <c r="BV186" i="1"/>
  <c r="BS186" i="1"/>
  <c r="BT186" i="1" s="1"/>
  <c r="BP186" i="1"/>
  <c r="BQ186" i="1" s="1"/>
  <c r="BM186" i="1"/>
  <c r="BN186" i="1" s="1"/>
  <c r="BK186" i="1"/>
  <c r="BJ186" i="1"/>
  <c r="BG186" i="1"/>
  <c r="BH186" i="1" s="1"/>
  <c r="BE186" i="1"/>
  <c r="BD186" i="1"/>
  <c r="BA186" i="1"/>
  <c r="BB186" i="1" s="1"/>
  <c r="AX186" i="1"/>
  <c r="AY186" i="1" s="1"/>
  <c r="AU186" i="1"/>
  <c r="AV186" i="1" s="1"/>
  <c r="AR186" i="1"/>
  <c r="AS186" i="1" s="1"/>
  <c r="AO186" i="1"/>
  <c r="AP186" i="1" s="1"/>
  <c r="AM186" i="1"/>
  <c r="AL186" i="1"/>
  <c r="AI186" i="1"/>
  <c r="AJ186" i="1" s="1"/>
  <c r="AF186" i="1"/>
  <c r="AG186" i="1" s="1"/>
  <c r="AC186" i="1"/>
  <c r="AD186" i="1" s="1"/>
  <c r="AA186" i="1"/>
  <c r="Z186" i="1"/>
  <c r="W186" i="1"/>
  <c r="X186" i="1" s="1"/>
  <c r="T186" i="1"/>
  <c r="U186" i="1" s="1"/>
  <c r="O186" i="1"/>
  <c r="L186" i="1"/>
  <c r="I186" i="1"/>
  <c r="DO185" i="1"/>
  <c r="DP185" i="1" s="1"/>
  <c r="DM185" i="1"/>
  <c r="DL185" i="1"/>
  <c r="DI185" i="1"/>
  <c r="DJ185" i="1" s="1"/>
  <c r="DG185" i="1"/>
  <c r="DF185" i="1"/>
  <c r="DC185" i="1"/>
  <c r="DD185" i="1" s="1"/>
  <c r="CZ185" i="1"/>
  <c r="DA185" i="1" s="1"/>
  <c r="CW185" i="1"/>
  <c r="CX185" i="1" s="1"/>
  <c r="CT185" i="1"/>
  <c r="CU185" i="1" s="1"/>
  <c r="CQ185" i="1"/>
  <c r="CR185" i="1" s="1"/>
  <c r="CN185" i="1"/>
  <c r="CO185" i="1" s="1"/>
  <c r="CK185" i="1"/>
  <c r="CL185" i="1" s="1"/>
  <c r="CH185" i="1"/>
  <c r="CI185" i="1" s="1"/>
  <c r="CE185" i="1"/>
  <c r="CF185" i="1" s="1"/>
  <c r="CC185" i="1"/>
  <c r="CB185" i="1"/>
  <c r="BZ185" i="1"/>
  <c r="BY185" i="1"/>
  <c r="BW185" i="1"/>
  <c r="BV185" i="1"/>
  <c r="BS185" i="1"/>
  <c r="BT185" i="1" s="1"/>
  <c r="BP185" i="1"/>
  <c r="BQ185" i="1" s="1"/>
  <c r="BM185" i="1"/>
  <c r="BN185" i="1" s="1"/>
  <c r="BJ185" i="1"/>
  <c r="BK185" i="1" s="1"/>
  <c r="BG185" i="1"/>
  <c r="BH185" i="1" s="1"/>
  <c r="BD185" i="1"/>
  <c r="BE185" i="1" s="1"/>
  <c r="BB185" i="1"/>
  <c r="BA185" i="1"/>
  <c r="AY185" i="1"/>
  <c r="AX185" i="1"/>
  <c r="AU185" i="1"/>
  <c r="AV185" i="1" s="1"/>
  <c r="AR185" i="1"/>
  <c r="AS185" i="1" s="1"/>
  <c r="AO185" i="1"/>
  <c r="AP185" i="1" s="1"/>
  <c r="AM185" i="1"/>
  <c r="AL185" i="1"/>
  <c r="AI185" i="1"/>
  <c r="AJ185" i="1" s="1"/>
  <c r="AF185" i="1"/>
  <c r="AG185" i="1" s="1"/>
  <c r="AD185" i="1"/>
  <c r="AC185" i="1"/>
  <c r="AA185" i="1"/>
  <c r="Z185" i="1"/>
  <c r="W185" i="1"/>
  <c r="X185" i="1" s="1"/>
  <c r="T185" i="1"/>
  <c r="U185" i="1" s="1"/>
  <c r="O185" i="1"/>
  <c r="L185" i="1"/>
  <c r="I185" i="1"/>
  <c r="DO184" i="1"/>
  <c r="DP184" i="1" s="1"/>
  <c r="DL184" i="1"/>
  <c r="DM184" i="1" s="1"/>
  <c r="DI184" i="1"/>
  <c r="DJ184" i="1" s="1"/>
  <c r="DF184" i="1"/>
  <c r="DG184" i="1" s="1"/>
  <c r="DD184" i="1"/>
  <c r="DC184" i="1"/>
  <c r="CZ184" i="1"/>
  <c r="DA184" i="1" s="1"/>
  <c r="CW184" i="1"/>
  <c r="CX184" i="1" s="1"/>
  <c r="CT184" i="1"/>
  <c r="CU184" i="1" s="1"/>
  <c r="CR184" i="1"/>
  <c r="CQ184" i="1"/>
  <c r="CN184" i="1"/>
  <c r="CO184" i="1" s="1"/>
  <c r="CK184" i="1"/>
  <c r="CL184" i="1" s="1"/>
  <c r="CH184" i="1"/>
  <c r="CI184" i="1" s="1"/>
  <c r="CF184" i="1"/>
  <c r="CE184" i="1"/>
  <c r="CB184" i="1"/>
  <c r="CC184" i="1" s="1"/>
  <c r="BZ184" i="1"/>
  <c r="BY184" i="1"/>
  <c r="BV184" i="1"/>
  <c r="BW184" i="1" s="1"/>
  <c r="BT184" i="1"/>
  <c r="BS184" i="1"/>
  <c r="BP184" i="1"/>
  <c r="BQ184" i="1" s="1"/>
  <c r="BM184" i="1"/>
  <c r="BN184" i="1" s="1"/>
  <c r="BJ184" i="1"/>
  <c r="BK184" i="1" s="1"/>
  <c r="BH184" i="1"/>
  <c r="BG184" i="1"/>
  <c r="BD184" i="1"/>
  <c r="BE184" i="1" s="1"/>
  <c r="BB184" i="1"/>
  <c r="BA184" i="1"/>
  <c r="AY184" i="1"/>
  <c r="AX184" i="1"/>
  <c r="AU184" i="1"/>
  <c r="AV184" i="1" s="1"/>
  <c r="AR184" i="1"/>
  <c r="AS184" i="1" s="1"/>
  <c r="AP184" i="1"/>
  <c r="AO184" i="1"/>
  <c r="AL184" i="1"/>
  <c r="AM184" i="1" s="1"/>
  <c r="AJ184" i="1"/>
  <c r="AI184" i="1"/>
  <c r="AF184" i="1"/>
  <c r="AG184" i="1" s="1"/>
  <c r="AC184" i="1"/>
  <c r="AD184" i="1" s="1"/>
  <c r="Z184" i="1"/>
  <c r="AA184" i="1" s="1"/>
  <c r="X184" i="1"/>
  <c r="W184" i="1"/>
  <c r="T184" i="1"/>
  <c r="U184" i="1" s="1"/>
  <c r="R184" i="1"/>
  <c r="O184" i="1"/>
  <c r="L184" i="1"/>
  <c r="I184" i="1"/>
  <c r="DO183" i="1"/>
  <c r="DP183" i="1" s="1"/>
  <c r="DL183" i="1"/>
  <c r="DM183" i="1" s="1"/>
  <c r="DI183" i="1"/>
  <c r="DJ183" i="1" s="1"/>
  <c r="DF183" i="1"/>
  <c r="DG183" i="1" s="1"/>
  <c r="DD183" i="1"/>
  <c r="DC183" i="1"/>
  <c r="CZ183" i="1"/>
  <c r="DA183" i="1" s="1"/>
  <c r="CW183" i="1"/>
  <c r="CX183" i="1" s="1"/>
  <c r="CU183" i="1"/>
  <c r="CT183" i="1"/>
  <c r="CR183" i="1"/>
  <c r="CQ183" i="1"/>
  <c r="CN183" i="1"/>
  <c r="CO183" i="1" s="1"/>
  <c r="CK183" i="1"/>
  <c r="CL183" i="1" s="1"/>
  <c r="CI183" i="1"/>
  <c r="CH183" i="1"/>
  <c r="CF183" i="1"/>
  <c r="CE183" i="1"/>
  <c r="CB183" i="1"/>
  <c r="CC183" i="1" s="1"/>
  <c r="BY183" i="1"/>
  <c r="BZ183" i="1" s="1"/>
  <c r="BV183" i="1"/>
  <c r="BW183" i="1" s="1"/>
  <c r="BS183" i="1"/>
  <c r="BT183" i="1" s="1"/>
  <c r="BP183" i="1"/>
  <c r="BQ183" i="1" s="1"/>
  <c r="BN183" i="1"/>
  <c r="BM183" i="1"/>
  <c r="BK183" i="1"/>
  <c r="BJ183" i="1"/>
  <c r="BG183" i="1"/>
  <c r="BH183" i="1" s="1"/>
  <c r="BD183" i="1"/>
  <c r="BE183" i="1" s="1"/>
  <c r="BB183" i="1"/>
  <c r="BA183" i="1"/>
  <c r="AX183" i="1"/>
  <c r="AY183" i="1" s="1"/>
  <c r="AU183" i="1"/>
  <c r="AV183" i="1" s="1"/>
  <c r="AR183" i="1"/>
  <c r="AS183" i="1" s="1"/>
  <c r="AO183" i="1"/>
  <c r="AP183" i="1" s="1"/>
  <c r="AM183" i="1"/>
  <c r="AL183" i="1"/>
  <c r="AJ183" i="1"/>
  <c r="AI183" i="1"/>
  <c r="AF183" i="1"/>
  <c r="AG183" i="1" s="1"/>
  <c r="AC183" i="1"/>
  <c r="AD183" i="1" s="1"/>
  <c r="Z183" i="1"/>
  <c r="AA183" i="1" s="1"/>
  <c r="X183" i="1"/>
  <c r="W183" i="1"/>
  <c r="T183" i="1"/>
  <c r="U183" i="1" s="1"/>
  <c r="R183" i="1"/>
  <c r="O183" i="1"/>
  <c r="L183" i="1"/>
  <c r="I183" i="1"/>
  <c r="DO182" i="1"/>
  <c r="DP182" i="1" s="1"/>
  <c r="DL182" i="1"/>
  <c r="DM182" i="1" s="1"/>
  <c r="DI182" i="1"/>
  <c r="DJ182" i="1" s="1"/>
  <c r="DF182" i="1"/>
  <c r="DG182" i="1" s="1"/>
  <c r="DD182" i="1"/>
  <c r="DC182" i="1"/>
  <c r="CZ182" i="1"/>
  <c r="DA182" i="1" s="1"/>
  <c r="CW182" i="1"/>
  <c r="CX182" i="1" s="1"/>
  <c r="CT182" i="1"/>
  <c r="CU182" i="1" s="1"/>
  <c r="CR182" i="1"/>
  <c r="CQ182" i="1"/>
  <c r="CN182" i="1"/>
  <c r="CO182" i="1" s="1"/>
  <c r="CK182" i="1"/>
  <c r="CL182" i="1" s="1"/>
  <c r="CH182" i="1"/>
  <c r="CI182" i="1" s="1"/>
  <c r="CE182" i="1"/>
  <c r="CF182" i="1" s="1"/>
  <c r="CB182" i="1"/>
  <c r="CC182" i="1" s="1"/>
  <c r="BY182" i="1"/>
  <c r="BZ182" i="1" s="1"/>
  <c r="BW182" i="1"/>
  <c r="BV182" i="1"/>
  <c r="BS182" i="1"/>
  <c r="BT182" i="1" s="1"/>
  <c r="BP182" i="1"/>
  <c r="BQ182" i="1" s="1"/>
  <c r="BN182" i="1"/>
  <c r="BM182" i="1"/>
  <c r="BJ182" i="1"/>
  <c r="BK182" i="1" s="1"/>
  <c r="BH182" i="1"/>
  <c r="BG182" i="1"/>
  <c r="BD182" i="1"/>
  <c r="BE182" i="1" s="1"/>
  <c r="BA182" i="1"/>
  <c r="BB182" i="1" s="1"/>
  <c r="AX182" i="1"/>
  <c r="AY182" i="1" s="1"/>
  <c r="AV182" i="1"/>
  <c r="AU182" i="1"/>
  <c r="AR182" i="1"/>
  <c r="AS182" i="1" s="1"/>
  <c r="AP182" i="1"/>
  <c r="AO182" i="1"/>
  <c r="AL182" i="1"/>
  <c r="AM182" i="1" s="1"/>
  <c r="AJ182" i="1"/>
  <c r="AI182" i="1"/>
  <c r="AF182" i="1"/>
  <c r="AG182" i="1" s="1"/>
  <c r="AD182" i="1"/>
  <c r="AC182" i="1"/>
  <c r="Z182" i="1"/>
  <c r="AA182" i="1" s="1"/>
  <c r="X182" i="1"/>
  <c r="W182" i="1"/>
  <c r="T182" i="1"/>
  <c r="U182" i="1" s="1"/>
  <c r="R182" i="1"/>
  <c r="O182" i="1"/>
  <c r="L182" i="1"/>
  <c r="I182" i="1"/>
  <c r="DO181" i="1"/>
  <c r="DP181" i="1" s="1"/>
  <c r="DL181" i="1"/>
  <c r="DM181" i="1" s="1"/>
  <c r="DI181" i="1"/>
  <c r="DJ181" i="1" s="1"/>
  <c r="DG181" i="1"/>
  <c r="DF181" i="1"/>
  <c r="DD181" i="1"/>
  <c r="DC181" i="1"/>
  <c r="CZ181" i="1"/>
  <c r="DA181" i="1" s="1"/>
  <c r="CW181" i="1"/>
  <c r="CX181" i="1" s="1"/>
  <c r="CT181" i="1"/>
  <c r="CU181" i="1" s="1"/>
  <c r="CQ181" i="1"/>
  <c r="CR181" i="1" s="1"/>
  <c r="CN181" i="1"/>
  <c r="CO181" i="1" s="1"/>
  <c r="CL181" i="1"/>
  <c r="CK181" i="1"/>
  <c r="CH181" i="1"/>
  <c r="CI181" i="1" s="1"/>
  <c r="CF181" i="1"/>
  <c r="CE181" i="1"/>
  <c r="CB181" i="1"/>
  <c r="CC181" i="1" s="1"/>
  <c r="BZ181" i="1"/>
  <c r="BY181" i="1"/>
  <c r="BV181" i="1"/>
  <c r="BW181" i="1" s="1"/>
  <c r="BS181" i="1"/>
  <c r="BT181" i="1" s="1"/>
  <c r="BP181" i="1"/>
  <c r="BQ181" i="1" s="1"/>
  <c r="BM181" i="1"/>
  <c r="BN181" i="1" s="1"/>
  <c r="BJ181" i="1"/>
  <c r="BK181" i="1" s="1"/>
  <c r="BG181" i="1"/>
  <c r="BH181" i="1" s="1"/>
  <c r="BD181" i="1"/>
  <c r="BE181" i="1" s="1"/>
  <c r="BA181" i="1"/>
  <c r="BB181" i="1" s="1"/>
  <c r="AX181" i="1"/>
  <c r="AY181" i="1" s="1"/>
  <c r="AU181" i="1"/>
  <c r="AV181" i="1" s="1"/>
  <c r="AR181" i="1"/>
  <c r="AS181" i="1" s="1"/>
  <c r="AO181" i="1"/>
  <c r="AP181" i="1" s="1"/>
  <c r="AL181" i="1"/>
  <c r="AM181" i="1" s="1"/>
  <c r="AJ181" i="1"/>
  <c r="AI181" i="1"/>
  <c r="AF181" i="1"/>
  <c r="AG181" i="1" s="1"/>
  <c r="AC181" i="1"/>
  <c r="AD181" i="1" s="1"/>
  <c r="Z181" i="1"/>
  <c r="AA181" i="1" s="1"/>
  <c r="W181" i="1"/>
  <c r="X181" i="1" s="1"/>
  <c r="T181" i="1"/>
  <c r="U181" i="1" s="1"/>
  <c r="O181" i="1"/>
  <c r="L181" i="1"/>
  <c r="I181" i="1"/>
  <c r="DO180" i="1"/>
  <c r="DP180" i="1" s="1"/>
  <c r="DL180" i="1"/>
  <c r="DM180" i="1" s="1"/>
  <c r="DJ180" i="1"/>
  <c r="DI180" i="1"/>
  <c r="DF180" i="1"/>
  <c r="DG180" i="1" s="1"/>
  <c r="DC180" i="1"/>
  <c r="DD180" i="1" s="1"/>
  <c r="CZ180" i="1"/>
  <c r="DA180" i="1" s="1"/>
  <c r="CX180" i="1"/>
  <c r="CW180" i="1"/>
  <c r="CT180" i="1"/>
  <c r="CU180" i="1" s="1"/>
  <c r="CQ180" i="1"/>
  <c r="CR180" i="1" s="1"/>
  <c r="CN180" i="1"/>
  <c r="CO180" i="1" s="1"/>
  <c r="CK180" i="1"/>
  <c r="CL180" i="1" s="1"/>
  <c r="CH180" i="1"/>
  <c r="CI180" i="1" s="1"/>
  <c r="CF180" i="1"/>
  <c r="CE180" i="1"/>
  <c r="CB180" i="1"/>
  <c r="CC180" i="1" s="1"/>
  <c r="BY180" i="1"/>
  <c r="BZ180" i="1" s="1"/>
  <c r="BV180" i="1"/>
  <c r="BW180" i="1" s="1"/>
  <c r="BS180" i="1"/>
  <c r="BT180" i="1" s="1"/>
  <c r="BP180" i="1"/>
  <c r="BQ180" i="1" s="1"/>
  <c r="BM180" i="1"/>
  <c r="BN180" i="1" s="1"/>
  <c r="BK180" i="1"/>
  <c r="BJ180" i="1"/>
  <c r="BG180" i="1"/>
  <c r="BH180" i="1" s="1"/>
  <c r="BD180" i="1"/>
  <c r="BE180" i="1" s="1"/>
  <c r="BA180" i="1"/>
  <c r="BB180" i="1" s="1"/>
  <c r="AX180" i="1"/>
  <c r="AY180" i="1" s="1"/>
  <c r="AU180" i="1"/>
  <c r="AV180" i="1" s="1"/>
  <c r="AR180" i="1"/>
  <c r="AS180" i="1" s="1"/>
  <c r="AO180" i="1"/>
  <c r="AP180" i="1" s="1"/>
  <c r="AL180" i="1"/>
  <c r="AM180" i="1" s="1"/>
  <c r="AJ180" i="1"/>
  <c r="AI180" i="1"/>
  <c r="AF180" i="1"/>
  <c r="AG180" i="1" s="1"/>
  <c r="AC180" i="1"/>
  <c r="AD180" i="1" s="1"/>
  <c r="Z180" i="1"/>
  <c r="AA180" i="1" s="1"/>
  <c r="X180" i="1"/>
  <c r="W180" i="1"/>
  <c r="T180" i="1"/>
  <c r="U180" i="1" s="1"/>
  <c r="R180" i="1"/>
  <c r="O180" i="1"/>
  <c r="L180" i="1"/>
  <c r="DO179" i="1"/>
  <c r="DP179" i="1" s="1"/>
  <c r="DM179" i="1"/>
  <c r="DL179" i="1"/>
  <c r="DI179" i="1"/>
  <c r="DJ179" i="1" s="1"/>
  <c r="DF179" i="1"/>
  <c r="DG179" i="1" s="1"/>
  <c r="DC179" i="1"/>
  <c r="DD179" i="1" s="1"/>
  <c r="CZ179" i="1"/>
  <c r="DA179" i="1" s="1"/>
  <c r="CX179" i="1"/>
  <c r="CW179" i="1"/>
  <c r="CT179" i="1"/>
  <c r="CU179" i="1" s="1"/>
  <c r="CQ179" i="1"/>
  <c r="CR179" i="1" s="1"/>
  <c r="CO179" i="1"/>
  <c r="CN179" i="1"/>
  <c r="CK179" i="1"/>
  <c r="CL179" i="1" s="1"/>
  <c r="CH179" i="1"/>
  <c r="CI179" i="1" s="1"/>
  <c r="CE179" i="1"/>
  <c r="CF179" i="1" s="1"/>
  <c r="CB179" i="1"/>
  <c r="CC179" i="1" s="1"/>
  <c r="BZ179" i="1"/>
  <c r="BY179" i="1"/>
  <c r="BV179" i="1"/>
  <c r="BW179" i="1" s="1"/>
  <c r="BS179" i="1"/>
  <c r="BT179" i="1" s="1"/>
  <c r="BQ179" i="1"/>
  <c r="BP179" i="1"/>
  <c r="BM179" i="1"/>
  <c r="BN179" i="1" s="1"/>
  <c r="BJ179" i="1"/>
  <c r="BK179" i="1" s="1"/>
  <c r="BG179" i="1"/>
  <c r="BH179" i="1" s="1"/>
  <c r="BD179" i="1"/>
  <c r="BE179" i="1" s="1"/>
  <c r="BB179" i="1"/>
  <c r="BA179" i="1"/>
  <c r="AX179" i="1"/>
  <c r="AY179" i="1" s="1"/>
  <c r="AU179" i="1"/>
  <c r="AV179" i="1" s="1"/>
  <c r="AS179" i="1"/>
  <c r="AR179" i="1"/>
  <c r="AO179" i="1"/>
  <c r="AP179" i="1" s="1"/>
  <c r="AL179" i="1"/>
  <c r="AM179" i="1" s="1"/>
  <c r="AI179" i="1"/>
  <c r="AJ179" i="1" s="1"/>
  <c r="AF179" i="1"/>
  <c r="AG179" i="1" s="1"/>
  <c r="AD179" i="1"/>
  <c r="AC179" i="1"/>
  <c r="Z179" i="1"/>
  <c r="AA179" i="1" s="1"/>
  <c r="W179" i="1"/>
  <c r="X179" i="1" s="1"/>
  <c r="U179" i="1"/>
  <c r="T179" i="1"/>
  <c r="R179" i="1"/>
  <c r="O179" i="1"/>
  <c r="L179" i="1"/>
  <c r="I179" i="1"/>
  <c r="DO178" i="1"/>
  <c r="DP178" i="1" s="1"/>
  <c r="DL178" i="1"/>
  <c r="DM178" i="1" s="1"/>
  <c r="DJ178" i="1"/>
  <c r="DI178" i="1"/>
  <c r="DF178" i="1"/>
  <c r="DG178" i="1" s="1"/>
  <c r="DC178" i="1"/>
  <c r="DD178" i="1" s="1"/>
  <c r="CZ178" i="1"/>
  <c r="DA178" i="1" s="1"/>
  <c r="CX178" i="1"/>
  <c r="CW178" i="1"/>
  <c r="CT178" i="1"/>
  <c r="CU178" i="1" s="1"/>
  <c r="CQ178" i="1"/>
  <c r="CR178" i="1" s="1"/>
  <c r="CN178" i="1"/>
  <c r="CO178" i="1" s="1"/>
  <c r="CK178" i="1"/>
  <c r="CL178" i="1" s="1"/>
  <c r="CH178" i="1"/>
  <c r="CI178" i="1" s="1"/>
  <c r="CE178" i="1"/>
  <c r="CF178" i="1" s="1"/>
  <c r="CC178" i="1"/>
  <c r="CB178" i="1"/>
  <c r="BZ178" i="1"/>
  <c r="BY178" i="1"/>
  <c r="BV178" i="1"/>
  <c r="BW178" i="1" s="1"/>
  <c r="BS178" i="1"/>
  <c r="BT178" i="1" s="1"/>
  <c r="BQ178" i="1"/>
  <c r="BP178" i="1"/>
  <c r="BN178" i="1"/>
  <c r="BM178" i="1"/>
  <c r="BJ178" i="1"/>
  <c r="BK178" i="1" s="1"/>
  <c r="BG178" i="1"/>
  <c r="BH178" i="1" s="1"/>
  <c r="BD178" i="1"/>
  <c r="BE178" i="1" s="1"/>
  <c r="BA178" i="1"/>
  <c r="BB178" i="1" s="1"/>
  <c r="AX178" i="1"/>
  <c r="AY178" i="1" s="1"/>
  <c r="AU178" i="1"/>
  <c r="AV178" i="1" s="1"/>
  <c r="AS178" i="1"/>
  <c r="AR178" i="1"/>
  <c r="AO178" i="1"/>
  <c r="AP178" i="1" s="1"/>
  <c r="AL178" i="1"/>
  <c r="AM178" i="1" s="1"/>
  <c r="AI178" i="1"/>
  <c r="AJ178" i="1" s="1"/>
  <c r="AF178" i="1"/>
  <c r="AG178" i="1" s="1"/>
  <c r="AC178" i="1"/>
  <c r="AD178" i="1" s="1"/>
  <c r="Z178" i="1"/>
  <c r="AA178" i="1" s="1"/>
  <c r="W178" i="1"/>
  <c r="X178" i="1" s="1"/>
  <c r="T178" i="1"/>
  <c r="U178" i="1" s="1"/>
  <c r="R178" i="1"/>
  <c r="O178" i="1"/>
  <c r="L178" i="1"/>
  <c r="I178" i="1"/>
  <c r="DO177" i="1"/>
  <c r="DP177" i="1" s="1"/>
  <c r="DL177" i="1"/>
  <c r="DM177" i="1" s="1"/>
  <c r="DI177" i="1"/>
  <c r="DJ177" i="1" s="1"/>
  <c r="DF177" i="1"/>
  <c r="DG177" i="1" s="1"/>
  <c r="DC177" i="1"/>
  <c r="DD177" i="1" s="1"/>
  <c r="DA177" i="1"/>
  <c r="CZ177" i="1"/>
  <c r="CW177" i="1"/>
  <c r="CX177" i="1" s="1"/>
  <c r="CT177" i="1"/>
  <c r="CU177" i="1" s="1"/>
  <c r="CQ177" i="1"/>
  <c r="CR177" i="1" s="1"/>
  <c r="CN177" i="1"/>
  <c r="CO177" i="1" s="1"/>
  <c r="CL177" i="1"/>
  <c r="CK177" i="1"/>
  <c r="CH177" i="1"/>
  <c r="CI177" i="1" s="1"/>
  <c r="CE177" i="1"/>
  <c r="CF177" i="1" s="1"/>
  <c r="CB177" i="1"/>
  <c r="CC177" i="1" s="1"/>
  <c r="BY177" i="1"/>
  <c r="BZ177" i="1" s="1"/>
  <c r="BV177" i="1"/>
  <c r="BW177" i="1" s="1"/>
  <c r="BS177" i="1"/>
  <c r="BT177" i="1" s="1"/>
  <c r="BP177" i="1"/>
  <c r="BQ177" i="1" s="1"/>
  <c r="BM177" i="1"/>
  <c r="BN177" i="1" s="1"/>
  <c r="BJ177" i="1"/>
  <c r="BK177" i="1" s="1"/>
  <c r="BH177" i="1"/>
  <c r="BG177" i="1"/>
  <c r="BD177" i="1"/>
  <c r="BE177" i="1" s="1"/>
  <c r="BA177" i="1"/>
  <c r="BB177" i="1" s="1"/>
  <c r="AX177" i="1"/>
  <c r="AY177" i="1" s="1"/>
  <c r="AU177" i="1"/>
  <c r="AV177" i="1" s="1"/>
  <c r="AS177" i="1"/>
  <c r="AR177" i="1"/>
  <c r="AO177" i="1"/>
  <c r="AP177" i="1" s="1"/>
  <c r="AL177" i="1"/>
  <c r="AM177" i="1" s="1"/>
  <c r="AI177" i="1"/>
  <c r="AJ177" i="1" s="1"/>
  <c r="AG177" i="1"/>
  <c r="AF177" i="1"/>
  <c r="AC177" i="1"/>
  <c r="AD177" i="1" s="1"/>
  <c r="Z177" i="1"/>
  <c r="AA177" i="1" s="1"/>
  <c r="W177" i="1"/>
  <c r="X177" i="1" s="1"/>
  <c r="U177" i="1"/>
  <c r="T177" i="1"/>
  <c r="R177" i="1"/>
  <c r="O177" i="1"/>
  <c r="L177" i="1"/>
  <c r="I177" i="1"/>
  <c r="DO176" i="1"/>
  <c r="DP176" i="1" s="1"/>
  <c r="DM176" i="1"/>
  <c r="DL176" i="1"/>
  <c r="DI176" i="1"/>
  <c r="DJ176" i="1" s="1"/>
  <c r="DF176" i="1"/>
  <c r="DG176" i="1" s="1"/>
  <c r="DC176" i="1"/>
  <c r="DD176" i="1" s="1"/>
  <c r="DA176" i="1"/>
  <c r="CZ176" i="1"/>
  <c r="CX176" i="1"/>
  <c r="CW176" i="1"/>
  <c r="CT176" i="1"/>
  <c r="CU176" i="1" s="1"/>
  <c r="CR176" i="1"/>
  <c r="CQ176" i="1"/>
  <c r="CO176" i="1"/>
  <c r="CN176" i="1"/>
  <c r="CK176" i="1"/>
  <c r="CL176" i="1" s="1"/>
  <c r="CH176" i="1"/>
  <c r="CI176" i="1" s="1"/>
  <c r="CE176" i="1"/>
  <c r="CF176" i="1" s="1"/>
  <c r="CB176" i="1"/>
  <c r="CC176" i="1" s="1"/>
  <c r="BY176" i="1"/>
  <c r="BZ176" i="1" s="1"/>
  <c r="BV176" i="1"/>
  <c r="BW176" i="1" s="1"/>
  <c r="BT176" i="1"/>
  <c r="BS176" i="1"/>
  <c r="BQ176" i="1"/>
  <c r="BP176" i="1"/>
  <c r="BN176" i="1"/>
  <c r="BM176" i="1"/>
  <c r="BJ176" i="1"/>
  <c r="BK176" i="1" s="1"/>
  <c r="BG176" i="1"/>
  <c r="BH176" i="1" s="1"/>
  <c r="BE176" i="1"/>
  <c r="BD176" i="1"/>
  <c r="BA176" i="1"/>
  <c r="BB176" i="1" s="1"/>
  <c r="AX176" i="1"/>
  <c r="AY176" i="1" s="1"/>
  <c r="AU176" i="1"/>
  <c r="AV176" i="1" s="1"/>
  <c r="AR176" i="1"/>
  <c r="AS176" i="1" s="1"/>
  <c r="AP176" i="1"/>
  <c r="AO176" i="1"/>
  <c r="AL176" i="1"/>
  <c r="AM176" i="1" s="1"/>
  <c r="AI176" i="1"/>
  <c r="AJ176" i="1" s="1"/>
  <c r="AF176" i="1"/>
  <c r="AG176" i="1" s="1"/>
  <c r="AC176" i="1"/>
  <c r="AD176" i="1" s="1"/>
  <c r="Z176" i="1"/>
  <c r="AA176" i="1" s="1"/>
  <c r="W176" i="1"/>
  <c r="X176" i="1" s="1"/>
  <c r="T176" i="1"/>
  <c r="U176" i="1" s="1"/>
  <c r="I176" i="1"/>
  <c r="DO175" i="1"/>
  <c r="DP175" i="1" s="1"/>
  <c r="DL175" i="1"/>
  <c r="DM175" i="1" s="1"/>
  <c r="DI175" i="1"/>
  <c r="DJ175" i="1" s="1"/>
  <c r="DF175" i="1"/>
  <c r="DG175" i="1" s="1"/>
  <c r="DC175" i="1"/>
  <c r="DD175" i="1" s="1"/>
  <c r="CZ175" i="1"/>
  <c r="DA175" i="1" s="1"/>
  <c r="CW175" i="1"/>
  <c r="CX175" i="1" s="1"/>
  <c r="CT175" i="1"/>
  <c r="CU175" i="1" s="1"/>
  <c r="CQ175" i="1"/>
  <c r="CR175" i="1" s="1"/>
  <c r="CO175" i="1"/>
  <c r="CN175" i="1"/>
  <c r="CK175" i="1"/>
  <c r="CL175" i="1" s="1"/>
  <c r="CH175" i="1"/>
  <c r="CI175" i="1" s="1"/>
  <c r="CE175" i="1"/>
  <c r="CF175" i="1" s="1"/>
  <c r="CC175" i="1"/>
  <c r="CB175" i="1"/>
  <c r="BY175" i="1"/>
  <c r="BZ175" i="1" s="1"/>
  <c r="BV175" i="1"/>
  <c r="BW175" i="1" s="1"/>
  <c r="BS175" i="1"/>
  <c r="BT175" i="1" s="1"/>
  <c r="BQ175" i="1"/>
  <c r="BP175" i="1"/>
  <c r="BM175" i="1"/>
  <c r="BN175" i="1" s="1"/>
  <c r="BJ175" i="1"/>
  <c r="BK175" i="1" s="1"/>
  <c r="BG175" i="1"/>
  <c r="BH175" i="1" s="1"/>
  <c r="BD175" i="1"/>
  <c r="BE175" i="1" s="1"/>
  <c r="BA175" i="1"/>
  <c r="BB175" i="1" s="1"/>
  <c r="AX175" i="1"/>
  <c r="AY175" i="1" s="1"/>
  <c r="AU175" i="1"/>
  <c r="AV175" i="1" s="1"/>
  <c r="AR175" i="1"/>
  <c r="AS175" i="1" s="1"/>
  <c r="AO175" i="1"/>
  <c r="AP175" i="1" s="1"/>
  <c r="AL175" i="1"/>
  <c r="AM175" i="1" s="1"/>
  <c r="AI175" i="1"/>
  <c r="AJ175" i="1" s="1"/>
  <c r="AF175" i="1"/>
  <c r="AG175" i="1" s="1"/>
  <c r="AC175" i="1"/>
  <c r="AD175" i="1" s="1"/>
  <c r="Z175" i="1"/>
  <c r="AA175" i="1" s="1"/>
  <c r="X175" i="1"/>
  <c r="W175" i="1"/>
  <c r="U175" i="1"/>
  <c r="T175" i="1"/>
  <c r="O175" i="1"/>
  <c r="L175" i="1"/>
  <c r="I175" i="1"/>
  <c r="DO174" i="1"/>
  <c r="DP174" i="1" s="1"/>
  <c r="DL174" i="1"/>
  <c r="DM174" i="1" s="1"/>
  <c r="DI174" i="1"/>
  <c r="DJ174" i="1" s="1"/>
  <c r="DG174" i="1"/>
  <c r="DF174" i="1"/>
  <c r="DC174" i="1"/>
  <c r="DD174" i="1" s="1"/>
  <c r="CZ174" i="1"/>
  <c r="DA174" i="1" s="1"/>
  <c r="CW174" i="1"/>
  <c r="CX174" i="1" s="1"/>
  <c r="CU174" i="1"/>
  <c r="CT174" i="1"/>
  <c r="CQ174" i="1"/>
  <c r="CR174" i="1" s="1"/>
  <c r="CN174" i="1"/>
  <c r="CO174" i="1" s="1"/>
  <c r="CK174" i="1"/>
  <c r="CL174" i="1" s="1"/>
  <c r="CI174" i="1"/>
  <c r="CH174" i="1"/>
  <c r="CF174" i="1"/>
  <c r="CE174" i="1"/>
  <c r="CB174" i="1"/>
  <c r="CC174" i="1" s="1"/>
  <c r="BY174" i="1"/>
  <c r="BZ174" i="1" s="1"/>
  <c r="BV174" i="1"/>
  <c r="BW174" i="1" s="1"/>
  <c r="BS174" i="1"/>
  <c r="BT174" i="1" s="1"/>
  <c r="BP174" i="1"/>
  <c r="BQ174" i="1" s="1"/>
  <c r="BN174" i="1"/>
  <c r="BM174" i="1"/>
  <c r="BJ174" i="1"/>
  <c r="BK174" i="1" s="1"/>
  <c r="BG174" i="1"/>
  <c r="BH174" i="1" s="1"/>
  <c r="BD174" i="1"/>
  <c r="BE174" i="1" s="1"/>
  <c r="BA174" i="1"/>
  <c r="BB174" i="1" s="1"/>
  <c r="AY174" i="1"/>
  <c r="AX174" i="1"/>
  <c r="AU174" i="1"/>
  <c r="AV174" i="1" s="1"/>
  <c r="AR174" i="1"/>
  <c r="AS174" i="1" s="1"/>
  <c r="AO174" i="1"/>
  <c r="AP174" i="1" s="1"/>
  <c r="AM174" i="1"/>
  <c r="AL174" i="1"/>
  <c r="AI174" i="1"/>
  <c r="AJ174" i="1" s="1"/>
  <c r="AF174" i="1"/>
  <c r="AG174" i="1" s="1"/>
  <c r="AC174" i="1"/>
  <c r="AD174" i="1" s="1"/>
  <c r="AA174" i="1"/>
  <c r="Z174" i="1"/>
  <c r="X174" i="1"/>
  <c r="W174" i="1"/>
  <c r="T174" i="1"/>
  <c r="U174" i="1" s="1"/>
  <c r="R174" i="1"/>
  <c r="O174" i="1"/>
  <c r="L174" i="1"/>
  <c r="I174" i="1"/>
  <c r="DO173" i="1"/>
  <c r="DP173" i="1" s="1"/>
  <c r="DL173" i="1"/>
  <c r="DM173" i="1" s="1"/>
  <c r="DI173" i="1"/>
  <c r="DJ173" i="1" s="1"/>
  <c r="DF173" i="1"/>
  <c r="DG173" i="1" s="1"/>
  <c r="DD173" i="1"/>
  <c r="DC173" i="1"/>
  <c r="CZ173" i="1"/>
  <c r="DA173" i="1" s="1"/>
  <c r="CX173" i="1"/>
  <c r="CW173" i="1"/>
  <c r="CT173" i="1"/>
  <c r="CU173" i="1" s="1"/>
  <c r="CQ173" i="1"/>
  <c r="CR173" i="1" s="1"/>
  <c r="CN173" i="1"/>
  <c r="CO173" i="1" s="1"/>
  <c r="CL173" i="1"/>
  <c r="CK173" i="1"/>
  <c r="CH173" i="1"/>
  <c r="CI173" i="1" s="1"/>
  <c r="CE173" i="1"/>
  <c r="CF173" i="1" s="1"/>
  <c r="CB173" i="1"/>
  <c r="CC173" i="1" s="1"/>
  <c r="BY173" i="1"/>
  <c r="BZ173" i="1" s="1"/>
  <c r="BW173" i="1"/>
  <c r="BV173" i="1"/>
  <c r="BS173" i="1"/>
  <c r="BT173" i="1" s="1"/>
  <c r="BP173" i="1"/>
  <c r="BQ173" i="1" s="1"/>
  <c r="BM173" i="1"/>
  <c r="BN173" i="1" s="1"/>
  <c r="BK173" i="1"/>
  <c r="BJ173" i="1"/>
  <c r="BH173" i="1"/>
  <c r="BG173" i="1"/>
  <c r="BD173" i="1"/>
  <c r="BE173" i="1" s="1"/>
  <c r="BA173" i="1"/>
  <c r="BB173" i="1" s="1"/>
  <c r="AY173" i="1"/>
  <c r="AX173" i="1"/>
  <c r="AV173" i="1"/>
  <c r="AU173" i="1"/>
  <c r="AR173" i="1"/>
  <c r="AS173" i="1" s="1"/>
  <c r="AO173" i="1"/>
  <c r="AP173" i="1" s="1"/>
  <c r="AL173" i="1"/>
  <c r="AM173" i="1" s="1"/>
  <c r="AI173" i="1"/>
  <c r="AJ173" i="1" s="1"/>
  <c r="AF173" i="1"/>
  <c r="AG173" i="1" s="1"/>
  <c r="AD173" i="1"/>
  <c r="AC173" i="1"/>
  <c r="Z173" i="1"/>
  <c r="AA173" i="1" s="1"/>
  <c r="W173" i="1"/>
  <c r="X173" i="1" s="1"/>
  <c r="T173" i="1"/>
  <c r="U173" i="1" s="1"/>
  <c r="R173" i="1"/>
  <c r="O173" i="1"/>
  <c r="L173" i="1"/>
  <c r="I173" i="1"/>
  <c r="DP172" i="1"/>
  <c r="DO172" i="1"/>
  <c r="DL172" i="1"/>
  <c r="DM172" i="1" s="1"/>
  <c r="DI172" i="1"/>
  <c r="DJ172" i="1" s="1"/>
  <c r="DF172" i="1"/>
  <c r="DG172" i="1" s="1"/>
  <c r="DD172" i="1"/>
  <c r="DC172" i="1"/>
  <c r="CZ172" i="1"/>
  <c r="DA172" i="1" s="1"/>
  <c r="CW172" i="1"/>
  <c r="CX172" i="1" s="1"/>
  <c r="CT172" i="1"/>
  <c r="CU172" i="1" s="1"/>
  <c r="CQ172" i="1"/>
  <c r="CR172" i="1" s="1"/>
  <c r="CN172" i="1"/>
  <c r="CO172" i="1" s="1"/>
  <c r="CK172" i="1"/>
  <c r="CL172" i="1" s="1"/>
  <c r="CH172" i="1"/>
  <c r="CI172" i="1" s="1"/>
  <c r="CE172" i="1"/>
  <c r="CF172" i="1" s="1"/>
  <c r="CB172" i="1"/>
  <c r="CC172" i="1" s="1"/>
  <c r="BY172" i="1"/>
  <c r="BZ172" i="1" s="1"/>
  <c r="BV172" i="1"/>
  <c r="BW172" i="1" s="1"/>
  <c r="BS172" i="1"/>
  <c r="BT172" i="1" s="1"/>
  <c r="BP172" i="1"/>
  <c r="BQ172" i="1" s="1"/>
  <c r="BM172" i="1"/>
  <c r="BN172" i="1" s="1"/>
  <c r="BK172" i="1"/>
  <c r="BJ172" i="1"/>
  <c r="BG172" i="1"/>
  <c r="BH172" i="1" s="1"/>
  <c r="BD172" i="1"/>
  <c r="BE172" i="1" s="1"/>
  <c r="BA172" i="1"/>
  <c r="BB172" i="1" s="1"/>
  <c r="AY172" i="1"/>
  <c r="AX172" i="1"/>
  <c r="AV172" i="1"/>
  <c r="AU172" i="1"/>
  <c r="AR172" i="1"/>
  <c r="AS172" i="1" s="1"/>
  <c r="AO172" i="1"/>
  <c r="AP172" i="1" s="1"/>
  <c r="AM172" i="1"/>
  <c r="AL172" i="1"/>
  <c r="AJ172" i="1"/>
  <c r="AI172" i="1"/>
  <c r="AF172" i="1"/>
  <c r="AG172" i="1" s="1"/>
  <c r="AC172" i="1"/>
  <c r="AD172" i="1" s="1"/>
  <c r="AA172" i="1"/>
  <c r="Z172" i="1"/>
  <c r="X172" i="1"/>
  <c r="W172" i="1"/>
  <c r="T172" i="1"/>
  <c r="U172" i="1" s="1"/>
  <c r="R172" i="1"/>
  <c r="O172" i="1"/>
  <c r="L172" i="1"/>
  <c r="I172" i="1"/>
  <c r="DO171" i="1"/>
  <c r="DP171" i="1" s="1"/>
  <c r="DL171" i="1"/>
  <c r="DM171" i="1" s="1"/>
  <c r="DI171" i="1"/>
  <c r="DJ171" i="1" s="1"/>
  <c r="DF171" i="1"/>
  <c r="DG171" i="1" s="1"/>
  <c r="DC171" i="1"/>
  <c r="DD171" i="1" s="1"/>
  <c r="CZ171" i="1"/>
  <c r="DA171" i="1" s="1"/>
  <c r="CW171" i="1"/>
  <c r="CX171" i="1" s="1"/>
  <c r="CU171" i="1"/>
  <c r="CT171" i="1"/>
  <c r="CQ171" i="1"/>
  <c r="CR171" i="1" s="1"/>
  <c r="CN171" i="1"/>
  <c r="CO171" i="1" s="1"/>
  <c r="CK171" i="1"/>
  <c r="CL171" i="1" s="1"/>
  <c r="CI171" i="1"/>
  <c r="CH171" i="1"/>
  <c r="CF171" i="1"/>
  <c r="CE171" i="1"/>
  <c r="CB171" i="1"/>
  <c r="CC171" i="1" s="1"/>
  <c r="BY171" i="1"/>
  <c r="BZ171" i="1" s="1"/>
  <c r="BV171" i="1"/>
  <c r="BW171" i="1" s="1"/>
  <c r="BS171" i="1"/>
  <c r="BT171" i="1" s="1"/>
  <c r="BP171" i="1"/>
  <c r="BQ171" i="1" s="1"/>
  <c r="BM171" i="1"/>
  <c r="BN171" i="1" s="1"/>
  <c r="BJ171" i="1"/>
  <c r="BK171" i="1" s="1"/>
  <c r="BG171" i="1"/>
  <c r="BH171" i="1" s="1"/>
  <c r="BD171" i="1"/>
  <c r="BE171" i="1" s="1"/>
  <c r="BB171" i="1"/>
  <c r="BA171" i="1"/>
  <c r="AY171" i="1"/>
  <c r="AX171" i="1"/>
  <c r="AU171" i="1"/>
  <c r="AV171" i="1" s="1"/>
  <c r="AR171" i="1"/>
  <c r="AS171" i="1" s="1"/>
  <c r="AP171" i="1"/>
  <c r="AO171" i="1"/>
  <c r="AM171" i="1"/>
  <c r="AL171" i="1"/>
  <c r="AI171" i="1"/>
  <c r="AJ171" i="1" s="1"/>
  <c r="AF171" i="1"/>
  <c r="AG171" i="1" s="1"/>
  <c r="AC171" i="1"/>
  <c r="AD171" i="1" s="1"/>
  <c r="Z171" i="1"/>
  <c r="AA171" i="1" s="1"/>
  <c r="X171" i="1"/>
  <c r="W171" i="1"/>
  <c r="T171" i="1"/>
  <c r="U171" i="1" s="1"/>
  <c r="R171" i="1"/>
  <c r="I171" i="1"/>
  <c r="DP170" i="1"/>
  <c r="DO170" i="1"/>
  <c r="DM170" i="1"/>
  <c r="DL170" i="1"/>
  <c r="DI170" i="1"/>
  <c r="DJ170" i="1" s="1"/>
  <c r="DF170" i="1"/>
  <c r="DG170" i="1" s="1"/>
  <c r="DC170" i="1"/>
  <c r="DD170" i="1" s="1"/>
  <c r="CZ170" i="1"/>
  <c r="DA170" i="1" s="1"/>
  <c r="CW170" i="1"/>
  <c r="CX170" i="1" s="1"/>
  <c r="CT170" i="1"/>
  <c r="CU170" i="1" s="1"/>
  <c r="CQ170" i="1"/>
  <c r="CR170" i="1" s="1"/>
  <c r="CN170" i="1"/>
  <c r="CO170" i="1" s="1"/>
  <c r="CK170" i="1"/>
  <c r="CL170" i="1" s="1"/>
  <c r="CH170" i="1"/>
  <c r="CI170" i="1" s="1"/>
  <c r="CF170" i="1"/>
  <c r="CE170" i="1"/>
  <c r="CB170" i="1"/>
  <c r="CC170" i="1" s="1"/>
  <c r="BY170" i="1"/>
  <c r="BZ170" i="1" s="1"/>
  <c r="BV170" i="1"/>
  <c r="BW170" i="1" s="1"/>
  <c r="BS170" i="1"/>
  <c r="BT170" i="1" s="1"/>
  <c r="BQ170" i="1"/>
  <c r="BP170" i="1"/>
  <c r="BM170" i="1"/>
  <c r="BN170" i="1" s="1"/>
  <c r="BJ170" i="1"/>
  <c r="BK170" i="1" s="1"/>
  <c r="BG170" i="1"/>
  <c r="BH170" i="1" s="1"/>
  <c r="BE170" i="1"/>
  <c r="BD170" i="1"/>
  <c r="BA170" i="1"/>
  <c r="BB170" i="1" s="1"/>
  <c r="AX170" i="1"/>
  <c r="AY170" i="1" s="1"/>
  <c r="AU170" i="1"/>
  <c r="AV170" i="1" s="1"/>
  <c r="AR170" i="1"/>
  <c r="AS170" i="1" s="1"/>
  <c r="AO170" i="1"/>
  <c r="AP170" i="1" s="1"/>
  <c r="AL170" i="1"/>
  <c r="AM170" i="1" s="1"/>
  <c r="AI170" i="1"/>
  <c r="AJ170" i="1" s="1"/>
  <c r="AG170" i="1"/>
  <c r="AF170" i="1"/>
  <c r="AC170" i="1"/>
  <c r="AD170" i="1" s="1"/>
  <c r="Z170" i="1"/>
  <c r="AA170" i="1" s="1"/>
  <c r="W170" i="1"/>
  <c r="X170" i="1" s="1"/>
  <c r="T170" i="1"/>
  <c r="U170" i="1" s="1"/>
  <c r="R170" i="1"/>
  <c r="O170" i="1"/>
  <c r="L170" i="1"/>
  <c r="I170" i="1"/>
  <c r="DO169" i="1"/>
  <c r="DP169" i="1" s="1"/>
  <c r="DL169" i="1"/>
  <c r="DM169" i="1" s="1"/>
  <c r="DI169" i="1"/>
  <c r="DJ169" i="1" s="1"/>
  <c r="DF169" i="1"/>
  <c r="DG169" i="1" s="1"/>
  <c r="DD169" i="1"/>
  <c r="DC169" i="1"/>
  <c r="CZ169" i="1"/>
  <c r="DA169" i="1" s="1"/>
  <c r="CW169" i="1"/>
  <c r="CX169" i="1" s="1"/>
  <c r="CT169" i="1"/>
  <c r="CU169" i="1" s="1"/>
  <c r="CR169" i="1"/>
  <c r="CQ169" i="1"/>
  <c r="CO169" i="1"/>
  <c r="CN169" i="1"/>
  <c r="CK169" i="1"/>
  <c r="CL169" i="1" s="1"/>
  <c r="CH169" i="1"/>
  <c r="CI169" i="1" s="1"/>
  <c r="CF169" i="1"/>
  <c r="CE169" i="1"/>
  <c r="CC169" i="1"/>
  <c r="CB169" i="1"/>
  <c r="BY169" i="1"/>
  <c r="BZ169" i="1" s="1"/>
  <c r="BV169" i="1"/>
  <c r="BW169" i="1" s="1"/>
  <c r="BS169" i="1"/>
  <c r="BT169" i="1" s="1"/>
  <c r="BP169" i="1"/>
  <c r="BQ169" i="1" s="1"/>
  <c r="BM169" i="1"/>
  <c r="BN169" i="1" s="1"/>
  <c r="BJ169" i="1"/>
  <c r="BK169" i="1" s="1"/>
  <c r="BH169" i="1"/>
  <c r="BG169" i="1"/>
  <c r="BD169" i="1"/>
  <c r="BE169" i="1" s="1"/>
  <c r="BA169" i="1"/>
  <c r="BB169" i="1" s="1"/>
  <c r="AX169" i="1"/>
  <c r="AY169" i="1" s="1"/>
  <c r="AV169" i="1"/>
  <c r="AU169" i="1"/>
  <c r="AR169" i="1"/>
  <c r="AS169" i="1" s="1"/>
  <c r="AO169" i="1"/>
  <c r="AP169" i="1" s="1"/>
  <c r="AL169" i="1"/>
  <c r="AM169" i="1" s="1"/>
  <c r="AJ169" i="1"/>
  <c r="AI169" i="1"/>
  <c r="AF169" i="1"/>
  <c r="AG169" i="1" s="1"/>
  <c r="AC169" i="1"/>
  <c r="AD169" i="1" s="1"/>
  <c r="Z169" i="1"/>
  <c r="AA169" i="1" s="1"/>
  <c r="W169" i="1"/>
  <c r="X169" i="1" s="1"/>
  <c r="T169" i="1"/>
  <c r="U169" i="1" s="1"/>
  <c r="R169" i="1"/>
  <c r="O169" i="1"/>
  <c r="L169" i="1"/>
  <c r="I169" i="1"/>
  <c r="DP168" i="1"/>
  <c r="DO168" i="1"/>
  <c r="DL168" i="1"/>
  <c r="DM168" i="1" s="1"/>
  <c r="DI168" i="1"/>
  <c r="DJ168" i="1" s="1"/>
  <c r="DG168" i="1"/>
  <c r="DF168" i="1"/>
  <c r="DC168" i="1"/>
  <c r="DD168" i="1" s="1"/>
  <c r="DA168" i="1"/>
  <c r="CZ168" i="1"/>
  <c r="CW168" i="1"/>
  <c r="CX168" i="1" s="1"/>
  <c r="CT168" i="1"/>
  <c r="CU168" i="1" s="1"/>
  <c r="CQ168" i="1"/>
  <c r="CR168" i="1" s="1"/>
  <c r="CN168" i="1"/>
  <c r="CO168" i="1" s="1"/>
  <c r="CK168" i="1"/>
  <c r="CL168" i="1" s="1"/>
  <c r="CH168" i="1"/>
  <c r="CI168" i="1" s="1"/>
  <c r="CE168" i="1"/>
  <c r="CF168" i="1" s="1"/>
  <c r="CB168" i="1"/>
  <c r="CC168" i="1" s="1"/>
  <c r="BY168" i="1"/>
  <c r="BZ168" i="1" s="1"/>
  <c r="BV168" i="1"/>
  <c r="BW168" i="1" s="1"/>
  <c r="BT168" i="1"/>
  <c r="BS168" i="1"/>
  <c r="BP168" i="1"/>
  <c r="BQ168" i="1" s="1"/>
  <c r="BM168" i="1"/>
  <c r="BN168" i="1" s="1"/>
  <c r="BJ168" i="1"/>
  <c r="BK168" i="1" s="1"/>
  <c r="BH168" i="1"/>
  <c r="BG168" i="1"/>
  <c r="BD168" i="1"/>
  <c r="BE168" i="1" s="1"/>
  <c r="BA168" i="1"/>
  <c r="BB168" i="1" s="1"/>
  <c r="AX168" i="1"/>
  <c r="AY168" i="1" s="1"/>
  <c r="AU168" i="1"/>
  <c r="AV168" i="1" s="1"/>
  <c r="AR168" i="1"/>
  <c r="AS168" i="1" s="1"/>
  <c r="AO168" i="1"/>
  <c r="AP168" i="1" s="1"/>
  <c r="AL168" i="1"/>
  <c r="AM168" i="1" s="1"/>
  <c r="AI168" i="1"/>
  <c r="AJ168" i="1" s="1"/>
  <c r="AF168" i="1"/>
  <c r="AG168" i="1" s="1"/>
  <c r="AC168" i="1"/>
  <c r="AD168" i="1" s="1"/>
  <c r="Z168" i="1"/>
  <c r="AA168" i="1" s="1"/>
  <c r="X168" i="1"/>
  <c r="W168" i="1"/>
  <c r="T168" i="1"/>
  <c r="U168" i="1" s="1"/>
  <c r="R168" i="1"/>
  <c r="O168" i="1"/>
  <c r="L168" i="1"/>
  <c r="I168" i="1"/>
  <c r="DP167" i="1"/>
  <c r="DO167" i="1"/>
  <c r="DL167" i="1"/>
  <c r="DM167" i="1" s="1"/>
  <c r="DI167" i="1"/>
  <c r="DJ167" i="1" s="1"/>
  <c r="DF167" i="1"/>
  <c r="DG167" i="1" s="1"/>
  <c r="DC167" i="1"/>
  <c r="DD167" i="1" s="1"/>
  <c r="CZ167" i="1"/>
  <c r="DA167" i="1" s="1"/>
  <c r="CW167" i="1"/>
  <c r="CX167" i="1" s="1"/>
  <c r="CT167" i="1"/>
  <c r="CU167" i="1" s="1"/>
  <c r="CQ167" i="1"/>
  <c r="CR167" i="1" s="1"/>
  <c r="CO167" i="1"/>
  <c r="CN167" i="1"/>
  <c r="CK167" i="1"/>
  <c r="CL167" i="1" s="1"/>
  <c r="CI167" i="1"/>
  <c r="CH167" i="1"/>
  <c r="CE167" i="1"/>
  <c r="CF167" i="1" s="1"/>
  <c r="CB167" i="1"/>
  <c r="CC167" i="1" s="1"/>
  <c r="BY167" i="1"/>
  <c r="BZ167" i="1" s="1"/>
  <c r="BV167" i="1"/>
  <c r="BW167" i="1" s="1"/>
  <c r="BT167" i="1"/>
  <c r="BS167" i="1"/>
  <c r="BP167" i="1"/>
  <c r="BQ167" i="1" s="1"/>
  <c r="BM167" i="1"/>
  <c r="BN167" i="1" s="1"/>
  <c r="BJ167" i="1"/>
  <c r="BK167" i="1" s="1"/>
  <c r="BH167" i="1"/>
  <c r="BG167" i="1"/>
  <c r="BD167" i="1"/>
  <c r="BE167" i="1" s="1"/>
  <c r="BA167" i="1"/>
  <c r="BB167" i="1" s="1"/>
  <c r="AX167" i="1"/>
  <c r="AY167" i="1" s="1"/>
  <c r="AU167" i="1"/>
  <c r="AV167" i="1" s="1"/>
  <c r="AR167" i="1"/>
  <c r="AS167" i="1" s="1"/>
  <c r="AO167" i="1"/>
  <c r="AP167" i="1" s="1"/>
  <c r="AL167" i="1"/>
  <c r="AM167" i="1" s="1"/>
  <c r="AJ167" i="1"/>
  <c r="AI167" i="1"/>
  <c r="AF167" i="1"/>
  <c r="AG167" i="1" s="1"/>
  <c r="AC167" i="1"/>
  <c r="AD167" i="1" s="1"/>
  <c r="Z167" i="1"/>
  <c r="AA167" i="1" s="1"/>
  <c r="X167" i="1"/>
  <c r="W167" i="1"/>
  <c r="T167" i="1"/>
  <c r="U167" i="1" s="1"/>
  <c r="R167" i="1"/>
  <c r="O167" i="1"/>
  <c r="L167" i="1"/>
  <c r="I167" i="1"/>
  <c r="DO166" i="1"/>
  <c r="DP166" i="1" s="1"/>
  <c r="DL166" i="1"/>
  <c r="DM166" i="1" s="1"/>
  <c r="DI166" i="1"/>
  <c r="DJ166" i="1" s="1"/>
  <c r="DF166" i="1"/>
  <c r="DG166" i="1" s="1"/>
  <c r="DC166" i="1"/>
  <c r="DD166" i="1" s="1"/>
  <c r="CZ166" i="1"/>
  <c r="DA166" i="1" s="1"/>
  <c r="CW166" i="1"/>
  <c r="CX166" i="1" s="1"/>
  <c r="CT166" i="1"/>
  <c r="CU166" i="1" s="1"/>
  <c r="CQ166" i="1"/>
  <c r="CR166" i="1" s="1"/>
  <c r="CN166" i="1"/>
  <c r="CO166" i="1" s="1"/>
  <c r="CK166" i="1"/>
  <c r="CL166" i="1" s="1"/>
  <c r="CI166" i="1"/>
  <c r="CH166" i="1"/>
  <c r="CF166" i="1"/>
  <c r="CE166" i="1"/>
  <c r="CB166" i="1"/>
  <c r="CC166" i="1" s="1"/>
  <c r="BY166" i="1"/>
  <c r="BZ166" i="1" s="1"/>
  <c r="BV166" i="1"/>
  <c r="BW166" i="1" s="1"/>
  <c r="BS166" i="1"/>
  <c r="BT166" i="1" s="1"/>
  <c r="BP166" i="1"/>
  <c r="BQ166" i="1" s="1"/>
  <c r="BM166" i="1"/>
  <c r="BN166" i="1" s="1"/>
  <c r="BJ166" i="1"/>
  <c r="BK166" i="1" s="1"/>
  <c r="BG166" i="1"/>
  <c r="BH166" i="1" s="1"/>
  <c r="BD166" i="1"/>
  <c r="BE166" i="1" s="1"/>
  <c r="BA166" i="1"/>
  <c r="BB166" i="1" s="1"/>
  <c r="AY166" i="1"/>
  <c r="AX166" i="1"/>
  <c r="AU166" i="1"/>
  <c r="AV166" i="1" s="1"/>
  <c r="AR166" i="1"/>
  <c r="AS166" i="1" s="1"/>
  <c r="AO166" i="1"/>
  <c r="AP166" i="1" s="1"/>
  <c r="AL166" i="1"/>
  <c r="AM166" i="1" s="1"/>
  <c r="AJ166" i="1"/>
  <c r="AI166" i="1"/>
  <c r="AF166" i="1"/>
  <c r="AG166" i="1" s="1"/>
  <c r="AC166" i="1"/>
  <c r="AD166" i="1" s="1"/>
  <c r="AA166" i="1"/>
  <c r="Z166" i="1"/>
  <c r="W166" i="1"/>
  <c r="X166" i="1" s="1"/>
  <c r="T166" i="1"/>
  <c r="U166" i="1" s="1"/>
  <c r="R166" i="1"/>
  <c r="O166" i="1"/>
  <c r="L166" i="1"/>
  <c r="I166" i="1"/>
  <c r="DO165" i="1"/>
  <c r="DP165" i="1" s="1"/>
  <c r="DL165" i="1"/>
  <c r="DM165" i="1" s="1"/>
  <c r="DI165" i="1"/>
  <c r="DJ165" i="1" s="1"/>
  <c r="DF165" i="1"/>
  <c r="DG165" i="1" s="1"/>
  <c r="DC165" i="1"/>
  <c r="DD165" i="1" s="1"/>
  <c r="CZ165" i="1"/>
  <c r="DA165" i="1" s="1"/>
  <c r="CW165" i="1"/>
  <c r="CX165" i="1" s="1"/>
  <c r="CT165" i="1"/>
  <c r="CU165" i="1" s="1"/>
  <c r="CR165" i="1"/>
  <c r="CQ165" i="1"/>
  <c r="CN165" i="1"/>
  <c r="CO165" i="1" s="1"/>
  <c r="CK165" i="1"/>
  <c r="CL165" i="1" s="1"/>
  <c r="CH165" i="1"/>
  <c r="CI165" i="1" s="1"/>
  <c r="CF165" i="1"/>
  <c r="CE165" i="1"/>
  <c r="CB165" i="1"/>
  <c r="CC165" i="1" s="1"/>
  <c r="BY165" i="1"/>
  <c r="BZ165" i="1" s="1"/>
  <c r="BV165" i="1"/>
  <c r="BW165" i="1" s="1"/>
  <c r="BT165" i="1"/>
  <c r="BS165" i="1"/>
  <c r="BQ165" i="1"/>
  <c r="BP165" i="1"/>
  <c r="BM165" i="1"/>
  <c r="BN165" i="1" s="1"/>
  <c r="BJ165" i="1"/>
  <c r="BK165" i="1" s="1"/>
  <c r="BG165" i="1"/>
  <c r="BH165" i="1" s="1"/>
  <c r="BD165" i="1"/>
  <c r="BE165" i="1" s="1"/>
  <c r="BA165" i="1"/>
  <c r="BB165" i="1" s="1"/>
  <c r="AY165" i="1"/>
  <c r="AX165" i="1"/>
  <c r="AU165" i="1"/>
  <c r="AV165" i="1" s="1"/>
  <c r="AR165" i="1"/>
  <c r="AS165" i="1" s="1"/>
  <c r="AO165" i="1"/>
  <c r="AP165" i="1" s="1"/>
  <c r="AM165" i="1"/>
  <c r="AL165" i="1"/>
  <c r="AJ165" i="1"/>
  <c r="AI165" i="1"/>
  <c r="AF165" i="1"/>
  <c r="AG165" i="1" s="1"/>
  <c r="AC165" i="1"/>
  <c r="AD165" i="1" s="1"/>
  <c r="Z165" i="1"/>
  <c r="AA165" i="1" s="1"/>
  <c r="W165" i="1"/>
  <c r="X165" i="1" s="1"/>
  <c r="T165" i="1"/>
  <c r="U165" i="1" s="1"/>
  <c r="R165" i="1"/>
  <c r="O165" i="1"/>
  <c r="L165" i="1"/>
  <c r="I165" i="1"/>
  <c r="DP164" i="1"/>
  <c r="DO164" i="1"/>
  <c r="DL164" i="1"/>
  <c r="DM164" i="1" s="1"/>
  <c r="DI164" i="1"/>
  <c r="DJ164" i="1" s="1"/>
  <c r="DG164" i="1"/>
  <c r="DF164" i="1"/>
  <c r="DC164" i="1"/>
  <c r="DD164" i="1" s="1"/>
  <c r="CZ164" i="1"/>
  <c r="DA164" i="1" s="1"/>
  <c r="CW164" i="1"/>
  <c r="CX164" i="1" s="1"/>
  <c r="CT164" i="1"/>
  <c r="CU164" i="1" s="1"/>
  <c r="CR164" i="1"/>
  <c r="CQ164" i="1"/>
  <c r="CN164" i="1"/>
  <c r="CO164" i="1" s="1"/>
  <c r="CK164" i="1"/>
  <c r="CL164" i="1" s="1"/>
  <c r="CH164" i="1"/>
  <c r="CI164" i="1" s="1"/>
  <c r="CF164" i="1"/>
  <c r="CE164" i="1"/>
  <c r="CB164" i="1"/>
  <c r="CC164" i="1" s="1"/>
  <c r="BY164" i="1"/>
  <c r="BZ164" i="1" s="1"/>
  <c r="BV164" i="1"/>
  <c r="BW164" i="1" s="1"/>
  <c r="BS164" i="1"/>
  <c r="BT164" i="1" s="1"/>
  <c r="BP164" i="1"/>
  <c r="BQ164" i="1" s="1"/>
  <c r="BM164" i="1"/>
  <c r="BN164" i="1" s="1"/>
  <c r="BK164" i="1"/>
  <c r="BJ164" i="1"/>
  <c r="BG164" i="1"/>
  <c r="BH164" i="1" s="1"/>
  <c r="BD164" i="1"/>
  <c r="BE164" i="1" s="1"/>
  <c r="BA164" i="1"/>
  <c r="BB164" i="1" s="1"/>
  <c r="AY164" i="1"/>
  <c r="AX164" i="1"/>
  <c r="AU164" i="1"/>
  <c r="AV164" i="1" s="1"/>
  <c r="AR164" i="1"/>
  <c r="AS164" i="1" s="1"/>
  <c r="AO164" i="1"/>
  <c r="AP164" i="1" s="1"/>
  <c r="AL164" i="1"/>
  <c r="AM164" i="1" s="1"/>
  <c r="AI164" i="1"/>
  <c r="AJ164" i="1" s="1"/>
  <c r="AG164" i="1"/>
  <c r="AF164" i="1"/>
  <c r="AC164" i="1"/>
  <c r="AD164" i="1" s="1"/>
  <c r="Z164" i="1"/>
  <c r="AA164" i="1" s="1"/>
  <c r="W164" i="1"/>
  <c r="X164" i="1" s="1"/>
  <c r="T164" i="1"/>
  <c r="U164" i="1" s="1"/>
  <c r="R164" i="1"/>
  <c r="O164" i="1"/>
  <c r="L164" i="1"/>
  <c r="I164" i="1"/>
  <c r="DO163" i="1"/>
  <c r="DP163" i="1" s="1"/>
  <c r="DL163" i="1"/>
  <c r="DM163" i="1" s="1"/>
  <c r="DI163" i="1"/>
  <c r="DJ163" i="1" s="1"/>
  <c r="DF163" i="1"/>
  <c r="DG163" i="1" s="1"/>
  <c r="DC163" i="1"/>
  <c r="DD163" i="1" s="1"/>
  <c r="CZ163" i="1"/>
  <c r="DA163" i="1" s="1"/>
  <c r="CW163" i="1"/>
  <c r="CX163" i="1" s="1"/>
  <c r="CT163" i="1"/>
  <c r="CU163" i="1" s="1"/>
  <c r="CQ163" i="1"/>
  <c r="CR163" i="1" s="1"/>
  <c r="CN163" i="1"/>
  <c r="CO163" i="1" s="1"/>
  <c r="CK163" i="1"/>
  <c r="CL163" i="1" s="1"/>
  <c r="CH163" i="1"/>
  <c r="CI163" i="1" s="1"/>
  <c r="CE163" i="1"/>
  <c r="CF163" i="1" s="1"/>
  <c r="CC163" i="1"/>
  <c r="CB163" i="1"/>
  <c r="BY163" i="1"/>
  <c r="BZ163" i="1" s="1"/>
  <c r="BV163" i="1"/>
  <c r="BW163" i="1" s="1"/>
  <c r="BS163" i="1"/>
  <c r="BT163" i="1" s="1"/>
  <c r="BP163" i="1"/>
  <c r="BQ163" i="1" s="1"/>
  <c r="BM163" i="1"/>
  <c r="BN163" i="1" s="1"/>
  <c r="BJ163" i="1"/>
  <c r="BK163" i="1" s="1"/>
  <c r="BH163" i="1"/>
  <c r="BG163" i="1"/>
  <c r="BD163" i="1"/>
  <c r="BE163" i="1" s="1"/>
  <c r="BA163" i="1"/>
  <c r="BB163" i="1" s="1"/>
  <c r="AX163" i="1"/>
  <c r="AY163" i="1" s="1"/>
  <c r="AU163" i="1"/>
  <c r="AV163" i="1" s="1"/>
  <c r="AR163" i="1"/>
  <c r="AS163" i="1" s="1"/>
  <c r="AO163" i="1"/>
  <c r="AP163" i="1" s="1"/>
  <c r="AL163" i="1"/>
  <c r="AM163" i="1" s="1"/>
  <c r="AI163" i="1"/>
  <c r="AJ163" i="1" s="1"/>
  <c r="AF163" i="1"/>
  <c r="AG163" i="1" s="1"/>
  <c r="AC163" i="1"/>
  <c r="AD163" i="1" s="1"/>
  <c r="Z163" i="1"/>
  <c r="AA163" i="1" s="1"/>
  <c r="X163" i="1"/>
  <c r="W163" i="1"/>
  <c r="T163" i="1"/>
  <c r="U163" i="1" s="1"/>
  <c r="R163" i="1"/>
  <c r="O163" i="1"/>
  <c r="L163" i="1"/>
  <c r="I163" i="1"/>
  <c r="DO162" i="1"/>
  <c r="DP162" i="1" s="1"/>
  <c r="DL162" i="1"/>
  <c r="DM162" i="1" s="1"/>
  <c r="DI162" i="1"/>
  <c r="DJ162" i="1" s="1"/>
  <c r="DF162" i="1"/>
  <c r="DG162" i="1" s="1"/>
  <c r="DC162" i="1"/>
  <c r="DD162" i="1" s="1"/>
  <c r="CZ162" i="1"/>
  <c r="DA162" i="1" s="1"/>
  <c r="CW162" i="1"/>
  <c r="CX162" i="1" s="1"/>
  <c r="CT162" i="1"/>
  <c r="CU162" i="1" s="1"/>
  <c r="CQ162" i="1"/>
  <c r="CR162" i="1" s="1"/>
  <c r="CN162" i="1"/>
  <c r="CO162" i="1" s="1"/>
  <c r="CK162" i="1"/>
  <c r="CL162" i="1" s="1"/>
  <c r="CI162" i="1"/>
  <c r="CH162" i="1"/>
  <c r="CE162" i="1"/>
  <c r="CF162" i="1" s="1"/>
  <c r="CB162" i="1"/>
  <c r="CC162" i="1" s="1"/>
  <c r="BY162" i="1"/>
  <c r="BZ162" i="1" s="1"/>
  <c r="BV162" i="1"/>
  <c r="BW162" i="1" s="1"/>
  <c r="BS162" i="1"/>
  <c r="BT162" i="1" s="1"/>
  <c r="BP162" i="1"/>
  <c r="BQ162" i="1" s="1"/>
  <c r="BM162" i="1"/>
  <c r="BN162" i="1" s="1"/>
  <c r="BK162" i="1"/>
  <c r="BJ162" i="1"/>
  <c r="BG162" i="1"/>
  <c r="BH162" i="1" s="1"/>
  <c r="BE162" i="1"/>
  <c r="BD162" i="1"/>
  <c r="BA162" i="1"/>
  <c r="BB162" i="1" s="1"/>
  <c r="AY162" i="1"/>
  <c r="AX162" i="1"/>
  <c r="AU162" i="1"/>
  <c r="AV162" i="1" s="1"/>
  <c r="AR162" i="1"/>
  <c r="AS162" i="1" s="1"/>
  <c r="AO162" i="1"/>
  <c r="AP162" i="1" s="1"/>
  <c r="AM162" i="1"/>
  <c r="AL162" i="1"/>
  <c r="AI162" i="1"/>
  <c r="AJ162" i="1" s="1"/>
  <c r="AG162" i="1"/>
  <c r="AF162" i="1"/>
  <c r="AC162" i="1"/>
  <c r="AD162" i="1" s="1"/>
  <c r="Z162" i="1"/>
  <c r="AA162" i="1" s="1"/>
  <c r="X162" i="1"/>
  <c r="W162" i="1"/>
  <c r="T162" i="1"/>
  <c r="U162" i="1" s="1"/>
  <c r="R162" i="1"/>
  <c r="O162" i="1"/>
  <c r="L162" i="1"/>
  <c r="I162" i="1"/>
  <c r="DO161" i="1"/>
  <c r="DP161" i="1" s="1"/>
  <c r="DL161" i="1"/>
  <c r="DM161" i="1" s="1"/>
  <c r="DI161" i="1"/>
  <c r="DJ161" i="1" s="1"/>
  <c r="DF161" i="1"/>
  <c r="DG161" i="1" s="1"/>
  <c r="DC161" i="1"/>
  <c r="DD161" i="1" s="1"/>
  <c r="CZ161" i="1"/>
  <c r="DA161" i="1" s="1"/>
  <c r="CW161" i="1"/>
  <c r="CX161" i="1" s="1"/>
  <c r="CT161" i="1"/>
  <c r="CU161" i="1" s="1"/>
  <c r="CQ161" i="1"/>
  <c r="CR161" i="1" s="1"/>
  <c r="CO161" i="1"/>
  <c r="CN161" i="1"/>
  <c r="CK161" i="1"/>
  <c r="CL161" i="1" s="1"/>
  <c r="CH161" i="1"/>
  <c r="CI161" i="1" s="1"/>
  <c r="CF161" i="1"/>
  <c r="CE161" i="1"/>
  <c r="CC161" i="1"/>
  <c r="CB161" i="1"/>
  <c r="BY161" i="1"/>
  <c r="BZ161" i="1" s="1"/>
  <c r="BV161" i="1"/>
  <c r="BW161" i="1" s="1"/>
  <c r="BS161" i="1"/>
  <c r="BT161" i="1" s="1"/>
  <c r="BP161" i="1"/>
  <c r="BQ161" i="1" s="1"/>
  <c r="BM161" i="1"/>
  <c r="BN161" i="1" s="1"/>
  <c r="BJ161" i="1"/>
  <c r="BK161" i="1" s="1"/>
  <c r="BH161" i="1"/>
  <c r="BG161" i="1"/>
  <c r="BD161" i="1"/>
  <c r="BE161" i="1" s="1"/>
  <c r="BA161" i="1"/>
  <c r="BB161" i="1" s="1"/>
  <c r="AX161" i="1"/>
  <c r="AY161" i="1" s="1"/>
  <c r="AU161" i="1"/>
  <c r="AV161" i="1" s="1"/>
  <c r="AR161" i="1"/>
  <c r="AS161" i="1" s="1"/>
  <c r="AO161" i="1"/>
  <c r="AP161" i="1" s="1"/>
  <c r="AL161" i="1"/>
  <c r="AM161" i="1" s="1"/>
  <c r="AI161" i="1"/>
  <c r="AJ161" i="1" s="1"/>
  <c r="AF161" i="1"/>
  <c r="AG161" i="1" s="1"/>
  <c r="AC161" i="1"/>
  <c r="AD161" i="1" s="1"/>
  <c r="Z161" i="1"/>
  <c r="AA161" i="1" s="1"/>
  <c r="W161" i="1"/>
  <c r="X161" i="1" s="1"/>
  <c r="T161" i="1"/>
  <c r="U161" i="1" s="1"/>
  <c r="R161" i="1"/>
  <c r="O161" i="1"/>
  <c r="L161" i="1"/>
  <c r="I161" i="1"/>
  <c r="DO160" i="1"/>
  <c r="DP160" i="1" s="1"/>
  <c r="DL160" i="1"/>
  <c r="DM160" i="1" s="1"/>
  <c r="DI160" i="1"/>
  <c r="DJ160" i="1" s="1"/>
  <c r="DF160" i="1"/>
  <c r="DG160" i="1" s="1"/>
  <c r="DD160" i="1"/>
  <c r="DC160" i="1"/>
  <c r="CZ160" i="1"/>
  <c r="DA160" i="1" s="1"/>
  <c r="CW160" i="1"/>
  <c r="CX160" i="1" s="1"/>
  <c r="CT160" i="1"/>
  <c r="CU160" i="1" s="1"/>
  <c r="CQ160" i="1"/>
  <c r="CR160" i="1" s="1"/>
  <c r="CN160" i="1"/>
  <c r="CO160" i="1" s="1"/>
  <c r="CK160" i="1"/>
  <c r="CL160" i="1" s="1"/>
  <c r="CH160" i="1"/>
  <c r="CI160" i="1" s="1"/>
  <c r="CE160" i="1"/>
  <c r="CF160" i="1" s="1"/>
  <c r="CB160" i="1"/>
  <c r="CC160" i="1" s="1"/>
  <c r="BY160" i="1"/>
  <c r="BZ160" i="1" s="1"/>
  <c r="BV160" i="1"/>
  <c r="BW160" i="1" s="1"/>
  <c r="BS160" i="1"/>
  <c r="BT160" i="1" s="1"/>
  <c r="BQ160" i="1"/>
  <c r="BP160" i="1"/>
  <c r="BM160" i="1"/>
  <c r="BN160" i="1" s="1"/>
  <c r="BJ160" i="1"/>
  <c r="BK160" i="1" s="1"/>
  <c r="BH160" i="1"/>
  <c r="BG160" i="1"/>
  <c r="BD160" i="1"/>
  <c r="BE160" i="1" s="1"/>
  <c r="BA160" i="1"/>
  <c r="BB160" i="1" s="1"/>
  <c r="AX160" i="1"/>
  <c r="AY160" i="1" s="1"/>
  <c r="AU160" i="1"/>
  <c r="AV160" i="1" s="1"/>
  <c r="AR160" i="1"/>
  <c r="AS160" i="1" s="1"/>
  <c r="AO160" i="1"/>
  <c r="AP160" i="1" s="1"/>
  <c r="AL160" i="1"/>
  <c r="AM160" i="1" s="1"/>
  <c r="AJ160" i="1"/>
  <c r="AI160" i="1"/>
  <c r="AF160" i="1"/>
  <c r="AG160" i="1" s="1"/>
  <c r="AC160" i="1"/>
  <c r="AD160" i="1" s="1"/>
  <c r="Z160" i="1"/>
  <c r="AA160" i="1" s="1"/>
  <c r="W160" i="1"/>
  <c r="X160" i="1" s="1"/>
  <c r="T160" i="1"/>
  <c r="U160" i="1" s="1"/>
  <c r="L160" i="1"/>
  <c r="I160" i="1"/>
  <c r="DO159" i="1"/>
  <c r="DP159" i="1" s="1"/>
  <c r="DL159" i="1"/>
  <c r="DM159" i="1" s="1"/>
  <c r="DI159" i="1"/>
  <c r="DJ159" i="1" s="1"/>
  <c r="DF159" i="1"/>
  <c r="DG159" i="1" s="1"/>
  <c r="DC159" i="1"/>
  <c r="DD159" i="1" s="1"/>
  <c r="CZ159" i="1"/>
  <c r="DA159" i="1" s="1"/>
  <c r="CX159" i="1"/>
  <c r="CW159" i="1"/>
  <c r="CT159" i="1"/>
  <c r="CU159" i="1" s="1"/>
  <c r="CQ159" i="1"/>
  <c r="CR159" i="1" s="1"/>
  <c r="CN159" i="1"/>
  <c r="CO159" i="1" s="1"/>
  <c r="CK159" i="1"/>
  <c r="CL159" i="1" s="1"/>
  <c r="CH159" i="1"/>
  <c r="CI159" i="1" s="1"/>
  <c r="CE159" i="1"/>
  <c r="CF159" i="1" s="1"/>
  <c r="CB159" i="1"/>
  <c r="CC159" i="1" s="1"/>
  <c r="BY159" i="1"/>
  <c r="BZ159" i="1" s="1"/>
  <c r="BV159" i="1"/>
  <c r="BW159" i="1" s="1"/>
  <c r="BS159" i="1"/>
  <c r="BT159" i="1" s="1"/>
  <c r="BP159" i="1"/>
  <c r="BQ159" i="1" s="1"/>
  <c r="BM159" i="1"/>
  <c r="BN159" i="1" s="1"/>
  <c r="BJ159" i="1"/>
  <c r="BK159" i="1" s="1"/>
  <c r="BH159" i="1"/>
  <c r="BG159" i="1"/>
  <c r="BE159" i="1"/>
  <c r="BD159" i="1"/>
  <c r="BA159" i="1"/>
  <c r="BB159" i="1" s="1"/>
  <c r="AX159" i="1"/>
  <c r="AY159" i="1" s="1"/>
  <c r="AU159" i="1"/>
  <c r="AV159" i="1" s="1"/>
  <c r="AR159" i="1"/>
  <c r="AS159" i="1" s="1"/>
  <c r="AO159" i="1"/>
  <c r="AP159" i="1" s="1"/>
  <c r="AL159" i="1"/>
  <c r="AM159" i="1" s="1"/>
  <c r="AI159" i="1"/>
  <c r="AJ159" i="1" s="1"/>
  <c r="AG159" i="1"/>
  <c r="AF159" i="1"/>
  <c r="AC159" i="1"/>
  <c r="AD159" i="1" s="1"/>
  <c r="Z159" i="1"/>
  <c r="AA159" i="1" s="1"/>
  <c r="W159" i="1"/>
  <c r="X159" i="1" s="1"/>
  <c r="U159" i="1"/>
  <c r="T159" i="1"/>
  <c r="R159" i="1"/>
  <c r="O159" i="1"/>
  <c r="L159" i="1"/>
  <c r="I159" i="1"/>
  <c r="DO158" i="1"/>
  <c r="DP158" i="1" s="1"/>
  <c r="DL158" i="1"/>
  <c r="DM158" i="1" s="1"/>
  <c r="DI158" i="1"/>
  <c r="DJ158" i="1" s="1"/>
  <c r="DF158" i="1"/>
  <c r="DG158" i="1" s="1"/>
  <c r="DC158" i="1"/>
  <c r="DD158" i="1" s="1"/>
  <c r="DA158" i="1"/>
  <c r="CZ158" i="1"/>
  <c r="CW158" i="1"/>
  <c r="CX158" i="1" s="1"/>
  <c r="CT158" i="1"/>
  <c r="CU158" i="1" s="1"/>
  <c r="CQ158" i="1"/>
  <c r="CR158" i="1" s="1"/>
  <c r="CN158" i="1"/>
  <c r="CO158" i="1" s="1"/>
  <c r="CK158" i="1"/>
  <c r="CL158" i="1" s="1"/>
  <c r="CH158" i="1"/>
  <c r="CI158" i="1" s="1"/>
  <c r="CE158" i="1"/>
  <c r="CF158" i="1" s="1"/>
  <c r="CB158" i="1"/>
  <c r="CC158" i="1" s="1"/>
  <c r="BY158" i="1"/>
  <c r="BZ158" i="1" s="1"/>
  <c r="BV158" i="1"/>
  <c r="BW158" i="1" s="1"/>
  <c r="BS158" i="1"/>
  <c r="BT158" i="1" s="1"/>
  <c r="BP158" i="1"/>
  <c r="BQ158" i="1" s="1"/>
  <c r="BM158" i="1"/>
  <c r="BN158" i="1" s="1"/>
  <c r="BJ158" i="1"/>
  <c r="BK158" i="1" s="1"/>
  <c r="BH158" i="1"/>
  <c r="BG158" i="1"/>
  <c r="BD158" i="1"/>
  <c r="BE158" i="1" s="1"/>
  <c r="BA158" i="1"/>
  <c r="BB158" i="1" s="1"/>
  <c r="AX158" i="1"/>
  <c r="AY158" i="1" s="1"/>
  <c r="AU158" i="1"/>
  <c r="AV158" i="1" s="1"/>
  <c r="AR158" i="1"/>
  <c r="AS158" i="1" s="1"/>
  <c r="AO158" i="1"/>
  <c r="AP158" i="1" s="1"/>
  <c r="AL158" i="1"/>
  <c r="AM158" i="1" s="1"/>
  <c r="AI158" i="1"/>
  <c r="AJ158" i="1" s="1"/>
  <c r="AF158" i="1"/>
  <c r="AG158" i="1" s="1"/>
  <c r="AC158" i="1"/>
  <c r="AD158" i="1" s="1"/>
  <c r="Z158" i="1"/>
  <c r="AA158" i="1" s="1"/>
  <c r="W158" i="1"/>
  <c r="X158" i="1" s="1"/>
  <c r="T158" i="1"/>
  <c r="U158" i="1" s="1"/>
  <c r="R158" i="1"/>
  <c r="O158" i="1"/>
  <c r="L158" i="1"/>
  <c r="I158" i="1"/>
  <c r="DO157" i="1"/>
  <c r="DP157" i="1" s="1"/>
  <c r="DL157" i="1"/>
  <c r="DM157" i="1" s="1"/>
  <c r="DI157" i="1"/>
  <c r="DJ157" i="1" s="1"/>
  <c r="DF157" i="1"/>
  <c r="DG157" i="1" s="1"/>
  <c r="DC157" i="1"/>
  <c r="DD157" i="1" s="1"/>
  <c r="DA157" i="1"/>
  <c r="CZ157" i="1"/>
  <c r="CW157" i="1"/>
  <c r="CX157" i="1" s="1"/>
  <c r="CT157" i="1"/>
  <c r="CU157" i="1" s="1"/>
  <c r="CQ157" i="1"/>
  <c r="CR157" i="1" s="1"/>
  <c r="CN157" i="1"/>
  <c r="CO157" i="1" s="1"/>
  <c r="CL157" i="1"/>
  <c r="CK157" i="1"/>
  <c r="CH157" i="1"/>
  <c r="CI157" i="1" s="1"/>
  <c r="CE157" i="1"/>
  <c r="CF157" i="1" s="1"/>
  <c r="CB157" i="1"/>
  <c r="CC157" i="1" s="1"/>
  <c r="BZ157" i="1"/>
  <c r="BY157" i="1"/>
  <c r="BV157" i="1"/>
  <c r="BW157" i="1" s="1"/>
  <c r="BS157" i="1"/>
  <c r="BT157" i="1" s="1"/>
  <c r="BP157" i="1"/>
  <c r="BQ157" i="1" s="1"/>
  <c r="BM157" i="1"/>
  <c r="BN157" i="1" s="1"/>
  <c r="BJ157" i="1"/>
  <c r="BK157" i="1" s="1"/>
  <c r="BG157" i="1"/>
  <c r="BH157" i="1" s="1"/>
  <c r="BD157" i="1"/>
  <c r="BE157" i="1" s="1"/>
  <c r="BA157" i="1"/>
  <c r="BB157" i="1" s="1"/>
  <c r="AX157" i="1"/>
  <c r="AY157" i="1" s="1"/>
  <c r="AU157" i="1"/>
  <c r="AV157" i="1" s="1"/>
  <c r="AR157" i="1"/>
  <c r="AS157" i="1" s="1"/>
  <c r="AO157" i="1"/>
  <c r="AP157" i="1" s="1"/>
  <c r="AL157" i="1"/>
  <c r="AM157" i="1" s="1"/>
  <c r="AI157" i="1"/>
  <c r="AJ157" i="1" s="1"/>
  <c r="AG157" i="1"/>
  <c r="AF157" i="1"/>
  <c r="AC157" i="1"/>
  <c r="AD157" i="1" s="1"/>
  <c r="Z157" i="1"/>
  <c r="AA157" i="1" s="1"/>
  <c r="W157" i="1"/>
  <c r="X157" i="1" s="1"/>
  <c r="T157" i="1"/>
  <c r="U157" i="1" s="1"/>
  <c r="O157" i="1"/>
  <c r="L157" i="1"/>
  <c r="I157" i="1"/>
  <c r="DO156" i="1"/>
  <c r="DP156" i="1" s="1"/>
  <c r="DL156" i="1"/>
  <c r="DM156" i="1" s="1"/>
  <c r="DJ156" i="1"/>
  <c r="DI156" i="1"/>
  <c r="DG156" i="1"/>
  <c r="DF156" i="1"/>
  <c r="DC156" i="1"/>
  <c r="DD156" i="1" s="1"/>
  <c r="CZ156" i="1"/>
  <c r="DA156" i="1" s="1"/>
  <c r="CW156" i="1"/>
  <c r="CX156" i="1" s="1"/>
  <c r="CT156" i="1"/>
  <c r="CU156" i="1" s="1"/>
  <c r="CQ156" i="1"/>
  <c r="CR156" i="1" s="1"/>
  <c r="CN156" i="1"/>
  <c r="CO156" i="1" s="1"/>
  <c r="CK156" i="1"/>
  <c r="CL156" i="1" s="1"/>
  <c r="CH156" i="1"/>
  <c r="CI156" i="1" s="1"/>
  <c r="CE156" i="1"/>
  <c r="CF156" i="1" s="1"/>
  <c r="CB156" i="1"/>
  <c r="CC156" i="1" s="1"/>
  <c r="BZ156" i="1"/>
  <c r="BY156" i="1"/>
  <c r="BV156" i="1"/>
  <c r="BW156" i="1" s="1"/>
  <c r="BS156" i="1"/>
  <c r="BT156" i="1" s="1"/>
  <c r="BP156" i="1"/>
  <c r="BQ156" i="1" s="1"/>
  <c r="BM156" i="1"/>
  <c r="BN156" i="1" s="1"/>
  <c r="BK156" i="1"/>
  <c r="BJ156" i="1"/>
  <c r="BG156" i="1"/>
  <c r="BH156" i="1" s="1"/>
  <c r="BD156" i="1"/>
  <c r="BE156" i="1" s="1"/>
  <c r="BA156" i="1"/>
  <c r="BB156" i="1" s="1"/>
  <c r="AX156" i="1"/>
  <c r="AY156" i="1" s="1"/>
  <c r="AU156" i="1"/>
  <c r="AV156" i="1" s="1"/>
  <c r="AR156" i="1"/>
  <c r="AS156" i="1" s="1"/>
  <c r="AO156" i="1"/>
  <c r="AP156" i="1" s="1"/>
  <c r="AL156" i="1"/>
  <c r="AM156" i="1" s="1"/>
  <c r="AI156" i="1"/>
  <c r="AJ156" i="1" s="1"/>
  <c r="AF156" i="1"/>
  <c r="AG156" i="1" s="1"/>
  <c r="AD156" i="1"/>
  <c r="AC156" i="1"/>
  <c r="Z156" i="1"/>
  <c r="AA156" i="1" s="1"/>
  <c r="W156" i="1"/>
  <c r="X156" i="1" s="1"/>
  <c r="T156" i="1"/>
  <c r="U156" i="1" s="1"/>
  <c r="R156" i="1"/>
  <c r="O156" i="1"/>
  <c r="L156" i="1"/>
  <c r="I156" i="1"/>
  <c r="DO155" i="1"/>
  <c r="DP155" i="1" s="1"/>
  <c r="DL155" i="1"/>
  <c r="DM155" i="1" s="1"/>
  <c r="DI155" i="1"/>
  <c r="DJ155" i="1" s="1"/>
  <c r="DG155" i="1"/>
  <c r="DF155" i="1"/>
  <c r="DC155" i="1"/>
  <c r="DD155" i="1" s="1"/>
  <c r="CZ155" i="1"/>
  <c r="DA155" i="1" s="1"/>
  <c r="CW155" i="1"/>
  <c r="CX155" i="1" s="1"/>
  <c r="CT155" i="1"/>
  <c r="CU155" i="1" s="1"/>
  <c r="CQ155" i="1"/>
  <c r="CR155" i="1" s="1"/>
  <c r="CN155" i="1"/>
  <c r="CO155" i="1" s="1"/>
  <c r="CL155" i="1"/>
  <c r="CK155" i="1"/>
  <c r="CH155" i="1"/>
  <c r="CI155" i="1" s="1"/>
  <c r="CE155" i="1"/>
  <c r="CF155" i="1" s="1"/>
  <c r="CB155" i="1"/>
  <c r="CC155" i="1" s="1"/>
  <c r="BY155" i="1"/>
  <c r="BZ155" i="1" s="1"/>
  <c r="BW155" i="1"/>
  <c r="BV155" i="1"/>
  <c r="BS155" i="1"/>
  <c r="BT155" i="1" s="1"/>
  <c r="BP155" i="1"/>
  <c r="BQ155" i="1" s="1"/>
  <c r="BM155" i="1"/>
  <c r="BN155" i="1" s="1"/>
  <c r="BJ155" i="1"/>
  <c r="BK155" i="1" s="1"/>
  <c r="BG155" i="1"/>
  <c r="BH155" i="1" s="1"/>
  <c r="BD155" i="1"/>
  <c r="BE155" i="1" s="1"/>
  <c r="BA155" i="1"/>
  <c r="BB155" i="1" s="1"/>
  <c r="AX155" i="1"/>
  <c r="AY155" i="1" s="1"/>
  <c r="AU155" i="1"/>
  <c r="AV155" i="1" s="1"/>
  <c r="AR155" i="1"/>
  <c r="AS155" i="1" s="1"/>
  <c r="AP155" i="1"/>
  <c r="AO155" i="1"/>
  <c r="AL155" i="1"/>
  <c r="AM155" i="1" s="1"/>
  <c r="AI155" i="1"/>
  <c r="AJ155" i="1" s="1"/>
  <c r="AF155" i="1"/>
  <c r="AG155" i="1" s="1"/>
  <c r="AD155" i="1"/>
  <c r="AC155" i="1"/>
  <c r="AA155" i="1"/>
  <c r="Z155" i="1"/>
  <c r="W155" i="1"/>
  <c r="X155" i="1" s="1"/>
  <c r="T155" i="1"/>
  <c r="U155" i="1" s="1"/>
  <c r="O155" i="1"/>
  <c r="L155" i="1"/>
  <c r="I155" i="1"/>
  <c r="DO154" i="1"/>
  <c r="DP154" i="1" s="1"/>
  <c r="DL154" i="1"/>
  <c r="DM154" i="1" s="1"/>
  <c r="DI154" i="1"/>
  <c r="DJ154" i="1" s="1"/>
  <c r="DF154" i="1"/>
  <c r="DG154" i="1" s="1"/>
  <c r="DC154" i="1"/>
  <c r="DD154" i="1" s="1"/>
  <c r="CZ154" i="1"/>
  <c r="DA154" i="1" s="1"/>
  <c r="CW154" i="1"/>
  <c r="CX154" i="1" s="1"/>
  <c r="CU154" i="1"/>
  <c r="CT154" i="1"/>
  <c r="CQ154" i="1"/>
  <c r="CR154" i="1" s="1"/>
  <c r="CN154" i="1"/>
  <c r="CO154" i="1" s="1"/>
  <c r="CK154" i="1"/>
  <c r="CL154" i="1" s="1"/>
  <c r="CH154" i="1"/>
  <c r="CI154" i="1" s="1"/>
  <c r="CE154" i="1"/>
  <c r="CF154" i="1" s="1"/>
  <c r="CB154" i="1"/>
  <c r="CC154" i="1" s="1"/>
  <c r="BY154" i="1"/>
  <c r="BZ154" i="1" s="1"/>
  <c r="BV154" i="1"/>
  <c r="BW154" i="1" s="1"/>
  <c r="BS154" i="1"/>
  <c r="BT154" i="1" s="1"/>
  <c r="BP154" i="1"/>
  <c r="BQ154" i="1" s="1"/>
  <c r="BM154" i="1"/>
  <c r="BN154" i="1" s="1"/>
  <c r="BJ154" i="1"/>
  <c r="BK154" i="1" s="1"/>
  <c r="BG154" i="1"/>
  <c r="BH154" i="1" s="1"/>
  <c r="BD154" i="1"/>
  <c r="BE154" i="1" s="1"/>
  <c r="BA154" i="1"/>
  <c r="BB154" i="1" s="1"/>
  <c r="AX154" i="1"/>
  <c r="AY154" i="1" s="1"/>
  <c r="AU154" i="1"/>
  <c r="AV154" i="1" s="1"/>
  <c r="AR154" i="1"/>
  <c r="AS154" i="1" s="1"/>
  <c r="AP154" i="1"/>
  <c r="AO154" i="1"/>
  <c r="AL154" i="1"/>
  <c r="AM154" i="1" s="1"/>
  <c r="AI154" i="1"/>
  <c r="AJ154" i="1" s="1"/>
  <c r="AG154" i="1"/>
  <c r="AF154" i="1"/>
  <c r="AD154" i="1"/>
  <c r="AC154" i="1"/>
  <c r="Z154" i="1"/>
  <c r="AA154" i="1" s="1"/>
  <c r="W154" i="1"/>
  <c r="X154" i="1" s="1"/>
  <c r="T154" i="1"/>
  <c r="U154" i="1" s="1"/>
  <c r="R154" i="1"/>
  <c r="O154" i="1"/>
  <c r="L154" i="1"/>
  <c r="I154" i="1"/>
  <c r="DO153" i="1"/>
  <c r="DP153" i="1" s="1"/>
  <c r="DL153" i="1"/>
  <c r="DM153" i="1" s="1"/>
  <c r="DI153" i="1"/>
  <c r="DJ153" i="1" s="1"/>
  <c r="DF153" i="1"/>
  <c r="DG153" i="1" s="1"/>
  <c r="DC153" i="1"/>
  <c r="DD153" i="1" s="1"/>
  <c r="DA153" i="1"/>
  <c r="CZ153" i="1"/>
  <c r="CW153" i="1"/>
  <c r="CX153" i="1" s="1"/>
  <c r="CT153" i="1"/>
  <c r="CU153" i="1" s="1"/>
  <c r="CQ153" i="1"/>
  <c r="CR153" i="1" s="1"/>
  <c r="CN153" i="1"/>
  <c r="CO153" i="1" s="1"/>
  <c r="CK153" i="1"/>
  <c r="CL153" i="1" s="1"/>
  <c r="CH153" i="1"/>
  <c r="CI153" i="1" s="1"/>
  <c r="CE153" i="1"/>
  <c r="CF153" i="1" s="1"/>
  <c r="CC153" i="1"/>
  <c r="CB153" i="1"/>
  <c r="BY153" i="1"/>
  <c r="BZ153" i="1" s="1"/>
  <c r="BV153" i="1"/>
  <c r="BW153" i="1" s="1"/>
  <c r="BS153" i="1"/>
  <c r="BT153" i="1" s="1"/>
  <c r="BQ153" i="1"/>
  <c r="BP153" i="1"/>
  <c r="BM153" i="1"/>
  <c r="BN153" i="1" s="1"/>
  <c r="BJ153" i="1"/>
  <c r="BK153" i="1" s="1"/>
  <c r="BG153" i="1"/>
  <c r="BH153" i="1" s="1"/>
  <c r="BD153" i="1"/>
  <c r="BE153" i="1" s="1"/>
  <c r="BA153" i="1"/>
  <c r="BB153" i="1" s="1"/>
  <c r="AY153" i="1"/>
  <c r="AX153" i="1"/>
  <c r="AU153" i="1"/>
  <c r="AV153" i="1" s="1"/>
  <c r="AR153" i="1"/>
  <c r="AS153" i="1" s="1"/>
  <c r="AP153" i="1"/>
  <c r="AO153" i="1"/>
  <c r="AL153" i="1"/>
  <c r="AM153" i="1" s="1"/>
  <c r="AI153" i="1"/>
  <c r="AJ153" i="1" s="1"/>
  <c r="AF153" i="1"/>
  <c r="AG153" i="1" s="1"/>
  <c r="AC153" i="1"/>
  <c r="AD153" i="1" s="1"/>
  <c r="Z153" i="1"/>
  <c r="AA153" i="1" s="1"/>
  <c r="W153" i="1"/>
  <c r="X153" i="1" s="1"/>
  <c r="T153" i="1"/>
  <c r="U153" i="1" s="1"/>
  <c r="R153" i="1"/>
  <c r="O153" i="1"/>
  <c r="L153" i="1"/>
  <c r="I153" i="1"/>
  <c r="DO152" i="1"/>
  <c r="DP152" i="1" s="1"/>
  <c r="DM152" i="1"/>
  <c r="DL152" i="1"/>
  <c r="DI152" i="1"/>
  <c r="DJ152" i="1" s="1"/>
  <c r="DF152" i="1"/>
  <c r="DG152" i="1" s="1"/>
  <c r="DC152" i="1"/>
  <c r="DD152" i="1" s="1"/>
  <c r="CZ152" i="1"/>
  <c r="DA152" i="1" s="1"/>
  <c r="CW152" i="1"/>
  <c r="CX152" i="1" s="1"/>
  <c r="CT152" i="1"/>
  <c r="CU152" i="1" s="1"/>
  <c r="CQ152" i="1"/>
  <c r="CR152" i="1" s="1"/>
  <c r="CN152" i="1"/>
  <c r="CO152" i="1" s="1"/>
  <c r="CL152" i="1"/>
  <c r="CK152" i="1"/>
  <c r="CH152" i="1"/>
  <c r="CI152" i="1" s="1"/>
  <c r="CE152" i="1"/>
  <c r="CF152" i="1" s="1"/>
  <c r="CB152" i="1"/>
  <c r="CC152" i="1" s="1"/>
  <c r="BY152" i="1"/>
  <c r="BZ152" i="1" s="1"/>
  <c r="BV152" i="1"/>
  <c r="BW152" i="1" s="1"/>
  <c r="BS152" i="1"/>
  <c r="BT152" i="1" s="1"/>
  <c r="BP152" i="1"/>
  <c r="BQ152" i="1" s="1"/>
  <c r="BM152" i="1"/>
  <c r="BN152" i="1" s="1"/>
  <c r="BJ152" i="1"/>
  <c r="BK152" i="1" s="1"/>
  <c r="BG152" i="1"/>
  <c r="BH152" i="1" s="1"/>
  <c r="BD152" i="1"/>
  <c r="BE152" i="1" s="1"/>
  <c r="BB152" i="1"/>
  <c r="BA152" i="1"/>
  <c r="AX152" i="1"/>
  <c r="AY152" i="1" s="1"/>
  <c r="AU152" i="1"/>
  <c r="AV152" i="1" s="1"/>
  <c r="AR152" i="1"/>
  <c r="AS152" i="1" s="1"/>
  <c r="AO152" i="1"/>
  <c r="AP152" i="1" s="1"/>
  <c r="AM152" i="1"/>
  <c r="AL152" i="1"/>
  <c r="AI152" i="1"/>
  <c r="AJ152" i="1" s="1"/>
  <c r="AF152" i="1"/>
  <c r="AG152" i="1" s="1"/>
  <c r="AC152" i="1"/>
  <c r="AD152" i="1" s="1"/>
  <c r="AA152" i="1"/>
  <c r="Z152" i="1"/>
  <c r="W152" i="1"/>
  <c r="X152" i="1" s="1"/>
  <c r="U152" i="1"/>
  <c r="T152" i="1"/>
  <c r="R152" i="1"/>
  <c r="O152" i="1"/>
  <c r="L152" i="1"/>
  <c r="I152" i="1"/>
  <c r="DO151" i="1"/>
  <c r="DP151" i="1" s="1"/>
  <c r="DL151" i="1"/>
  <c r="DM151" i="1" s="1"/>
  <c r="DI151" i="1"/>
  <c r="DJ151" i="1" s="1"/>
  <c r="DG151" i="1"/>
  <c r="DF151" i="1"/>
  <c r="DC151" i="1"/>
  <c r="DD151" i="1" s="1"/>
  <c r="CZ151" i="1"/>
  <c r="DA151" i="1" s="1"/>
  <c r="CX151" i="1"/>
  <c r="CW151" i="1"/>
  <c r="CU151" i="1"/>
  <c r="CT151" i="1"/>
  <c r="CQ151" i="1"/>
  <c r="CR151" i="1" s="1"/>
  <c r="CN151" i="1"/>
  <c r="CO151" i="1" s="1"/>
  <c r="CK151" i="1"/>
  <c r="CL151" i="1" s="1"/>
  <c r="CH151" i="1"/>
  <c r="CI151" i="1" s="1"/>
  <c r="CE151" i="1"/>
  <c r="CF151" i="1" s="1"/>
  <c r="CC151" i="1"/>
  <c r="CB151" i="1"/>
  <c r="BY151" i="1"/>
  <c r="BZ151" i="1" s="1"/>
  <c r="BV151" i="1"/>
  <c r="BW151" i="1" s="1"/>
  <c r="BS151" i="1"/>
  <c r="BT151" i="1" s="1"/>
  <c r="BP151" i="1"/>
  <c r="BQ151" i="1" s="1"/>
  <c r="BN151" i="1"/>
  <c r="BM151" i="1"/>
  <c r="BJ151" i="1"/>
  <c r="BK151" i="1" s="1"/>
  <c r="BG151" i="1"/>
  <c r="BH151" i="1" s="1"/>
  <c r="BD151" i="1"/>
  <c r="BE151" i="1" s="1"/>
  <c r="BA151" i="1"/>
  <c r="BB151" i="1" s="1"/>
  <c r="AY151" i="1"/>
  <c r="AX151" i="1"/>
  <c r="AU151" i="1"/>
  <c r="AV151" i="1" s="1"/>
  <c r="AR151" i="1"/>
  <c r="AS151" i="1" s="1"/>
  <c r="AO151" i="1"/>
  <c r="AP151" i="1" s="1"/>
  <c r="AL151" i="1"/>
  <c r="AM151" i="1" s="1"/>
  <c r="AI151" i="1"/>
  <c r="AJ151" i="1" s="1"/>
  <c r="AF151" i="1"/>
  <c r="AG151" i="1" s="1"/>
  <c r="AD151" i="1"/>
  <c r="AC151" i="1"/>
  <c r="Z151" i="1"/>
  <c r="AA151" i="1" s="1"/>
  <c r="W151" i="1"/>
  <c r="X151" i="1" s="1"/>
  <c r="T151" i="1"/>
  <c r="U151" i="1" s="1"/>
  <c r="R151" i="1"/>
  <c r="O151" i="1"/>
  <c r="L151" i="1"/>
  <c r="I151" i="1"/>
  <c r="DO150" i="1"/>
  <c r="DP150" i="1" s="1"/>
  <c r="DL150" i="1"/>
  <c r="DM150" i="1" s="1"/>
  <c r="DI150" i="1"/>
  <c r="DJ150" i="1" s="1"/>
  <c r="DG150" i="1"/>
  <c r="DF150" i="1"/>
  <c r="DC150" i="1"/>
  <c r="DD150" i="1" s="1"/>
  <c r="DA150" i="1"/>
  <c r="CZ150" i="1"/>
  <c r="CW150" i="1"/>
  <c r="CX150" i="1" s="1"/>
  <c r="CT150" i="1"/>
  <c r="CU150" i="1" s="1"/>
  <c r="CQ150" i="1"/>
  <c r="CR150" i="1" s="1"/>
  <c r="CO150" i="1"/>
  <c r="CN150" i="1"/>
  <c r="CL150" i="1"/>
  <c r="CK150" i="1"/>
  <c r="CH150" i="1"/>
  <c r="CI150" i="1" s="1"/>
  <c r="CE150" i="1"/>
  <c r="CF150" i="1" s="1"/>
  <c r="CB150" i="1"/>
  <c r="CC150" i="1" s="1"/>
  <c r="BZ150" i="1"/>
  <c r="BY150" i="1"/>
  <c r="BV150" i="1"/>
  <c r="BW150" i="1" s="1"/>
  <c r="BS150" i="1"/>
  <c r="BT150" i="1" s="1"/>
  <c r="BP150" i="1"/>
  <c r="BQ150" i="1" s="1"/>
  <c r="BM150" i="1"/>
  <c r="BN150" i="1" s="1"/>
  <c r="BJ150" i="1"/>
  <c r="BK150" i="1" s="1"/>
  <c r="BG150" i="1"/>
  <c r="BH150" i="1" s="1"/>
  <c r="BD150" i="1"/>
  <c r="BE150" i="1" s="1"/>
  <c r="BA150" i="1"/>
  <c r="BB150" i="1" s="1"/>
  <c r="AY150" i="1"/>
  <c r="AX150" i="1"/>
  <c r="AU150" i="1"/>
  <c r="AV150" i="1" s="1"/>
  <c r="AR150" i="1"/>
  <c r="AS150" i="1" s="1"/>
  <c r="AO150" i="1"/>
  <c r="AP150" i="1" s="1"/>
  <c r="AL150" i="1"/>
  <c r="AM150" i="1" s="1"/>
  <c r="AI150" i="1"/>
  <c r="AJ150" i="1" s="1"/>
  <c r="AF150" i="1"/>
  <c r="AG150" i="1" s="1"/>
  <c r="AC150" i="1"/>
  <c r="AD150" i="1" s="1"/>
  <c r="Z150" i="1"/>
  <c r="AA150" i="1" s="1"/>
  <c r="W150" i="1"/>
  <c r="X150" i="1" s="1"/>
  <c r="T150" i="1"/>
  <c r="U150" i="1" s="1"/>
  <c r="R150" i="1"/>
  <c r="O150" i="1"/>
  <c r="L150" i="1"/>
  <c r="I150" i="1"/>
  <c r="DO149" i="1"/>
  <c r="DP149" i="1" s="1"/>
  <c r="DL149" i="1"/>
  <c r="DM149" i="1" s="1"/>
  <c r="DI149" i="1"/>
  <c r="DJ149" i="1" s="1"/>
  <c r="DF149" i="1"/>
  <c r="DG149" i="1" s="1"/>
  <c r="DC149" i="1"/>
  <c r="DD149" i="1" s="1"/>
  <c r="CZ149" i="1"/>
  <c r="DA149" i="1" s="1"/>
  <c r="CW149" i="1"/>
  <c r="CX149" i="1" s="1"/>
  <c r="CT149" i="1"/>
  <c r="CU149" i="1" s="1"/>
  <c r="CQ149" i="1"/>
  <c r="CR149" i="1" s="1"/>
  <c r="CN149" i="1"/>
  <c r="CO149" i="1" s="1"/>
  <c r="CL149" i="1"/>
  <c r="CK149" i="1"/>
  <c r="CH149" i="1"/>
  <c r="CI149" i="1" s="1"/>
  <c r="CE149" i="1"/>
  <c r="CF149" i="1" s="1"/>
  <c r="CC149" i="1"/>
  <c r="CB149" i="1"/>
  <c r="BZ149" i="1"/>
  <c r="BY149" i="1"/>
  <c r="BW149" i="1"/>
  <c r="BV149" i="1"/>
  <c r="BS149" i="1"/>
  <c r="BT149" i="1" s="1"/>
  <c r="BP149" i="1"/>
  <c r="BQ149" i="1" s="1"/>
  <c r="BN149" i="1"/>
  <c r="BM149" i="1"/>
  <c r="BK149" i="1"/>
  <c r="BJ149" i="1"/>
  <c r="BG149" i="1"/>
  <c r="BH149" i="1" s="1"/>
  <c r="BD149" i="1"/>
  <c r="BE149" i="1" s="1"/>
  <c r="BA149" i="1"/>
  <c r="BB149" i="1" s="1"/>
  <c r="AY149" i="1"/>
  <c r="AX149" i="1"/>
  <c r="AU149" i="1"/>
  <c r="AV149" i="1" s="1"/>
  <c r="AR149" i="1"/>
  <c r="AS149" i="1" s="1"/>
  <c r="AO149" i="1"/>
  <c r="AP149" i="1" s="1"/>
  <c r="AL149" i="1"/>
  <c r="AM149" i="1" s="1"/>
  <c r="AI149" i="1"/>
  <c r="AJ149" i="1" s="1"/>
  <c r="AG149" i="1"/>
  <c r="AF149" i="1"/>
  <c r="AD149" i="1"/>
  <c r="AC149" i="1"/>
  <c r="Z149" i="1"/>
  <c r="AA149" i="1" s="1"/>
  <c r="W149" i="1"/>
  <c r="X149" i="1" s="1"/>
  <c r="T149" i="1"/>
  <c r="U149" i="1" s="1"/>
  <c r="R149" i="1"/>
  <c r="O149" i="1"/>
  <c r="L149" i="1"/>
  <c r="I149" i="1"/>
  <c r="DO148" i="1"/>
  <c r="DP148" i="1" s="1"/>
  <c r="DL148" i="1"/>
  <c r="DM148" i="1" s="1"/>
  <c r="DI148" i="1"/>
  <c r="DJ148" i="1" s="1"/>
  <c r="DG148" i="1"/>
  <c r="DF148" i="1"/>
  <c r="DC148" i="1"/>
  <c r="DD148" i="1" s="1"/>
  <c r="CZ148" i="1"/>
  <c r="DA148" i="1" s="1"/>
  <c r="CW148" i="1"/>
  <c r="CX148" i="1" s="1"/>
  <c r="CT148" i="1"/>
  <c r="CU148" i="1" s="1"/>
  <c r="CQ148" i="1"/>
  <c r="CR148" i="1" s="1"/>
  <c r="CN148" i="1"/>
  <c r="CO148" i="1" s="1"/>
  <c r="CK148" i="1"/>
  <c r="CL148" i="1" s="1"/>
  <c r="CI148" i="1"/>
  <c r="CH148" i="1"/>
  <c r="CE148" i="1"/>
  <c r="CF148" i="1" s="1"/>
  <c r="CB148" i="1"/>
  <c r="CC148" i="1" s="1"/>
  <c r="BY148" i="1"/>
  <c r="BZ148" i="1" s="1"/>
  <c r="BV148" i="1"/>
  <c r="BW148" i="1" s="1"/>
  <c r="BS148" i="1"/>
  <c r="BT148" i="1" s="1"/>
  <c r="BQ148" i="1"/>
  <c r="BP148" i="1"/>
  <c r="BM148" i="1"/>
  <c r="BN148" i="1" s="1"/>
  <c r="BJ148" i="1"/>
  <c r="BK148" i="1" s="1"/>
  <c r="BG148" i="1"/>
  <c r="BH148" i="1" s="1"/>
  <c r="BD148" i="1"/>
  <c r="BE148" i="1" s="1"/>
  <c r="BA148" i="1"/>
  <c r="BB148" i="1" s="1"/>
  <c r="AY148" i="1"/>
  <c r="AX148" i="1"/>
  <c r="AU148" i="1"/>
  <c r="AV148" i="1" s="1"/>
  <c r="AR148" i="1"/>
  <c r="AS148" i="1" s="1"/>
  <c r="AO148" i="1"/>
  <c r="AP148" i="1" s="1"/>
  <c r="AL148" i="1"/>
  <c r="AM148" i="1" s="1"/>
  <c r="AI148" i="1"/>
  <c r="AJ148" i="1" s="1"/>
  <c r="AF148" i="1"/>
  <c r="AG148" i="1" s="1"/>
  <c r="AC148" i="1"/>
  <c r="AD148" i="1" s="1"/>
  <c r="Z148" i="1"/>
  <c r="AA148" i="1" s="1"/>
  <c r="W148" i="1"/>
  <c r="X148" i="1" s="1"/>
  <c r="U148" i="1"/>
  <c r="T148" i="1"/>
  <c r="R148" i="1"/>
  <c r="O148" i="1"/>
  <c r="L148" i="1"/>
  <c r="I148" i="1"/>
  <c r="DO147" i="1"/>
  <c r="DP147" i="1" s="1"/>
  <c r="DL147" i="1"/>
  <c r="DM147" i="1" s="1"/>
  <c r="DJ147" i="1"/>
  <c r="DI147" i="1"/>
  <c r="DF147" i="1"/>
  <c r="DG147" i="1" s="1"/>
  <c r="DC147" i="1"/>
  <c r="DD147" i="1" s="1"/>
  <c r="CZ147" i="1"/>
  <c r="DA147" i="1" s="1"/>
  <c r="CW147" i="1"/>
  <c r="CX147" i="1" s="1"/>
  <c r="CU147" i="1"/>
  <c r="CT147" i="1"/>
  <c r="CQ147" i="1"/>
  <c r="CR147" i="1" s="1"/>
  <c r="CN147" i="1"/>
  <c r="CO147" i="1" s="1"/>
  <c r="CK147" i="1"/>
  <c r="CL147" i="1" s="1"/>
  <c r="CH147" i="1"/>
  <c r="CI147" i="1" s="1"/>
  <c r="CE147" i="1"/>
  <c r="CF147" i="1" s="1"/>
  <c r="CC147" i="1"/>
  <c r="CB147" i="1"/>
  <c r="BY147" i="1"/>
  <c r="BZ147" i="1" s="1"/>
  <c r="BV147" i="1"/>
  <c r="BW147" i="1" s="1"/>
  <c r="BS147" i="1"/>
  <c r="BT147" i="1" s="1"/>
  <c r="BP147" i="1"/>
  <c r="BQ147" i="1" s="1"/>
  <c r="BM147" i="1"/>
  <c r="BN147" i="1" s="1"/>
  <c r="BJ147" i="1"/>
  <c r="BK147" i="1" s="1"/>
  <c r="BG147" i="1"/>
  <c r="BH147" i="1" s="1"/>
  <c r="BE147" i="1"/>
  <c r="BD147" i="1"/>
  <c r="BB147" i="1"/>
  <c r="BA147" i="1"/>
  <c r="AX147" i="1"/>
  <c r="AY147" i="1" s="1"/>
  <c r="AU147" i="1"/>
  <c r="AV147" i="1" s="1"/>
  <c r="AR147" i="1"/>
  <c r="AS147" i="1" s="1"/>
  <c r="AO147" i="1"/>
  <c r="AP147" i="1" s="1"/>
  <c r="AL147" i="1"/>
  <c r="AM147" i="1" s="1"/>
  <c r="AI147" i="1"/>
  <c r="AJ147" i="1" s="1"/>
  <c r="AF147" i="1"/>
  <c r="AG147" i="1" s="1"/>
  <c r="AC147" i="1"/>
  <c r="AD147" i="1" s="1"/>
  <c r="Z147" i="1"/>
  <c r="AA147" i="1" s="1"/>
  <c r="W147" i="1"/>
  <c r="X147" i="1" s="1"/>
  <c r="T147" i="1"/>
  <c r="U147" i="1" s="1"/>
  <c r="R147" i="1"/>
  <c r="O147" i="1"/>
  <c r="L147" i="1"/>
  <c r="I147" i="1"/>
  <c r="DP146" i="1"/>
  <c r="DO146" i="1"/>
  <c r="DL146" i="1"/>
  <c r="DM146" i="1" s="1"/>
  <c r="DJ146" i="1"/>
  <c r="DI146" i="1"/>
  <c r="DF146" i="1"/>
  <c r="DG146" i="1" s="1"/>
  <c r="DC146" i="1"/>
  <c r="DD146" i="1" s="1"/>
  <c r="CZ146" i="1"/>
  <c r="DA146" i="1" s="1"/>
  <c r="CX146" i="1"/>
  <c r="CW146" i="1"/>
  <c r="CU146" i="1"/>
  <c r="CT146" i="1"/>
  <c r="CQ146" i="1"/>
  <c r="CR146" i="1" s="1"/>
  <c r="CN146" i="1"/>
  <c r="CO146" i="1" s="1"/>
  <c r="CL146" i="1"/>
  <c r="CK146" i="1"/>
  <c r="CI146" i="1"/>
  <c r="CH146" i="1"/>
  <c r="CE146" i="1"/>
  <c r="CF146" i="1" s="1"/>
  <c r="CB146" i="1"/>
  <c r="CC146" i="1" s="1"/>
  <c r="BZ146" i="1"/>
  <c r="BY146" i="1"/>
  <c r="BW146" i="1"/>
  <c r="BV146" i="1"/>
  <c r="BT146" i="1"/>
  <c r="BS146" i="1"/>
  <c r="BP146" i="1"/>
  <c r="BQ146" i="1" s="1"/>
  <c r="BM146" i="1"/>
  <c r="BN146" i="1" s="1"/>
  <c r="BK146" i="1"/>
  <c r="BJ146" i="1"/>
  <c r="BH146" i="1"/>
  <c r="BG146" i="1"/>
  <c r="BD146" i="1"/>
  <c r="BE146" i="1" s="1"/>
  <c r="BA146" i="1"/>
  <c r="BB146" i="1" s="1"/>
  <c r="AX146" i="1"/>
  <c r="AY146" i="1" s="1"/>
  <c r="AV146" i="1"/>
  <c r="AU146" i="1"/>
  <c r="AR146" i="1"/>
  <c r="AS146" i="1" s="1"/>
  <c r="AO146" i="1"/>
  <c r="AP146" i="1" s="1"/>
  <c r="AL146" i="1"/>
  <c r="AM146" i="1" s="1"/>
  <c r="AI146" i="1"/>
  <c r="AJ146" i="1" s="1"/>
  <c r="AF146" i="1"/>
  <c r="AG146" i="1" s="1"/>
  <c r="AD146" i="1"/>
  <c r="AC146" i="1"/>
  <c r="Z146" i="1"/>
  <c r="AA146" i="1" s="1"/>
  <c r="W146" i="1"/>
  <c r="X146" i="1" s="1"/>
  <c r="T146" i="1"/>
  <c r="U146" i="1" s="1"/>
  <c r="R146" i="1"/>
  <c r="O146" i="1"/>
  <c r="L146" i="1"/>
  <c r="I146" i="1"/>
  <c r="DO145" i="1"/>
  <c r="DP145" i="1" s="1"/>
  <c r="DL145" i="1"/>
  <c r="DM145" i="1" s="1"/>
  <c r="DI145" i="1"/>
  <c r="DJ145" i="1" s="1"/>
  <c r="DG145" i="1"/>
  <c r="DF145" i="1"/>
  <c r="DC145" i="1"/>
  <c r="DD145" i="1" s="1"/>
  <c r="CZ145" i="1"/>
  <c r="DA145" i="1" s="1"/>
  <c r="CX145" i="1"/>
  <c r="CW145" i="1"/>
  <c r="CU145" i="1"/>
  <c r="CT145" i="1"/>
  <c r="CQ145" i="1"/>
  <c r="CR145" i="1" s="1"/>
  <c r="CN145" i="1"/>
  <c r="CO145" i="1" s="1"/>
  <c r="CL145" i="1"/>
  <c r="CK145" i="1"/>
  <c r="CI145" i="1"/>
  <c r="CH145" i="1"/>
  <c r="CF145" i="1"/>
  <c r="CE145" i="1"/>
  <c r="CB145" i="1"/>
  <c r="CC145" i="1" s="1"/>
  <c r="BY145" i="1"/>
  <c r="BZ145" i="1" s="1"/>
  <c r="BW145" i="1"/>
  <c r="BV145" i="1"/>
  <c r="BT145" i="1"/>
  <c r="BS145" i="1"/>
  <c r="BP145" i="1"/>
  <c r="BQ145" i="1" s="1"/>
  <c r="BM145" i="1"/>
  <c r="BN145" i="1" s="1"/>
  <c r="BJ145" i="1"/>
  <c r="BK145" i="1" s="1"/>
  <c r="BH145" i="1"/>
  <c r="BG145" i="1"/>
  <c r="BD145" i="1"/>
  <c r="BE145" i="1" s="1"/>
  <c r="BA145" i="1"/>
  <c r="BB145" i="1" s="1"/>
  <c r="AX145" i="1"/>
  <c r="AY145" i="1" s="1"/>
  <c r="AV145" i="1"/>
  <c r="AU145" i="1"/>
  <c r="AR145" i="1"/>
  <c r="AS145" i="1" s="1"/>
  <c r="AP145" i="1"/>
  <c r="AO145" i="1"/>
  <c r="AL145" i="1"/>
  <c r="AM145" i="1" s="1"/>
  <c r="AI145" i="1"/>
  <c r="AJ145" i="1" s="1"/>
  <c r="AF145" i="1"/>
  <c r="AG145" i="1" s="1"/>
  <c r="AD145" i="1"/>
  <c r="AC145" i="1"/>
  <c r="Z145" i="1"/>
  <c r="AA145" i="1" s="1"/>
  <c r="W145" i="1"/>
  <c r="X145" i="1" s="1"/>
  <c r="T145" i="1"/>
  <c r="U145" i="1" s="1"/>
  <c r="R145" i="1"/>
  <c r="O145" i="1"/>
  <c r="L145" i="1"/>
  <c r="I145" i="1"/>
  <c r="DO144" i="1"/>
  <c r="DP144" i="1" s="1"/>
  <c r="DL144" i="1"/>
  <c r="DM144" i="1" s="1"/>
  <c r="DI144" i="1"/>
  <c r="DJ144" i="1" s="1"/>
  <c r="DG144" i="1"/>
  <c r="DF144" i="1"/>
  <c r="DC144" i="1"/>
  <c r="DD144" i="1" s="1"/>
  <c r="CZ144" i="1"/>
  <c r="DA144" i="1" s="1"/>
  <c r="CX144" i="1"/>
  <c r="CW144" i="1"/>
  <c r="CT144" i="1"/>
  <c r="CU144" i="1" s="1"/>
  <c r="CR144" i="1"/>
  <c r="CQ144" i="1"/>
  <c r="CN144" i="1"/>
  <c r="CO144" i="1" s="1"/>
  <c r="CK144" i="1"/>
  <c r="CL144" i="1" s="1"/>
  <c r="CH144" i="1"/>
  <c r="CI144" i="1" s="1"/>
  <c r="CF144" i="1"/>
  <c r="CE144" i="1"/>
  <c r="CB144" i="1"/>
  <c r="CC144" i="1" s="1"/>
  <c r="BY144" i="1"/>
  <c r="BZ144" i="1" s="1"/>
  <c r="BW144" i="1"/>
  <c r="BV144" i="1"/>
  <c r="BS144" i="1"/>
  <c r="BT144" i="1" s="1"/>
  <c r="BP144" i="1"/>
  <c r="BQ144" i="1" s="1"/>
  <c r="BM144" i="1"/>
  <c r="BN144" i="1" s="1"/>
  <c r="BJ144" i="1"/>
  <c r="BK144" i="1" s="1"/>
  <c r="BH144" i="1"/>
  <c r="BG144" i="1"/>
  <c r="BD144" i="1"/>
  <c r="BE144" i="1" s="1"/>
  <c r="BB144" i="1"/>
  <c r="BA144" i="1"/>
  <c r="AX144" i="1"/>
  <c r="AY144" i="1" s="1"/>
  <c r="AV144" i="1"/>
  <c r="AU144" i="1"/>
  <c r="AR144" i="1"/>
  <c r="AS144" i="1" s="1"/>
  <c r="AP144" i="1"/>
  <c r="AO144" i="1"/>
  <c r="AL144" i="1"/>
  <c r="AM144" i="1" s="1"/>
  <c r="AI144" i="1"/>
  <c r="AJ144" i="1" s="1"/>
  <c r="AF144" i="1"/>
  <c r="AG144" i="1" s="1"/>
  <c r="AD144" i="1"/>
  <c r="AC144" i="1"/>
  <c r="AA144" i="1"/>
  <c r="Z144" i="1"/>
  <c r="W144" i="1"/>
  <c r="X144" i="1" s="1"/>
  <c r="T144" i="1"/>
  <c r="U144" i="1" s="1"/>
  <c r="R144" i="1"/>
  <c r="O144" i="1"/>
  <c r="L144" i="1"/>
  <c r="I144" i="1"/>
  <c r="DO143" i="1"/>
  <c r="DP143" i="1" s="1"/>
  <c r="DL143" i="1"/>
  <c r="DM143" i="1" s="1"/>
  <c r="DJ143" i="1"/>
  <c r="DI143" i="1"/>
  <c r="DG143" i="1"/>
  <c r="DF143" i="1"/>
  <c r="DD143" i="1"/>
  <c r="DC143" i="1"/>
  <c r="CZ143" i="1"/>
  <c r="DA143" i="1" s="1"/>
  <c r="CW143" i="1"/>
  <c r="CX143" i="1" s="1"/>
  <c r="CU143" i="1"/>
  <c r="CT143" i="1"/>
  <c r="CR143" i="1"/>
  <c r="CQ143" i="1"/>
  <c r="CN143" i="1"/>
  <c r="CO143" i="1" s="1"/>
  <c r="CK143" i="1"/>
  <c r="CL143" i="1" s="1"/>
  <c r="CI143" i="1"/>
  <c r="CH143" i="1"/>
  <c r="CF143" i="1"/>
  <c r="CE143" i="1"/>
  <c r="CB143" i="1"/>
  <c r="CC143" i="1" s="1"/>
  <c r="BY143" i="1"/>
  <c r="BZ143" i="1" s="1"/>
  <c r="BV143" i="1"/>
  <c r="BW143" i="1" s="1"/>
  <c r="BS143" i="1"/>
  <c r="BT143" i="1" s="1"/>
  <c r="BP143" i="1"/>
  <c r="BQ143" i="1" s="1"/>
  <c r="BN143" i="1"/>
  <c r="BM143" i="1"/>
  <c r="BJ143" i="1"/>
  <c r="BK143" i="1" s="1"/>
  <c r="BG143" i="1"/>
  <c r="BH143" i="1" s="1"/>
  <c r="BD143" i="1"/>
  <c r="BE143" i="1" s="1"/>
  <c r="BB143" i="1"/>
  <c r="BA143" i="1"/>
  <c r="AX143" i="1"/>
  <c r="AY143" i="1" s="1"/>
  <c r="AU143" i="1"/>
  <c r="AV143" i="1" s="1"/>
  <c r="AR143" i="1"/>
  <c r="AS143" i="1" s="1"/>
  <c r="AO143" i="1"/>
  <c r="AP143" i="1" s="1"/>
  <c r="AM143" i="1"/>
  <c r="AL143" i="1"/>
  <c r="AI143" i="1"/>
  <c r="AJ143" i="1" s="1"/>
  <c r="AF143" i="1"/>
  <c r="AG143" i="1" s="1"/>
  <c r="AD143" i="1"/>
  <c r="AC143" i="1"/>
  <c r="AA143" i="1"/>
  <c r="Z143" i="1"/>
  <c r="W143" i="1"/>
  <c r="X143" i="1" s="1"/>
  <c r="T143" i="1"/>
  <c r="U143" i="1" s="1"/>
  <c r="R143" i="1"/>
  <c r="O143" i="1"/>
  <c r="L143" i="1"/>
  <c r="I143" i="1"/>
  <c r="DP142" i="1"/>
  <c r="DO142" i="1"/>
  <c r="DL142" i="1"/>
  <c r="DM142" i="1" s="1"/>
  <c r="DI142" i="1"/>
  <c r="DJ142" i="1" s="1"/>
  <c r="DF142" i="1"/>
  <c r="DG142" i="1" s="1"/>
  <c r="DD142" i="1"/>
  <c r="DC142" i="1"/>
  <c r="CZ142" i="1"/>
  <c r="DA142" i="1" s="1"/>
  <c r="CW142" i="1"/>
  <c r="CX142" i="1" s="1"/>
  <c r="CT142" i="1"/>
  <c r="CU142" i="1" s="1"/>
  <c r="CQ142" i="1"/>
  <c r="CR142" i="1" s="1"/>
  <c r="CN142" i="1"/>
  <c r="CO142" i="1" s="1"/>
  <c r="CK142" i="1"/>
  <c r="CL142" i="1" s="1"/>
  <c r="CH142" i="1"/>
  <c r="CI142" i="1" s="1"/>
  <c r="CF142" i="1"/>
  <c r="CE142" i="1"/>
  <c r="CB142" i="1"/>
  <c r="CC142" i="1" s="1"/>
  <c r="BZ142" i="1"/>
  <c r="BY142" i="1"/>
  <c r="BV142" i="1"/>
  <c r="BW142" i="1" s="1"/>
  <c r="BT142" i="1"/>
  <c r="BS142" i="1"/>
  <c r="BP142" i="1"/>
  <c r="BQ142" i="1" s="1"/>
  <c r="BM142" i="1"/>
  <c r="BN142" i="1" s="1"/>
  <c r="BJ142" i="1"/>
  <c r="BK142" i="1" s="1"/>
  <c r="BG142" i="1"/>
  <c r="BH142" i="1" s="1"/>
  <c r="BD142" i="1"/>
  <c r="BE142" i="1" s="1"/>
  <c r="BB142" i="1"/>
  <c r="BA142" i="1"/>
  <c r="AY142" i="1"/>
  <c r="AX142" i="1"/>
  <c r="AU142" i="1"/>
  <c r="AV142" i="1" s="1"/>
  <c r="AR142" i="1"/>
  <c r="AS142" i="1" s="1"/>
  <c r="AO142" i="1"/>
  <c r="AP142" i="1" s="1"/>
  <c r="AM142" i="1"/>
  <c r="AL142" i="1"/>
  <c r="AI142" i="1"/>
  <c r="AJ142" i="1" s="1"/>
  <c r="AF142" i="1"/>
  <c r="AG142" i="1" s="1"/>
  <c r="AC142" i="1"/>
  <c r="AD142" i="1" s="1"/>
  <c r="Z142" i="1"/>
  <c r="AA142" i="1" s="1"/>
  <c r="X142" i="1"/>
  <c r="W142" i="1"/>
  <c r="T142" i="1"/>
  <c r="U142" i="1" s="1"/>
  <c r="DO141" i="1"/>
  <c r="DP141" i="1" s="1"/>
  <c r="DL141" i="1"/>
  <c r="DM141" i="1" s="1"/>
  <c r="DI141" i="1"/>
  <c r="DJ141" i="1" s="1"/>
  <c r="DF141" i="1"/>
  <c r="DG141" i="1" s="1"/>
  <c r="DC141" i="1"/>
  <c r="DD141" i="1" s="1"/>
  <c r="DA141" i="1"/>
  <c r="CZ141" i="1"/>
  <c r="CW141" i="1"/>
  <c r="CX141" i="1" s="1"/>
  <c r="CT141" i="1"/>
  <c r="CU141" i="1" s="1"/>
  <c r="CQ141" i="1"/>
  <c r="CR141" i="1" s="1"/>
  <c r="CN141" i="1"/>
  <c r="CO141" i="1" s="1"/>
  <c r="CK141" i="1"/>
  <c r="CL141" i="1" s="1"/>
  <c r="CH141" i="1"/>
  <c r="CI141" i="1" s="1"/>
  <c r="CF141" i="1"/>
  <c r="CE141" i="1"/>
  <c r="CB141" i="1"/>
  <c r="CC141" i="1" s="1"/>
  <c r="BY141" i="1"/>
  <c r="BZ141" i="1" s="1"/>
  <c r="BV141" i="1"/>
  <c r="BW141" i="1" s="1"/>
  <c r="BT141" i="1"/>
  <c r="BS141" i="1"/>
  <c r="BP141" i="1"/>
  <c r="BQ141" i="1" s="1"/>
  <c r="BM141" i="1"/>
  <c r="BN141" i="1" s="1"/>
  <c r="BJ141" i="1"/>
  <c r="BK141" i="1" s="1"/>
  <c r="BG141" i="1"/>
  <c r="BH141" i="1" s="1"/>
  <c r="BE141" i="1"/>
  <c r="BD141" i="1"/>
  <c r="BA141" i="1"/>
  <c r="BB141" i="1" s="1"/>
  <c r="AX141" i="1"/>
  <c r="AY141" i="1" s="1"/>
  <c r="AU141" i="1"/>
  <c r="AV141" i="1" s="1"/>
  <c r="AR141" i="1"/>
  <c r="AS141" i="1" s="1"/>
  <c r="AO141" i="1"/>
  <c r="AP141" i="1" s="1"/>
  <c r="AL141" i="1"/>
  <c r="AM141" i="1" s="1"/>
  <c r="AI141" i="1"/>
  <c r="AJ141" i="1" s="1"/>
  <c r="AG141" i="1"/>
  <c r="AF141" i="1"/>
  <c r="AD141" i="1"/>
  <c r="AC141" i="1"/>
  <c r="Z141" i="1"/>
  <c r="AA141" i="1" s="1"/>
  <c r="W141" i="1"/>
  <c r="X141" i="1" s="1"/>
  <c r="T141" i="1"/>
  <c r="U141" i="1" s="1"/>
  <c r="R141" i="1"/>
  <c r="O141" i="1"/>
  <c r="L141" i="1"/>
  <c r="I141" i="1"/>
  <c r="DO140" i="1"/>
  <c r="DP140" i="1" s="1"/>
  <c r="DL140" i="1"/>
  <c r="DM140" i="1" s="1"/>
  <c r="DI140" i="1"/>
  <c r="DJ140" i="1" s="1"/>
  <c r="DF140" i="1"/>
  <c r="DG140" i="1" s="1"/>
  <c r="DC140" i="1"/>
  <c r="DD140" i="1" s="1"/>
  <c r="DA140" i="1"/>
  <c r="CZ140" i="1"/>
  <c r="CW140" i="1"/>
  <c r="CX140" i="1" s="1"/>
  <c r="CT140" i="1"/>
  <c r="CU140" i="1" s="1"/>
  <c r="CQ140" i="1"/>
  <c r="CR140" i="1" s="1"/>
  <c r="CN140" i="1"/>
  <c r="CO140" i="1" s="1"/>
  <c r="CL140" i="1"/>
  <c r="CK140" i="1"/>
  <c r="CH140" i="1"/>
  <c r="CI140" i="1" s="1"/>
  <c r="CF140" i="1"/>
  <c r="CE140" i="1"/>
  <c r="CB140" i="1"/>
  <c r="CC140" i="1" s="1"/>
  <c r="BY140" i="1"/>
  <c r="BZ140" i="1" s="1"/>
  <c r="BV140" i="1"/>
  <c r="BW140" i="1" s="1"/>
  <c r="BT140" i="1"/>
  <c r="BS140" i="1"/>
  <c r="BP140" i="1"/>
  <c r="BQ140" i="1" s="1"/>
  <c r="BM140" i="1"/>
  <c r="BN140" i="1" s="1"/>
  <c r="BJ140" i="1"/>
  <c r="BK140" i="1" s="1"/>
  <c r="BG140" i="1"/>
  <c r="BH140" i="1" s="1"/>
  <c r="BE140" i="1"/>
  <c r="BD140" i="1"/>
  <c r="BA140" i="1"/>
  <c r="BB140" i="1" s="1"/>
  <c r="AX140" i="1"/>
  <c r="AY140" i="1" s="1"/>
  <c r="AU140" i="1"/>
  <c r="AV140" i="1" s="1"/>
  <c r="AR140" i="1"/>
  <c r="AS140" i="1" s="1"/>
  <c r="AO140" i="1"/>
  <c r="AP140" i="1" s="1"/>
  <c r="AL140" i="1"/>
  <c r="AM140" i="1" s="1"/>
  <c r="AI140" i="1"/>
  <c r="AJ140" i="1" s="1"/>
  <c r="AG140" i="1"/>
  <c r="AF140" i="1"/>
  <c r="AD140" i="1"/>
  <c r="AC140" i="1"/>
  <c r="Z140" i="1"/>
  <c r="AA140" i="1" s="1"/>
  <c r="W140" i="1"/>
  <c r="X140" i="1" s="1"/>
  <c r="T140" i="1"/>
  <c r="U140" i="1" s="1"/>
  <c r="R140" i="1"/>
  <c r="O140" i="1"/>
  <c r="L140" i="1"/>
  <c r="I140" i="1"/>
  <c r="DO139" i="1"/>
  <c r="DP139" i="1" s="1"/>
  <c r="DL139" i="1"/>
  <c r="DM139" i="1" s="1"/>
  <c r="DJ139" i="1"/>
  <c r="DI139" i="1"/>
  <c r="DF139" i="1"/>
  <c r="DG139" i="1" s="1"/>
  <c r="DC139" i="1"/>
  <c r="DD139" i="1" s="1"/>
  <c r="CZ139" i="1"/>
  <c r="DA139" i="1" s="1"/>
  <c r="CW139" i="1"/>
  <c r="CX139" i="1" s="1"/>
  <c r="CT139" i="1"/>
  <c r="CU139" i="1" s="1"/>
  <c r="CQ139" i="1"/>
  <c r="CR139" i="1" s="1"/>
  <c r="CO139" i="1"/>
  <c r="CN139" i="1"/>
  <c r="CK139" i="1"/>
  <c r="CL139" i="1" s="1"/>
  <c r="CH139" i="1"/>
  <c r="CI139" i="1" s="1"/>
  <c r="CF139" i="1"/>
  <c r="CE139" i="1"/>
  <c r="CB139" i="1"/>
  <c r="CC139" i="1" s="1"/>
  <c r="BZ139" i="1"/>
  <c r="BY139" i="1"/>
  <c r="BV139" i="1"/>
  <c r="BW139" i="1" s="1"/>
  <c r="BS139" i="1"/>
  <c r="BT139" i="1" s="1"/>
  <c r="BP139" i="1"/>
  <c r="BQ139" i="1" s="1"/>
  <c r="BM139" i="1"/>
  <c r="BN139" i="1" s="1"/>
  <c r="BJ139" i="1"/>
  <c r="BK139" i="1" s="1"/>
  <c r="BH139" i="1"/>
  <c r="BG139" i="1"/>
  <c r="BE139" i="1"/>
  <c r="BD139" i="1"/>
  <c r="BA139" i="1"/>
  <c r="BB139" i="1" s="1"/>
  <c r="AX139" i="1"/>
  <c r="AY139" i="1" s="1"/>
  <c r="AU139" i="1"/>
  <c r="AV139" i="1" s="1"/>
  <c r="AS139" i="1"/>
  <c r="AR139" i="1"/>
  <c r="AO139" i="1"/>
  <c r="AP139" i="1" s="1"/>
  <c r="AL139" i="1"/>
  <c r="AM139" i="1" s="1"/>
  <c r="AJ139" i="1"/>
  <c r="AI139" i="1"/>
  <c r="AF139" i="1"/>
  <c r="AG139" i="1" s="1"/>
  <c r="AD139" i="1"/>
  <c r="AC139" i="1"/>
  <c r="Z139" i="1"/>
  <c r="AA139" i="1" s="1"/>
  <c r="W139" i="1"/>
  <c r="X139" i="1" s="1"/>
  <c r="U139" i="1"/>
  <c r="T139" i="1"/>
  <c r="R139" i="1"/>
  <c r="O139" i="1"/>
  <c r="L139" i="1"/>
  <c r="I139" i="1"/>
  <c r="DO138" i="1"/>
  <c r="DP138" i="1" s="1"/>
  <c r="DL138" i="1"/>
  <c r="DM138" i="1" s="1"/>
  <c r="DI138" i="1"/>
  <c r="DJ138" i="1" s="1"/>
  <c r="DF138" i="1"/>
  <c r="DG138" i="1" s="1"/>
  <c r="DC138" i="1"/>
  <c r="DD138" i="1" s="1"/>
  <c r="CZ138" i="1"/>
  <c r="DA138" i="1" s="1"/>
  <c r="CX138" i="1"/>
  <c r="CW138" i="1"/>
  <c r="CT138" i="1"/>
  <c r="CU138" i="1" s="1"/>
  <c r="CQ138" i="1"/>
  <c r="CR138" i="1" s="1"/>
  <c r="CN138" i="1"/>
  <c r="CO138" i="1" s="1"/>
  <c r="CK138" i="1"/>
  <c r="CL138" i="1" s="1"/>
  <c r="CH138" i="1"/>
  <c r="CI138" i="1" s="1"/>
  <c r="CF138" i="1"/>
  <c r="CE138" i="1"/>
  <c r="CB138" i="1"/>
  <c r="CC138" i="1" s="1"/>
  <c r="BY138" i="1"/>
  <c r="BZ138" i="1" s="1"/>
  <c r="BV138" i="1"/>
  <c r="BW138" i="1" s="1"/>
  <c r="BS138" i="1"/>
  <c r="BT138" i="1" s="1"/>
  <c r="BP138" i="1"/>
  <c r="BQ138" i="1" s="1"/>
  <c r="BN138" i="1"/>
  <c r="BM138" i="1"/>
  <c r="BJ138" i="1"/>
  <c r="BK138" i="1" s="1"/>
  <c r="BG138" i="1"/>
  <c r="BH138" i="1" s="1"/>
  <c r="BE138" i="1"/>
  <c r="BD138" i="1"/>
  <c r="BA138" i="1"/>
  <c r="BB138" i="1" s="1"/>
  <c r="AX138" i="1"/>
  <c r="AY138" i="1" s="1"/>
  <c r="AV138" i="1"/>
  <c r="AU138" i="1"/>
  <c r="AR138" i="1"/>
  <c r="AS138" i="1" s="1"/>
  <c r="AO138" i="1"/>
  <c r="AP138" i="1" s="1"/>
  <c r="AL138" i="1"/>
  <c r="AM138" i="1" s="1"/>
  <c r="AI138" i="1"/>
  <c r="AJ138" i="1" s="1"/>
  <c r="AG138" i="1"/>
  <c r="AF138" i="1"/>
  <c r="AD138" i="1"/>
  <c r="AC138" i="1"/>
  <c r="Z138" i="1"/>
  <c r="AA138" i="1" s="1"/>
  <c r="W138" i="1"/>
  <c r="X138" i="1" s="1"/>
  <c r="T138" i="1"/>
  <c r="U138" i="1" s="1"/>
  <c r="R138" i="1"/>
  <c r="O138" i="1"/>
  <c r="L138" i="1"/>
  <c r="I138" i="1"/>
  <c r="DO137" i="1"/>
  <c r="DP137" i="1" s="1"/>
  <c r="DL137" i="1"/>
  <c r="DM137" i="1" s="1"/>
  <c r="DI137" i="1"/>
  <c r="DJ137" i="1" s="1"/>
  <c r="DF137" i="1"/>
  <c r="DG137" i="1" s="1"/>
  <c r="DC137" i="1"/>
  <c r="DD137" i="1" s="1"/>
  <c r="CZ137" i="1"/>
  <c r="DA137" i="1" s="1"/>
  <c r="CW137" i="1"/>
  <c r="CX137" i="1" s="1"/>
  <c r="CT137" i="1"/>
  <c r="CU137" i="1" s="1"/>
  <c r="CQ137" i="1"/>
  <c r="CR137" i="1" s="1"/>
  <c r="CN137" i="1"/>
  <c r="CO137" i="1" s="1"/>
  <c r="CK137" i="1"/>
  <c r="CL137" i="1" s="1"/>
  <c r="CH137" i="1"/>
  <c r="CI137" i="1" s="1"/>
  <c r="CF137" i="1"/>
  <c r="CE137" i="1"/>
  <c r="CB137" i="1"/>
  <c r="CC137" i="1" s="1"/>
  <c r="BY137" i="1"/>
  <c r="BZ137" i="1" s="1"/>
  <c r="BV137" i="1"/>
  <c r="BW137" i="1" s="1"/>
  <c r="BS137" i="1"/>
  <c r="BT137" i="1" s="1"/>
  <c r="BP137" i="1"/>
  <c r="BQ137" i="1" s="1"/>
  <c r="BM137" i="1"/>
  <c r="BN137" i="1" s="1"/>
  <c r="BJ137" i="1"/>
  <c r="BK137" i="1" s="1"/>
  <c r="BH137" i="1"/>
  <c r="BG137" i="1"/>
  <c r="BE137" i="1"/>
  <c r="BD137" i="1"/>
  <c r="BA137" i="1"/>
  <c r="BB137" i="1" s="1"/>
  <c r="AX137" i="1"/>
  <c r="AY137" i="1" s="1"/>
  <c r="AU137" i="1"/>
  <c r="AV137" i="1" s="1"/>
  <c r="AR137" i="1"/>
  <c r="AS137" i="1" s="1"/>
  <c r="AO137" i="1"/>
  <c r="AP137" i="1" s="1"/>
  <c r="AL137" i="1"/>
  <c r="AM137" i="1" s="1"/>
  <c r="AJ137" i="1"/>
  <c r="AI137" i="1"/>
  <c r="AF137" i="1"/>
  <c r="AG137" i="1" s="1"/>
  <c r="AD137" i="1"/>
  <c r="AC137" i="1"/>
  <c r="Z137" i="1"/>
  <c r="AA137" i="1" s="1"/>
  <c r="X137" i="1"/>
  <c r="W137" i="1"/>
  <c r="T137" i="1"/>
  <c r="U137" i="1" s="1"/>
  <c r="O137" i="1"/>
  <c r="L137" i="1"/>
  <c r="I137" i="1"/>
  <c r="DO136" i="1"/>
  <c r="DP136" i="1" s="1"/>
  <c r="DL136" i="1"/>
  <c r="DM136" i="1" s="1"/>
  <c r="DI136" i="1"/>
  <c r="DJ136" i="1" s="1"/>
  <c r="DF136" i="1"/>
  <c r="DG136" i="1" s="1"/>
  <c r="DC136" i="1"/>
  <c r="DD136" i="1" s="1"/>
  <c r="CZ136" i="1"/>
  <c r="DA136" i="1" s="1"/>
  <c r="CW136" i="1"/>
  <c r="CX136" i="1" s="1"/>
  <c r="CT136" i="1"/>
  <c r="CU136" i="1" s="1"/>
  <c r="CR136" i="1"/>
  <c r="CQ136" i="1"/>
  <c r="CN136" i="1"/>
  <c r="CO136" i="1" s="1"/>
  <c r="CK136" i="1"/>
  <c r="CL136" i="1" s="1"/>
  <c r="CH136" i="1"/>
  <c r="CI136" i="1" s="1"/>
  <c r="CE136" i="1"/>
  <c r="CF136" i="1" s="1"/>
  <c r="CB136" i="1"/>
  <c r="CC136" i="1" s="1"/>
  <c r="BY136" i="1"/>
  <c r="BZ136" i="1" s="1"/>
  <c r="BV136" i="1"/>
  <c r="BW136" i="1" s="1"/>
  <c r="BS136" i="1"/>
  <c r="BT136" i="1" s="1"/>
  <c r="BP136" i="1"/>
  <c r="BQ136" i="1" s="1"/>
  <c r="BM136" i="1"/>
  <c r="BN136" i="1" s="1"/>
  <c r="BJ136" i="1"/>
  <c r="BK136" i="1" s="1"/>
  <c r="BG136" i="1"/>
  <c r="BH136" i="1" s="1"/>
  <c r="BD136" i="1"/>
  <c r="BE136" i="1" s="1"/>
  <c r="BA136" i="1"/>
  <c r="BB136" i="1" s="1"/>
  <c r="AX136" i="1"/>
  <c r="AY136" i="1" s="1"/>
  <c r="AU136" i="1"/>
  <c r="AV136" i="1" s="1"/>
  <c r="AR136" i="1"/>
  <c r="AS136" i="1" s="1"/>
  <c r="AO136" i="1"/>
  <c r="AP136" i="1" s="1"/>
  <c r="AM136" i="1"/>
  <c r="AL136" i="1"/>
  <c r="AI136" i="1"/>
  <c r="AJ136" i="1" s="1"/>
  <c r="AF136" i="1"/>
  <c r="AG136" i="1" s="1"/>
  <c r="AC136" i="1"/>
  <c r="AD136" i="1" s="1"/>
  <c r="Z136" i="1"/>
  <c r="AA136" i="1" s="1"/>
  <c r="X136" i="1"/>
  <c r="W136" i="1"/>
  <c r="T136" i="1"/>
  <c r="U136" i="1" s="1"/>
  <c r="R136" i="1"/>
  <c r="O136" i="1"/>
  <c r="L136" i="1"/>
  <c r="I136" i="1"/>
  <c r="DO135" i="1"/>
  <c r="DP135" i="1" s="1"/>
  <c r="DL135" i="1"/>
  <c r="DM135" i="1" s="1"/>
  <c r="DI135" i="1"/>
  <c r="DJ135" i="1" s="1"/>
  <c r="DF135" i="1"/>
  <c r="DG135" i="1" s="1"/>
  <c r="DD135" i="1"/>
  <c r="DC135" i="1"/>
  <c r="CZ135" i="1"/>
  <c r="DA135" i="1" s="1"/>
  <c r="CW135" i="1"/>
  <c r="CX135" i="1" s="1"/>
  <c r="CT135" i="1"/>
  <c r="CU135" i="1" s="1"/>
  <c r="CQ135" i="1"/>
  <c r="CR135" i="1" s="1"/>
  <c r="CN135" i="1"/>
  <c r="CO135" i="1" s="1"/>
  <c r="CK135" i="1"/>
  <c r="CL135" i="1" s="1"/>
  <c r="CH135" i="1"/>
  <c r="CI135" i="1" s="1"/>
  <c r="CE135" i="1"/>
  <c r="CF135" i="1" s="1"/>
  <c r="CB135" i="1"/>
  <c r="CC135" i="1" s="1"/>
  <c r="BY135" i="1"/>
  <c r="BZ135" i="1" s="1"/>
  <c r="BV135" i="1"/>
  <c r="BW135" i="1" s="1"/>
  <c r="BS135" i="1"/>
  <c r="BT135" i="1" s="1"/>
  <c r="BP135" i="1"/>
  <c r="BQ135" i="1" s="1"/>
  <c r="BM135" i="1"/>
  <c r="BN135" i="1" s="1"/>
  <c r="BJ135" i="1"/>
  <c r="BK135" i="1" s="1"/>
  <c r="BH135" i="1"/>
  <c r="BG135" i="1"/>
  <c r="BD135" i="1"/>
  <c r="BE135" i="1" s="1"/>
  <c r="BA135" i="1"/>
  <c r="BB135" i="1" s="1"/>
  <c r="AX135" i="1"/>
  <c r="AY135" i="1" s="1"/>
  <c r="AV135" i="1"/>
  <c r="AU135" i="1"/>
  <c r="AR135" i="1"/>
  <c r="AS135" i="1" s="1"/>
  <c r="AO135" i="1"/>
  <c r="AP135" i="1" s="1"/>
  <c r="AL135" i="1"/>
  <c r="AM135" i="1" s="1"/>
  <c r="AJ135" i="1"/>
  <c r="AI135" i="1"/>
  <c r="AF135" i="1"/>
  <c r="AG135" i="1" s="1"/>
  <c r="AC135" i="1"/>
  <c r="AD135" i="1" s="1"/>
  <c r="Z135" i="1"/>
  <c r="AA135" i="1" s="1"/>
  <c r="W135" i="1"/>
  <c r="X135" i="1" s="1"/>
  <c r="T135" i="1"/>
  <c r="U135" i="1" s="1"/>
  <c r="R135" i="1"/>
  <c r="O135" i="1"/>
  <c r="L135" i="1"/>
  <c r="I135" i="1"/>
  <c r="DO134" i="1"/>
  <c r="DP134" i="1" s="1"/>
  <c r="DL134" i="1"/>
  <c r="DM134" i="1" s="1"/>
  <c r="DI134" i="1"/>
  <c r="DJ134" i="1" s="1"/>
  <c r="DF134" i="1"/>
  <c r="DG134" i="1" s="1"/>
  <c r="DD134" i="1"/>
  <c r="DC134" i="1"/>
  <c r="CZ134" i="1"/>
  <c r="DA134" i="1" s="1"/>
  <c r="CW134" i="1"/>
  <c r="CX134" i="1" s="1"/>
  <c r="CU134" i="1"/>
  <c r="CT134" i="1"/>
  <c r="CR134" i="1"/>
  <c r="CQ134" i="1"/>
  <c r="CN134" i="1"/>
  <c r="CO134" i="1" s="1"/>
  <c r="CK134" i="1"/>
  <c r="CL134" i="1" s="1"/>
  <c r="CH134" i="1"/>
  <c r="CI134" i="1" s="1"/>
  <c r="CF134" i="1"/>
  <c r="CE134" i="1"/>
  <c r="CB134" i="1"/>
  <c r="CC134" i="1" s="1"/>
  <c r="BY134" i="1"/>
  <c r="BZ134" i="1" s="1"/>
  <c r="BV134" i="1"/>
  <c r="BW134" i="1" s="1"/>
  <c r="BT134" i="1"/>
  <c r="BS134" i="1"/>
  <c r="BP134" i="1"/>
  <c r="BQ134" i="1" s="1"/>
  <c r="BM134" i="1"/>
  <c r="BN134" i="1" s="1"/>
  <c r="BJ134" i="1"/>
  <c r="BK134" i="1" s="1"/>
  <c r="BG134" i="1"/>
  <c r="BH134" i="1" s="1"/>
  <c r="BD134" i="1"/>
  <c r="BE134" i="1" s="1"/>
  <c r="BA134" i="1"/>
  <c r="BB134" i="1" s="1"/>
  <c r="AX134" i="1"/>
  <c r="AY134" i="1" s="1"/>
  <c r="AV134" i="1"/>
  <c r="AU134" i="1"/>
  <c r="AR134" i="1"/>
  <c r="AS134" i="1" s="1"/>
  <c r="AO134" i="1"/>
  <c r="AP134" i="1" s="1"/>
  <c r="AM134" i="1"/>
  <c r="AL134" i="1"/>
  <c r="AI134" i="1"/>
  <c r="AJ134" i="1" s="1"/>
  <c r="AF134" i="1"/>
  <c r="AG134" i="1" s="1"/>
  <c r="AC134" i="1"/>
  <c r="AD134" i="1" s="1"/>
  <c r="Z134" i="1"/>
  <c r="AA134" i="1" s="1"/>
  <c r="X134" i="1"/>
  <c r="W134" i="1"/>
  <c r="T134" i="1"/>
  <c r="U134" i="1" s="1"/>
  <c r="O134" i="1"/>
  <c r="L134" i="1"/>
  <c r="I134" i="1"/>
  <c r="DO133" i="1"/>
  <c r="DP133" i="1" s="1"/>
  <c r="DM133" i="1"/>
  <c r="DL133" i="1"/>
  <c r="DI133" i="1"/>
  <c r="DJ133" i="1" s="1"/>
  <c r="DF133" i="1"/>
  <c r="DG133" i="1" s="1"/>
  <c r="DC133" i="1"/>
  <c r="DD133" i="1" s="1"/>
  <c r="CZ133" i="1"/>
  <c r="DA133" i="1" s="1"/>
  <c r="CW133" i="1"/>
  <c r="CX133" i="1" s="1"/>
  <c r="CU133" i="1"/>
  <c r="CT133" i="1"/>
  <c r="CR133" i="1"/>
  <c r="CQ133" i="1"/>
  <c r="CN133" i="1"/>
  <c r="CO133" i="1" s="1"/>
  <c r="CK133" i="1"/>
  <c r="CL133" i="1" s="1"/>
  <c r="CH133" i="1"/>
  <c r="CI133" i="1" s="1"/>
  <c r="CE133" i="1"/>
  <c r="CF133" i="1" s="1"/>
  <c r="CC133" i="1"/>
  <c r="CB133" i="1"/>
  <c r="BY133" i="1"/>
  <c r="BZ133" i="1" s="1"/>
  <c r="BV133" i="1"/>
  <c r="BW133" i="1" s="1"/>
  <c r="BT133" i="1"/>
  <c r="BS133" i="1"/>
  <c r="BQ133" i="1"/>
  <c r="BP133" i="1"/>
  <c r="BM133" i="1"/>
  <c r="BN133" i="1" s="1"/>
  <c r="BK133" i="1"/>
  <c r="BJ133" i="1"/>
  <c r="BG133" i="1"/>
  <c r="BH133" i="1" s="1"/>
  <c r="BE133" i="1"/>
  <c r="BD133" i="1"/>
  <c r="BA133" i="1"/>
  <c r="BB133" i="1" s="1"/>
  <c r="AX133" i="1"/>
  <c r="AY133" i="1" s="1"/>
  <c r="AV133" i="1"/>
  <c r="AU133" i="1"/>
  <c r="AR133" i="1"/>
  <c r="AS133" i="1" s="1"/>
  <c r="AO133" i="1"/>
  <c r="AP133" i="1" s="1"/>
  <c r="AM133" i="1"/>
  <c r="AL133" i="1"/>
  <c r="AJ133" i="1"/>
  <c r="AI133" i="1"/>
  <c r="AG133" i="1"/>
  <c r="AF133" i="1"/>
  <c r="AC133" i="1"/>
  <c r="AD133" i="1" s="1"/>
  <c r="Z133" i="1"/>
  <c r="AA133" i="1" s="1"/>
  <c r="W133" i="1"/>
  <c r="X133" i="1" s="1"/>
  <c r="U133" i="1"/>
  <c r="T133" i="1"/>
  <c r="R133" i="1"/>
  <c r="O133" i="1"/>
  <c r="L133" i="1"/>
  <c r="I133" i="1"/>
  <c r="DO132" i="1"/>
  <c r="DP132" i="1" s="1"/>
  <c r="DL132" i="1"/>
  <c r="DM132" i="1" s="1"/>
  <c r="DI132" i="1"/>
  <c r="DJ132" i="1" s="1"/>
  <c r="DF132" i="1"/>
  <c r="DG132" i="1" s="1"/>
  <c r="DC132" i="1"/>
  <c r="DD132" i="1" s="1"/>
  <c r="DA132" i="1"/>
  <c r="CZ132" i="1"/>
  <c r="CW132" i="1"/>
  <c r="CX132" i="1" s="1"/>
  <c r="CT132" i="1"/>
  <c r="CU132" i="1" s="1"/>
  <c r="CR132" i="1"/>
  <c r="CQ132" i="1"/>
  <c r="CN132" i="1"/>
  <c r="CO132" i="1" s="1"/>
  <c r="CK132" i="1"/>
  <c r="CL132" i="1" s="1"/>
  <c r="CH132" i="1"/>
  <c r="CI132" i="1" s="1"/>
  <c r="CE132" i="1"/>
  <c r="CF132" i="1" s="1"/>
  <c r="CC132" i="1"/>
  <c r="CB132" i="1"/>
  <c r="BY132" i="1"/>
  <c r="BZ132" i="1" s="1"/>
  <c r="BV132" i="1"/>
  <c r="BW132" i="1" s="1"/>
  <c r="BT132" i="1"/>
  <c r="BS132" i="1"/>
  <c r="BP132" i="1"/>
  <c r="BQ132" i="1" s="1"/>
  <c r="BM132" i="1"/>
  <c r="BN132" i="1" s="1"/>
  <c r="BJ132" i="1"/>
  <c r="BK132" i="1" s="1"/>
  <c r="BG132" i="1"/>
  <c r="BH132" i="1" s="1"/>
  <c r="BD132" i="1"/>
  <c r="BE132" i="1" s="1"/>
  <c r="BA132" i="1"/>
  <c r="BB132" i="1" s="1"/>
  <c r="AX132" i="1"/>
  <c r="AY132" i="1" s="1"/>
  <c r="AV132" i="1"/>
  <c r="AU132" i="1"/>
  <c r="AR132" i="1"/>
  <c r="AS132" i="1" s="1"/>
  <c r="AO132" i="1"/>
  <c r="AP132" i="1" s="1"/>
  <c r="AL132" i="1"/>
  <c r="AM132" i="1" s="1"/>
  <c r="AJ132" i="1"/>
  <c r="AI132" i="1"/>
  <c r="AG132" i="1"/>
  <c r="AF132" i="1"/>
  <c r="AC132" i="1"/>
  <c r="AD132" i="1" s="1"/>
  <c r="Z132" i="1"/>
  <c r="AA132" i="1" s="1"/>
  <c r="W132" i="1"/>
  <c r="X132" i="1" s="1"/>
  <c r="U132" i="1"/>
  <c r="T132" i="1"/>
  <c r="R132" i="1"/>
  <c r="O132" i="1"/>
  <c r="L132" i="1"/>
  <c r="I132" i="1"/>
  <c r="DO131" i="1"/>
  <c r="DP131" i="1" s="1"/>
  <c r="DL131" i="1"/>
  <c r="DM131" i="1" s="1"/>
  <c r="DI131" i="1"/>
  <c r="DJ131" i="1" s="1"/>
  <c r="DF131" i="1"/>
  <c r="DG131" i="1" s="1"/>
  <c r="DC131" i="1"/>
  <c r="DD131" i="1" s="1"/>
  <c r="CZ131" i="1"/>
  <c r="DA131" i="1" s="1"/>
  <c r="CW131" i="1"/>
  <c r="CX131" i="1" s="1"/>
  <c r="CT131" i="1"/>
  <c r="CU131" i="1" s="1"/>
  <c r="CR131" i="1"/>
  <c r="CQ131" i="1"/>
  <c r="CO131" i="1"/>
  <c r="CN131" i="1"/>
  <c r="CK131" i="1"/>
  <c r="CL131" i="1" s="1"/>
  <c r="CH131" i="1"/>
  <c r="CI131" i="1" s="1"/>
  <c r="CE131" i="1"/>
  <c r="CF131" i="1" s="1"/>
  <c r="CB131" i="1"/>
  <c r="CC131" i="1" s="1"/>
  <c r="BY131" i="1"/>
  <c r="BZ131" i="1" s="1"/>
  <c r="BW131" i="1"/>
  <c r="BV131" i="1"/>
  <c r="BS131" i="1"/>
  <c r="BT131" i="1" s="1"/>
  <c r="BP131" i="1"/>
  <c r="BQ131" i="1" s="1"/>
  <c r="BM131" i="1"/>
  <c r="BN131" i="1" s="1"/>
  <c r="BK131" i="1"/>
  <c r="BJ131" i="1"/>
  <c r="BG131" i="1"/>
  <c r="BH131" i="1" s="1"/>
  <c r="BD131" i="1"/>
  <c r="BE131" i="1" s="1"/>
  <c r="BA131" i="1"/>
  <c r="BB131" i="1" s="1"/>
  <c r="AX131" i="1"/>
  <c r="AY131" i="1" s="1"/>
  <c r="AU131" i="1"/>
  <c r="AV131" i="1" s="1"/>
  <c r="AS131" i="1"/>
  <c r="AR131" i="1"/>
  <c r="AO131" i="1"/>
  <c r="AP131" i="1" s="1"/>
  <c r="AL131" i="1"/>
  <c r="AM131" i="1" s="1"/>
  <c r="AI131" i="1"/>
  <c r="AJ131" i="1" s="1"/>
  <c r="AG131" i="1"/>
  <c r="AF131" i="1"/>
  <c r="AC131" i="1"/>
  <c r="AD131" i="1" s="1"/>
  <c r="Z131" i="1"/>
  <c r="AA131" i="1" s="1"/>
  <c r="W131" i="1"/>
  <c r="X131" i="1" s="1"/>
  <c r="T131" i="1"/>
  <c r="U131" i="1" s="1"/>
  <c r="R131" i="1"/>
  <c r="O131" i="1"/>
  <c r="L131" i="1"/>
  <c r="I131" i="1"/>
  <c r="DO130" i="1"/>
  <c r="DP130" i="1" s="1"/>
  <c r="DL130" i="1"/>
  <c r="DM130" i="1" s="1"/>
  <c r="DI130" i="1"/>
  <c r="DJ130" i="1" s="1"/>
  <c r="DF130" i="1"/>
  <c r="DG130" i="1" s="1"/>
  <c r="DD130" i="1"/>
  <c r="DC130" i="1"/>
  <c r="CZ130" i="1"/>
  <c r="DA130" i="1" s="1"/>
  <c r="CW130" i="1"/>
  <c r="CX130" i="1" s="1"/>
  <c r="CT130" i="1"/>
  <c r="CU130" i="1" s="1"/>
  <c r="CR130" i="1"/>
  <c r="CQ130" i="1"/>
  <c r="CN130" i="1"/>
  <c r="CO130" i="1" s="1"/>
  <c r="CK130" i="1"/>
  <c r="CL130" i="1" s="1"/>
  <c r="CH130" i="1"/>
  <c r="CI130" i="1" s="1"/>
  <c r="CE130" i="1"/>
  <c r="CF130" i="1" s="1"/>
  <c r="CB130" i="1"/>
  <c r="CC130" i="1" s="1"/>
  <c r="BY130" i="1"/>
  <c r="BZ130" i="1" s="1"/>
  <c r="BV130" i="1"/>
  <c r="BW130" i="1" s="1"/>
  <c r="BS130" i="1"/>
  <c r="BT130" i="1" s="1"/>
  <c r="BQ130" i="1"/>
  <c r="BP130" i="1"/>
  <c r="BM130" i="1"/>
  <c r="BN130" i="1" s="1"/>
  <c r="BK130" i="1"/>
  <c r="BJ130" i="1"/>
  <c r="BG130" i="1"/>
  <c r="BH130" i="1" s="1"/>
  <c r="BE130" i="1"/>
  <c r="BD130" i="1"/>
  <c r="BA130" i="1"/>
  <c r="BB130" i="1" s="1"/>
  <c r="AX130" i="1"/>
  <c r="AY130" i="1" s="1"/>
  <c r="AV130" i="1"/>
  <c r="AU130" i="1"/>
  <c r="AR130" i="1"/>
  <c r="AS130" i="1" s="1"/>
  <c r="AO130" i="1"/>
  <c r="AP130" i="1" s="1"/>
  <c r="AL130" i="1"/>
  <c r="AM130" i="1" s="1"/>
  <c r="AI130" i="1"/>
  <c r="AJ130" i="1" s="1"/>
  <c r="AG130" i="1"/>
  <c r="AF130" i="1"/>
  <c r="AC130" i="1"/>
  <c r="AD130" i="1" s="1"/>
  <c r="Z130" i="1"/>
  <c r="AA130" i="1" s="1"/>
  <c r="W130" i="1"/>
  <c r="X130" i="1" s="1"/>
  <c r="U130" i="1"/>
  <c r="T130" i="1"/>
  <c r="R130" i="1"/>
  <c r="O130" i="1"/>
  <c r="L130" i="1"/>
  <c r="I130" i="1"/>
  <c r="DO129" i="1"/>
  <c r="DP129" i="1" s="1"/>
  <c r="DL129" i="1"/>
  <c r="DM129" i="1" s="1"/>
  <c r="DI129" i="1"/>
  <c r="DJ129" i="1" s="1"/>
  <c r="DF129" i="1"/>
  <c r="DG129" i="1" s="1"/>
  <c r="DC129" i="1"/>
  <c r="DD129" i="1" s="1"/>
  <c r="DA129" i="1"/>
  <c r="CZ129" i="1"/>
  <c r="CW129" i="1"/>
  <c r="CX129" i="1" s="1"/>
  <c r="CT129" i="1"/>
  <c r="CU129" i="1" s="1"/>
  <c r="CQ129" i="1"/>
  <c r="CR129" i="1" s="1"/>
  <c r="CN129" i="1"/>
  <c r="CO129" i="1" s="1"/>
  <c r="CK129" i="1"/>
  <c r="CL129" i="1" s="1"/>
  <c r="CH129" i="1"/>
  <c r="CI129" i="1" s="1"/>
  <c r="CE129" i="1"/>
  <c r="CF129" i="1" s="1"/>
  <c r="CB129" i="1"/>
  <c r="CC129" i="1" s="1"/>
  <c r="BY129" i="1"/>
  <c r="BZ129" i="1" s="1"/>
  <c r="BW129" i="1"/>
  <c r="BV129" i="1"/>
  <c r="BS129" i="1"/>
  <c r="BT129" i="1" s="1"/>
  <c r="BQ129" i="1"/>
  <c r="BP129" i="1"/>
  <c r="BM129" i="1"/>
  <c r="BN129" i="1" s="1"/>
  <c r="BJ129" i="1"/>
  <c r="BK129" i="1" s="1"/>
  <c r="BG129" i="1"/>
  <c r="BH129" i="1" s="1"/>
  <c r="BD129" i="1"/>
  <c r="BE129" i="1" s="1"/>
  <c r="BA129" i="1"/>
  <c r="BB129" i="1" s="1"/>
  <c r="AX129" i="1"/>
  <c r="AY129" i="1" s="1"/>
  <c r="AU129" i="1"/>
  <c r="AV129" i="1" s="1"/>
  <c r="AR129" i="1"/>
  <c r="AS129" i="1" s="1"/>
  <c r="AO129" i="1"/>
  <c r="AP129" i="1" s="1"/>
  <c r="AM129" i="1"/>
  <c r="AL129" i="1"/>
  <c r="AJ129" i="1"/>
  <c r="AI129" i="1"/>
  <c r="AG129" i="1"/>
  <c r="AF129" i="1"/>
  <c r="AC129" i="1"/>
  <c r="AD129" i="1" s="1"/>
  <c r="Z129" i="1"/>
  <c r="AA129" i="1" s="1"/>
  <c r="W129" i="1"/>
  <c r="X129" i="1" s="1"/>
  <c r="T129" i="1"/>
  <c r="U129" i="1" s="1"/>
  <c r="R129" i="1"/>
  <c r="O129" i="1"/>
  <c r="L129" i="1"/>
  <c r="I129" i="1"/>
  <c r="DO128" i="1"/>
  <c r="DP128" i="1" s="1"/>
  <c r="DM128" i="1"/>
  <c r="DL128" i="1"/>
  <c r="DI128" i="1"/>
  <c r="DJ128" i="1" s="1"/>
  <c r="DF128" i="1"/>
  <c r="DG128" i="1" s="1"/>
  <c r="DD128" i="1"/>
  <c r="DC128" i="1"/>
  <c r="CZ128" i="1"/>
  <c r="DA128" i="1" s="1"/>
  <c r="CW128" i="1"/>
  <c r="CX128" i="1" s="1"/>
  <c r="CU128" i="1"/>
  <c r="CT128" i="1"/>
  <c r="CR128" i="1"/>
  <c r="CQ128" i="1"/>
  <c r="CO128" i="1"/>
  <c r="CN128" i="1"/>
  <c r="CK128" i="1"/>
  <c r="CL128" i="1" s="1"/>
  <c r="CH128" i="1"/>
  <c r="CI128" i="1" s="1"/>
  <c r="CE128" i="1"/>
  <c r="CF128" i="1" s="1"/>
  <c r="CB128" i="1"/>
  <c r="CC128" i="1" s="1"/>
  <c r="BY128" i="1"/>
  <c r="BZ128" i="1" s="1"/>
  <c r="BW128" i="1"/>
  <c r="BV128" i="1"/>
  <c r="BT128" i="1"/>
  <c r="BS128" i="1"/>
  <c r="BQ128" i="1"/>
  <c r="BP128" i="1"/>
  <c r="BM128" i="1"/>
  <c r="BN128" i="1" s="1"/>
  <c r="BJ128" i="1"/>
  <c r="BK128" i="1" s="1"/>
  <c r="BG128" i="1"/>
  <c r="BH128" i="1" s="1"/>
  <c r="BD128" i="1"/>
  <c r="BE128" i="1" s="1"/>
  <c r="BA128" i="1"/>
  <c r="BB128" i="1" s="1"/>
  <c r="AX128" i="1"/>
  <c r="AY128" i="1" s="1"/>
  <c r="AV128" i="1"/>
  <c r="AU128" i="1"/>
  <c r="AS128" i="1"/>
  <c r="AR128" i="1"/>
  <c r="AO128" i="1"/>
  <c r="AP128" i="1" s="1"/>
  <c r="AL128" i="1"/>
  <c r="AM128" i="1" s="1"/>
  <c r="AJ128" i="1"/>
  <c r="AI128" i="1"/>
  <c r="AG128" i="1"/>
  <c r="AF128" i="1"/>
  <c r="AC128" i="1"/>
  <c r="AD128" i="1" s="1"/>
  <c r="Z128" i="1"/>
  <c r="AA128" i="1" s="1"/>
  <c r="W128" i="1"/>
  <c r="X128" i="1" s="1"/>
  <c r="U128" i="1"/>
  <c r="T128" i="1"/>
  <c r="R128" i="1"/>
  <c r="O128" i="1"/>
  <c r="L128" i="1"/>
  <c r="I128" i="1"/>
  <c r="DO127" i="1"/>
  <c r="DP127" i="1" s="1"/>
  <c r="DL127" i="1"/>
  <c r="DM127" i="1" s="1"/>
  <c r="DI127" i="1"/>
  <c r="DJ127" i="1" s="1"/>
  <c r="DF127" i="1"/>
  <c r="DG127" i="1" s="1"/>
  <c r="DC127" i="1"/>
  <c r="DD127" i="1" s="1"/>
  <c r="CZ127" i="1"/>
  <c r="DA127" i="1" s="1"/>
  <c r="CW127" i="1"/>
  <c r="CX127" i="1" s="1"/>
  <c r="CT127" i="1"/>
  <c r="CU127" i="1" s="1"/>
  <c r="CR127" i="1"/>
  <c r="CQ127" i="1"/>
  <c r="CO127" i="1"/>
  <c r="CN127" i="1"/>
  <c r="CK127" i="1"/>
  <c r="CL127" i="1" s="1"/>
  <c r="CH127" i="1"/>
  <c r="CI127" i="1" s="1"/>
  <c r="CE127" i="1"/>
  <c r="CF127" i="1" s="1"/>
  <c r="CB127" i="1"/>
  <c r="CC127" i="1" s="1"/>
  <c r="BY127" i="1"/>
  <c r="BZ127" i="1" s="1"/>
  <c r="BW127" i="1"/>
  <c r="BV127" i="1"/>
  <c r="BT127" i="1"/>
  <c r="BS127" i="1"/>
  <c r="BP127" i="1"/>
  <c r="BQ127" i="1" s="1"/>
  <c r="BM127" i="1"/>
  <c r="BN127" i="1" s="1"/>
  <c r="BK127" i="1"/>
  <c r="BJ127" i="1"/>
  <c r="BG127" i="1"/>
  <c r="BH127" i="1" s="1"/>
  <c r="BE127" i="1"/>
  <c r="BD127" i="1"/>
  <c r="BA127" i="1"/>
  <c r="BB127" i="1" s="1"/>
  <c r="AX127" i="1"/>
  <c r="AY127" i="1" s="1"/>
  <c r="AV127" i="1"/>
  <c r="AU127" i="1"/>
  <c r="AS127" i="1"/>
  <c r="AR127" i="1"/>
  <c r="AO127" i="1"/>
  <c r="AP127" i="1" s="1"/>
  <c r="AL127" i="1"/>
  <c r="AM127" i="1" s="1"/>
  <c r="AI127" i="1"/>
  <c r="AJ127" i="1" s="1"/>
  <c r="AG127" i="1"/>
  <c r="AF127" i="1"/>
  <c r="AC127" i="1"/>
  <c r="AD127" i="1" s="1"/>
  <c r="AA127" i="1"/>
  <c r="Z127" i="1"/>
  <c r="W127" i="1"/>
  <c r="X127" i="1" s="1"/>
  <c r="T127" i="1"/>
  <c r="U127" i="1" s="1"/>
  <c r="R127" i="1"/>
  <c r="O127" i="1"/>
  <c r="L127" i="1"/>
  <c r="I127" i="1"/>
  <c r="DO126" i="1"/>
  <c r="DP126" i="1" s="1"/>
  <c r="DL126" i="1"/>
  <c r="DM126" i="1" s="1"/>
  <c r="DI126" i="1"/>
  <c r="DJ126" i="1" s="1"/>
  <c r="DF126" i="1"/>
  <c r="DG126" i="1" s="1"/>
  <c r="DD126" i="1"/>
  <c r="DC126" i="1"/>
  <c r="DA126" i="1"/>
  <c r="CZ126" i="1"/>
  <c r="CW126" i="1"/>
  <c r="CX126" i="1" s="1"/>
  <c r="CT126" i="1"/>
  <c r="CU126" i="1" s="1"/>
  <c r="CQ126" i="1"/>
  <c r="CR126" i="1" s="1"/>
  <c r="CO126" i="1"/>
  <c r="CN126" i="1"/>
  <c r="CK126" i="1"/>
  <c r="CL126" i="1" s="1"/>
  <c r="CH126" i="1"/>
  <c r="CI126" i="1" s="1"/>
  <c r="CE126" i="1"/>
  <c r="CF126" i="1" s="1"/>
  <c r="CB126" i="1"/>
  <c r="CC126" i="1" s="1"/>
  <c r="BY126" i="1"/>
  <c r="BZ126" i="1" s="1"/>
  <c r="BW126" i="1"/>
  <c r="BV126" i="1"/>
  <c r="BS126" i="1"/>
  <c r="BT126" i="1" s="1"/>
  <c r="BP126" i="1"/>
  <c r="BQ126" i="1" s="1"/>
  <c r="BM126" i="1"/>
  <c r="BN126" i="1" s="1"/>
  <c r="BJ126" i="1"/>
  <c r="BK126" i="1" s="1"/>
  <c r="BG126" i="1"/>
  <c r="BH126" i="1" s="1"/>
  <c r="BD126" i="1"/>
  <c r="BE126" i="1" s="1"/>
  <c r="BA126" i="1"/>
  <c r="BB126" i="1" s="1"/>
  <c r="AX126" i="1"/>
  <c r="AY126" i="1" s="1"/>
  <c r="AU126" i="1"/>
  <c r="AV126" i="1" s="1"/>
  <c r="AR126" i="1"/>
  <c r="AS126" i="1" s="1"/>
  <c r="AO126" i="1"/>
  <c r="AP126" i="1" s="1"/>
  <c r="AL126" i="1"/>
  <c r="AM126" i="1" s="1"/>
  <c r="AI126" i="1"/>
  <c r="AJ126" i="1" s="1"/>
  <c r="AF126" i="1"/>
  <c r="AG126" i="1" s="1"/>
  <c r="AC126" i="1"/>
  <c r="AD126" i="1" s="1"/>
  <c r="Z126" i="1"/>
  <c r="AA126" i="1" s="1"/>
  <c r="W126" i="1"/>
  <c r="X126" i="1" s="1"/>
  <c r="T126" i="1"/>
  <c r="U126" i="1" s="1"/>
  <c r="R126" i="1"/>
  <c r="O126" i="1"/>
  <c r="L126" i="1"/>
  <c r="I126" i="1"/>
  <c r="DO125" i="1"/>
  <c r="DP125" i="1" s="1"/>
  <c r="DL125" i="1"/>
  <c r="DM125" i="1" s="1"/>
  <c r="DI125" i="1"/>
  <c r="DJ125" i="1" s="1"/>
  <c r="DF125" i="1"/>
  <c r="DG125" i="1" s="1"/>
  <c r="DC125" i="1"/>
  <c r="DD125" i="1" s="1"/>
  <c r="DA125" i="1"/>
  <c r="CZ125" i="1"/>
  <c r="CW125" i="1"/>
  <c r="CX125" i="1" s="1"/>
  <c r="CT125" i="1"/>
  <c r="CU125" i="1" s="1"/>
  <c r="CR125" i="1"/>
  <c r="CQ125" i="1"/>
  <c r="CN125" i="1"/>
  <c r="CO125" i="1" s="1"/>
  <c r="CK125" i="1"/>
  <c r="CL125" i="1" s="1"/>
  <c r="CH125" i="1"/>
  <c r="CI125" i="1" s="1"/>
  <c r="CE125" i="1"/>
  <c r="CF125" i="1" s="1"/>
  <c r="CB125" i="1"/>
  <c r="CC125" i="1" s="1"/>
  <c r="BY125" i="1"/>
  <c r="BZ125" i="1" s="1"/>
  <c r="BV125" i="1"/>
  <c r="BW125" i="1" s="1"/>
  <c r="BT125" i="1"/>
  <c r="BS125" i="1"/>
  <c r="BP125" i="1"/>
  <c r="BQ125" i="1" s="1"/>
  <c r="BM125" i="1"/>
  <c r="BN125" i="1" s="1"/>
  <c r="BK125" i="1"/>
  <c r="BJ125" i="1"/>
  <c r="BG125" i="1"/>
  <c r="BH125" i="1" s="1"/>
  <c r="BD125" i="1"/>
  <c r="BE125" i="1" s="1"/>
  <c r="BA125" i="1"/>
  <c r="BB125" i="1" s="1"/>
  <c r="AX125" i="1"/>
  <c r="AY125" i="1" s="1"/>
  <c r="AV125" i="1"/>
  <c r="AU125" i="1"/>
  <c r="AR125" i="1"/>
  <c r="AS125" i="1" s="1"/>
  <c r="AO125" i="1"/>
  <c r="AP125" i="1" s="1"/>
  <c r="AM125" i="1"/>
  <c r="AL125" i="1"/>
  <c r="AJ125" i="1"/>
  <c r="AI125" i="1"/>
  <c r="AG125" i="1"/>
  <c r="AF125" i="1"/>
  <c r="AC125" i="1"/>
  <c r="AD125" i="1" s="1"/>
  <c r="Z125" i="1"/>
  <c r="AA125" i="1" s="1"/>
  <c r="W125" i="1"/>
  <c r="X125" i="1" s="1"/>
  <c r="T125" i="1"/>
  <c r="U125" i="1" s="1"/>
  <c r="R125" i="1"/>
  <c r="O125" i="1"/>
  <c r="L125" i="1"/>
  <c r="I125" i="1"/>
  <c r="DO124" i="1"/>
  <c r="DP124" i="1" s="1"/>
  <c r="DL124" i="1"/>
  <c r="DM124" i="1" s="1"/>
  <c r="DI124" i="1"/>
  <c r="DJ124" i="1" s="1"/>
  <c r="DF124" i="1"/>
  <c r="DG124" i="1" s="1"/>
  <c r="DD124" i="1"/>
  <c r="DC124" i="1"/>
  <c r="CZ124" i="1"/>
  <c r="DA124" i="1" s="1"/>
  <c r="CW124" i="1"/>
  <c r="CX124" i="1" s="1"/>
  <c r="CT124" i="1"/>
  <c r="CU124" i="1" s="1"/>
  <c r="CQ124" i="1"/>
  <c r="CR124" i="1" s="1"/>
  <c r="CN124" i="1"/>
  <c r="CO124" i="1" s="1"/>
  <c r="CK124" i="1"/>
  <c r="CL124" i="1" s="1"/>
  <c r="CH124" i="1"/>
  <c r="CI124" i="1" s="1"/>
  <c r="CE124" i="1"/>
  <c r="CF124" i="1" s="1"/>
  <c r="CB124" i="1"/>
  <c r="CC124" i="1" s="1"/>
  <c r="BY124" i="1"/>
  <c r="BZ124" i="1" s="1"/>
  <c r="BV124" i="1"/>
  <c r="BW124" i="1" s="1"/>
  <c r="BT124" i="1"/>
  <c r="BS124" i="1"/>
  <c r="BP124" i="1"/>
  <c r="BQ124" i="1" s="1"/>
  <c r="BM124" i="1"/>
  <c r="BN124" i="1" s="1"/>
  <c r="BK124" i="1"/>
  <c r="BJ124" i="1"/>
  <c r="BG124" i="1"/>
  <c r="BH124" i="1" s="1"/>
  <c r="BE124" i="1"/>
  <c r="BD124" i="1"/>
  <c r="BA124" i="1"/>
  <c r="BB124" i="1" s="1"/>
  <c r="AX124" i="1"/>
  <c r="AY124" i="1" s="1"/>
  <c r="AU124" i="1"/>
  <c r="AV124" i="1" s="1"/>
  <c r="AR124" i="1"/>
  <c r="AS124" i="1" s="1"/>
  <c r="AO124" i="1"/>
  <c r="AP124" i="1" s="1"/>
  <c r="AL124" i="1"/>
  <c r="AM124" i="1" s="1"/>
  <c r="AJ124" i="1"/>
  <c r="AI124" i="1"/>
  <c r="AF124" i="1"/>
  <c r="AG124" i="1" s="1"/>
  <c r="AC124" i="1"/>
  <c r="AD124" i="1" s="1"/>
  <c r="Z124" i="1"/>
  <c r="AA124" i="1" s="1"/>
  <c r="W124" i="1"/>
  <c r="X124" i="1" s="1"/>
  <c r="T124" i="1"/>
  <c r="U124" i="1" s="1"/>
  <c r="L124" i="1"/>
  <c r="I124" i="1"/>
  <c r="DO123" i="1"/>
  <c r="DP123" i="1" s="1"/>
  <c r="DL123" i="1"/>
  <c r="DM123" i="1" s="1"/>
  <c r="DI123" i="1"/>
  <c r="DJ123" i="1" s="1"/>
  <c r="DF123" i="1"/>
  <c r="DG123" i="1" s="1"/>
  <c r="DC123" i="1"/>
  <c r="DD123" i="1" s="1"/>
  <c r="CZ123" i="1"/>
  <c r="DA123" i="1" s="1"/>
  <c r="CX123" i="1"/>
  <c r="CW123" i="1"/>
  <c r="CT123" i="1"/>
  <c r="CU123" i="1" s="1"/>
  <c r="CQ123" i="1"/>
  <c r="CR123" i="1" s="1"/>
  <c r="CN123" i="1"/>
  <c r="CO123" i="1" s="1"/>
  <c r="CK123" i="1"/>
  <c r="CL123" i="1" s="1"/>
  <c r="CH123" i="1"/>
  <c r="CI123" i="1" s="1"/>
  <c r="CE123" i="1"/>
  <c r="CF123" i="1" s="1"/>
  <c r="CB123" i="1"/>
  <c r="CC123" i="1" s="1"/>
  <c r="BZ123" i="1"/>
  <c r="BY123" i="1"/>
  <c r="BV123" i="1"/>
  <c r="BW123" i="1" s="1"/>
  <c r="BS123" i="1"/>
  <c r="BT123" i="1" s="1"/>
  <c r="BQ123" i="1"/>
  <c r="BP123" i="1"/>
  <c r="BN123" i="1"/>
  <c r="BM123" i="1"/>
  <c r="BJ123" i="1"/>
  <c r="BK123" i="1" s="1"/>
  <c r="BG123" i="1"/>
  <c r="BH123" i="1" s="1"/>
  <c r="BD123" i="1"/>
  <c r="BE123" i="1" s="1"/>
  <c r="BB123" i="1"/>
  <c r="BA123" i="1"/>
  <c r="AX123" i="1"/>
  <c r="AY123" i="1" s="1"/>
  <c r="AU123" i="1"/>
  <c r="AV123" i="1" s="1"/>
  <c r="AR123" i="1"/>
  <c r="AS123" i="1" s="1"/>
  <c r="AO123" i="1"/>
  <c r="AP123" i="1" s="1"/>
  <c r="AL123" i="1"/>
  <c r="AM123" i="1" s="1"/>
  <c r="AI123" i="1"/>
  <c r="AJ123" i="1" s="1"/>
  <c r="AG123" i="1"/>
  <c r="AF123" i="1"/>
  <c r="AC123" i="1"/>
  <c r="AD123" i="1" s="1"/>
  <c r="Z123" i="1"/>
  <c r="AA123" i="1" s="1"/>
  <c r="W123" i="1"/>
  <c r="X123" i="1" s="1"/>
  <c r="T123" i="1"/>
  <c r="U123" i="1" s="1"/>
  <c r="I123" i="1"/>
  <c r="DO122" i="1"/>
  <c r="DP122" i="1" s="1"/>
  <c r="DL122" i="1"/>
  <c r="DM122" i="1" s="1"/>
  <c r="DI122" i="1"/>
  <c r="DJ122" i="1" s="1"/>
  <c r="DF122" i="1"/>
  <c r="DG122" i="1" s="1"/>
  <c r="DC122" i="1"/>
  <c r="DD122" i="1" s="1"/>
  <c r="CZ122" i="1"/>
  <c r="DA122" i="1" s="1"/>
  <c r="CW122" i="1"/>
  <c r="CX122" i="1" s="1"/>
  <c r="CT122" i="1"/>
  <c r="CU122" i="1" s="1"/>
  <c r="CQ122" i="1"/>
  <c r="CR122" i="1" s="1"/>
  <c r="CN122" i="1"/>
  <c r="CO122" i="1" s="1"/>
  <c r="CK122" i="1"/>
  <c r="CL122" i="1" s="1"/>
  <c r="CH122" i="1"/>
  <c r="CI122" i="1" s="1"/>
  <c r="CE122" i="1"/>
  <c r="CF122" i="1" s="1"/>
  <c r="CB122" i="1"/>
  <c r="CC122" i="1" s="1"/>
  <c r="BY122" i="1"/>
  <c r="BZ122" i="1" s="1"/>
  <c r="BV122" i="1"/>
  <c r="BW122" i="1" s="1"/>
  <c r="BS122" i="1"/>
  <c r="BT122" i="1" s="1"/>
  <c r="BP122" i="1"/>
  <c r="BQ122" i="1" s="1"/>
  <c r="BM122" i="1"/>
  <c r="BN122" i="1" s="1"/>
  <c r="BJ122" i="1"/>
  <c r="BK122" i="1" s="1"/>
  <c r="BG122" i="1"/>
  <c r="BH122" i="1" s="1"/>
  <c r="BD122" i="1"/>
  <c r="BE122" i="1" s="1"/>
  <c r="BA122" i="1"/>
  <c r="BB122" i="1" s="1"/>
  <c r="AX122" i="1"/>
  <c r="AY122" i="1" s="1"/>
  <c r="AU122" i="1"/>
  <c r="AV122" i="1" s="1"/>
  <c r="AR122" i="1"/>
  <c r="AS122" i="1" s="1"/>
  <c r="AO122" i="1"/>
  <c r="AP122" i="1" s="1"/>
  <c r="AM122" i="1"/>
  <c r="AL122" i="1"/>
  <c r="AI122" i="1"/>
  <c r="AJ122" i="1" s="1"/>
  <c r="AF122" i="1"/>
  <c r="AG122" i="1" s="1"/>
  <c r="AC122" i="1"/>
  <c r="AD122" i="1" s="1"/>
  <c r="Z122" i="1"/>
  <c r="AA122" i="1" s="1"/>
  <c r="W122" i="1"/>
  <c r="X122" i="1" s="1"/>
  <c r="T122" i="1"/>
  <c r="U122" i="1" s="1"/>
  <c r="R122" i="1"/>
  <c r="O122" i="1"/>
  <c r="L122" i="1"/>
  <c r="I122" i="1"/>
  <c r="DO121" i="1"/>
  <c r="DP121" i="1" s="1"/>
  <c r="DL121" i="1"/>
  <c r="DM121" i="1" s="1"/>
  <c r="DI121" i="1"/>
  <c r="DJ121" i="1" s="1"/>
  <c r="DG121" i="1"/>
  <c r="DF121" i="1"/>
  <c r="DC121" i="1"/>
  <c r="DD121" i="1" s="1"/>
  <c r="CZ121" i="1"/>
  <c r="DA121" i="1" s="1"/>
  <c r="CW121" i="1"/>
  <c r="CX121" i="1" s="1"/>
  <c r="CT121" i="1"/>
  <c r="CU121" i="1" s="1"/>
  <c r="CQ121" i="1"/>
  <c r="CR121" i="1" s="1"/>
  <c r="CN121" i="1"/>
  <c r="CO121" i="1" s="1"/>
  <c r="CK121" i="1"/>
  <c r="CL121" i="1" s="1"/>
  <c r="CI121" i="1"/>
  <c r="CH121" i="1"/>
  <c r="CE121" i="1"/>
  <c r="CF121" i="1" s="1"/>
  <c r="CB121" i="1"/>
  <c r="CC121" i="1" s="1"/>
  <c r="BY121" i="1"/>
  <c r="BZ121" i="1" s="1"/>
  <c r="BV121" i="1"/>
  <c r="BW121" i="1" s="1"/>
  <c r="BS121" i="1"/>
  <c r="BT121" i="1" s="1"/>
  <c r="BP121" i="1"/>
  <c r="BQ121" i="1" s="1"/>
  <c r="BM121" i="1"/>
  <c r="BN121" i="1" s="1"/>
  <c r="BK121" i="1"/>
  <c r="BJ121" i="1"/>
  <c r="BG121" i="1"/>
  <c r="BH121" i="1" s="1"/>
  <c r="BD121" i="1"/>
  <c r="BE121" i="1" s="1"/>
  <c r="BA121" i="1"/>
  <c r="BB121" i="1" s="1"/>
  <c r="AY121" i="1"/>
  <c r="AX121" i="1"/>
  <c r="AU121" i="1"/>
  <c r="AV121" i="1" s="1"/>
  <c r="AR121" i="1"/>
  <c r="AS121" i="1" s="1"/>
  <c r="AO121" i="1"/>
  <c r="AP121" i="1" s="1"/>
  <c r="AL121" i="1"/>
  <c r="AM121" i="1" s="1"/>
  <c r="AI121" i="1"/>
  <c r="AJ121" i="1" s="1"/>
  <c r="AF121" i="1"/>
  <c r="AG121" i="1" s="1"/>
  <c r="AC121" i="1"/>
  <c r="AD121" i="1" s="1"/>
  <c r="AA121" i="1"/>
  <c r="Z121" i="1"/>
  <c r="W121" i="1"/>
  <c r="X121" i="1" s="1"/>
  <c r="T121" i="1"/>
  <c r="U121" i="1" s="1"/>
  <c r="R121" i="1"/>
  <c r="O121" i="1"/>
  <c r="L121" i="1"/>
  <c r="I121" i="1"/>
  <c r="DO120" i="1"/>
  <c r="DP120" i="1" s="1"/>
  <c r="DL120" i="1"/>
  <c r="DM120" i="1" s="1"/>
  <c r="DI120" i="1"/>
  <c r="DJ120" i="1" s="1"/>
  <c r="DF120" i="1"/>
  <c r="DG120" i="1" s="1"/>
  <c r="DC120" i="1"/>
  <c r="DD120" i="1" s="1"/>
  <c r="CZ120" i="1"/>
  <c r="DA120" i="1" s="1"/>
  <c r="CX120" i="1"/>
  <c r="CW120" i="1"/>
  <c r="CT120" i="1"/>
  <c r="CU120" i="1" s="1"/>
  <c r="CQ120" i="1"/>
  <c r="CR120" i="1" s="1"/>
  <c r="CN120" i="1"/>
  <c r="CO120" i="1" s="1"/>
  <c r="CK120" i="1"/>
  <c r="CL120" i="1" s="1"/>
  <c r="CH120" i="1"/>
  <c r="CI120" i="1" s="1"/>
  <c r="CE120" i="1"/>
  <c r="CF120" i="1" s="1"/>
  <c r="CB120" i="1"/>
  <c r="CC120" i="1" s="1"/>
  <c r="BY120" i="1"/>
  <c r="BZ120" i="1" s="1"/>
  <c r="BV120" i="1"/>
  <c r="BW120" i="1" s="1"/>
  <c r="BS120" i="1"/>
  <c r="BT120" i="1" s="1"/>
  <c r="BP120" i="1"/>
  <c r="BQ120" i="1" s="1"/>
  <c r="BM120" i="1"/>
  <c r="BN120" i="1" s="1"/>
  <c r="BJ120" i="1"/>
  <c r="BK120" i="1" s="1"/>
  <c r="BG120" i="1"/>
  <c r="BH120" i="1" s="1"/>
  <c r="BD120" i="1"/>
  <c r="BE120" i="1" s="1"/>
  <c r="BB120" i="1"/>
  <c r="BA120" i="1"/>
  <c r="AX120" i="1"/>
  <c r="AY120" i="1" s="1"/>
  <c r="AU120" i="1"/>
  <c r="AV120" i="1" s="1"/>
  <c r="AR120" i="1"/>
  <c r="AS120" i="1" s="1"/>
  <c r="AO120" i="1"/>
  <c r="AP120" i="1" s="1"/>
  <c r="AM120" i="1"/>
  <c r="AL120" i="1"/>
  <c r="AI120" i="1"/>
  <c r="AJ120" i="1" s="1"/>
  <c r="AF120" i="1"/>
  <c r="AG120" i="1" s="1"/>
  <c r="AC120" i="1"/>
  <c r="AD120" i="1" s="1"/>
  <c r="Z120" i="1"/>
  <c r="AA120" i="1" s="1"/>
  <c r="W120" i="1"/>
  <c r="X120" i="1" s="1"/>
  <c r="T120" i="1"/>
  <c r="U120" i="1" s="1"/>
  <c r="R120" i="1"/>
  <c r="O120" i="1"/>
  <c r="L120" i="1"/>
  <c r="I120" i="1"/>
  <c r="DO119" i="1"/>
  <c r="DP119" i="1" s="1"/>
  <c r="DL119" i="1"/>
  <c r="DM119" i="1" s="1"/>
  <c r="DI119" i="1"/>
  <c r="DJ119" i="1" s="1"/>
  <c r="DG119" i="1"/>
  <c r="DF119" i="1"/>
  <c r="DC119" i="1"/>
  <c r="DD119" i="1" s="1"/>
  <c r="CZ119" i="1"/>
  <c r="DA119" i="1" s="1"/>
  <c r="CW119" i="1"/>
  <c r="CX119" i="1" s="1"/>
  <c r="CT119" i="1"/>
  <c r="CU119" i="1" s="1"/>
  <c r="CQ119" i="1"/>
  <c r="CR119" i="1" s="1"/>
  <c r="CN119" i="1"/>
  <c r="CO119" i="1" s="1"/>
  <c r="CK119" i="1"/>
  <c r="CL119" i="1" s="1"/>
  <c r="CH119" i="1"/>
  <c r="CI119" i="1" s="1"/>
  <c r="CE119" i="1"/>
  <c r="CF119" i="1" s="1"/>
  <c r="CB119" i="1"/>
  <c r="CC119" i="1" s="1"/>
  <c r="BY119" i="1"/>
  <c r="BZ119" i="1" s="1"/>
  <c r="BV119" i="1"/>
  <c r="BW119" i="1" s="1"/>
  <c r="BS119" i="1"/>
  <c r="BT119" i="1" s="1"/>
  <c r="BP119" i="1"/>
  <c r="BQ119" i="1" s="1"/>
  <c r="BN119" i="1"/>
  <c r="BM119" i="1"/>
  <c r="BJ119" i="1"/>
  <c r="BK119" i="1" s="1"/>
  <c r="BG119" i="1"/>
  <c r="BH119" i="1" s="1"/>
  <c r="BD119" i="1"/>
  <c r="BE119" i="1" s="1"/>
  <c r="BA119" i="1"/>
  <c r="BB119" i="1" s="1"/>
  <c r="AX119" i="1"/>
  <c r="AY119" i="1" s="1"/>
  <c r="AU119" i="1"/>
  <c r="AV119" i="1" s="1"/>
  <c r="AR119" i="1"/>
  <c r="AS119" i="1" s="1"/>
  <c r="AO119" i="1"/>
  <c r="AP119" i="1" s="1"/>
  <c r="AL119" i="1"/>
  <c r="AM119" i="1" s="1"/>
  <c r="AI119" i="1"/>
  <c r="AJ119" i="1" s="1"/>
  <c r="AF119" i="1"/>
  <c r="AG119" i="1" s="1"/>
  <c r="AC119" i="1"/>
  <c r="AD119" i="1" s="1"/>
  <c r="Z119" i="1"/>
  <c r="AA119" i="1" s="1"/>
  <c r="W119" i="1"/>
  <c r="X119" i="1" s="1"/>
  <c r="T119" i="1"/>
  <c r="U119" i="1" s="1"/>
  <c r="R119" i="1"/>
  <c r="O119" i="1"/>
  <c r="L119" i="1"/>
  <c r="I119" i="1"/>
  <c r="DO118" i="1"/>
  <c r="DP118" i="1" s="1"/>
  <c r="DL118" i="1"/>
  <c r="DM118" i="1" s="1"/>
  <c r="DI118" i="1"/>
  <c r="DJ118" i="1" s="1"/>
  <c r="DG118" i="1"/>
  <c r="DF118" i="1"/>
  <c r="DC118" i="1"/>
  <c r="DD118" i="1" s="1"/>
  <c r="CZ118" i="1"/>
  <c r="DA118" i="1" s="1"/>
  <c r="CW118" i="1"/>
  <c r="CX118" i="1" s="1"/>
  <c r="CT118" i="1"/>
  <c r="CU118" i="1" s="1"/>
  <c r="CQ118" i="1"/>
  <c r="CR118" i="1" s="1"/>
  <c r="CN118" i="1"/>
  <c r="CO118" i="1" s="1"/>
  <c r="CK118" i="1"/>
  <c r="CL118" i="1" s="1"/>
  <c r="CH118" i="1"/>
  <c r="CI118" i="1" s="1"/>
  <c r="CE118" i="1"/>
  <c r="CF118" i="1" s="1"/>
  <c r="CB118" i="1"/>
  <c r="CC118" i="1" s="1"/>
  <c r="BY118" i="1"/>
  <c r="BZ118" i="1" s="1"/>
  <c r="BV118" i="1"/>
  <c r="BW118" i="1" s="1"/>
  <c r="BS118" i="1"/>
  <c r="BT118" i="1" s="1"/>
  <c r="BP118" i="1"/>
  <c r="BQ118" i="1" s="1"/>
  <c r="BM118" i="1"/>
  <c r="BN118" i="1" s="1"/>
  <c r="BK118" i="1"/>
  <c r="BJ118" i="1"/>
  <c r="BG118" i="1"/>
  <c r="BH118" i="1" s="1"/>
  <c r="BD118" i="1"/>
  <c r="BE118" i="1" s="1"/>
  <c r="BA118" i="1"/>
  <c r="BB118" i="1" s="1"/>
  <c r="AY118" i="1"/>
  <c r="AX118" i="1"/>
  <c r="AU118" i="1"/>
  <c r="AV118" i="1" s="1"/>
  <c r="AR118" i="1"/>
  <c r="AS118" i="1" s="1"/>
  <c r="AO118" i="1"/>
  <c r="AP118" i="1" s="1"/>
  <c r="AL118" i="1"/>
  <c r="AM118" i="1" s="1"/>
  <c r="AI118" i="1"/>
  <c r="AJ118" i="1" s="1"/>
  <c r="AF118" i="1"/>
  <c r="AG118" i="1" s="1"/>
  <c r="AC118" i="1"/>
  <c r="AD118" i="1" s="1"/>
  <c r="AA118" i="1"/>
  <c r="Z118" i="1"/>
  <c r="W118" i="1"/>
  <c r="X118" i="1" s="1"/>
  <c r="T118" i="1"/>
  <c r="U118" i="1" s="1"/>
  <c r="R118" i="1"/>
  <c r="O118" i="1"/>
  <c r="L118" i="1"/>
  <c r="I118" i="1"/>
  <c r="DO117" i="1"/>
  <c r="DP117" i="1" s="1"/>
  <c r="DL117" i="1"/>
  <c r="DM117" i="1" s="1"/>
  <c r="DI117" i="1"/>
  <c r="DJ117" i="1" s="1"/>
  <c r="DF117" i="1"/>
  <c r="DG117" i="1" s="1"/>
  <c r="DC117" i="1"/>
  <c r="DD117" i="1" s="1"/>
  <c r="CZ117" i="1"/>
  <c r="DA117" i="1" s="1"/>
  <c r="CX117" i="1"/>
  <c r="CW117" i="1"/>
  <c r="CU117" i="1"/>
  <c r="CT117" i="1"/>
  <c r="CQ117" i="1"/>
  <c r="CR117" i="1" s="1"/>
  <c r="CN117" i="1"/>
  <c r="CO117" i="1" s="1"/>
  <c r="CK117" i="1"/>
  <c r="CL117" i="1" s="1"/>
  <c r="CH117" i="1"/>
  <c r="CI117" i="1" s="1"/>
  <c r="CE117" i="1"/>
  <c r="CF117" i="1" s="1"/>
  <c r="CB117" i="1"/>
  <c r="CC117" i="1" s="1"/>
  <c r="BY117" i="1"/>
  <c r="BZ117" i="1" s="1"/>
  <c r="BV117" i="1"/>
  <c r="BW117" i="1" s="1"/>
  <c r="BS117" i="1"/>
  <c r="BT117" i="1" s="1"/>
  <c r="BP117" i="1"/>
  <c r="BQ117" i="1" s="1"/>
  <c r="BM117" i="1"/>
  <c r="BN117" i="1" s="1"/>
  <c r="BK117" i="1"/>
  <c r="BJ117" i="1"/>
  <c r="BG117" i="1"/>
  <c r="BH117" i="1" s="1"/>
  <c r="BD117" i="1"/>
  <c r="BE117" i="1" s="1"/>
  <c r="BA117" i="1"/>
  <c r="BB117" i="1" s="1"/>
  <c r="AX117" i="1"/>
  <c r="AY117" i="1" s="1"/>
  <c r="AU117" i="1"/>
  <c r="AV117" i="1" s="1"/>
  <c r="AR117" i="1"/>
  <c r="AS117" i="1" s="1"/>
  <c r="AO117" i="1"/>
  <c r="AP117" i="1" s="1"/>
  <c r="AL117" i="1"/>
  <c r="AM117" i="1" s="1"/>
  <c r="AI117" i="1"/>
  <c r="AJ117" i="1" s="1"/>
  <c r="AF117" i="1"/>
  <c r="AG117" i="1" s="1"/>
  <c r="AC117" i="1"/>
  <c r="AD117" i="1" s="1"/>
  <c r="Z117" i="1"/>
  <c r="AA117" i="1" s="1"/>
  <c r="W117" i="1"/>
  <c r="X117" i="1" s="1"/>
  <c r="T117" i="1"/>
  <c r="U117" i="1" s="1"/>
  <c r="R117" i="1"/>
  <c r="O117" i="1"/>
  <c r="L117" i="1"/>
  <c r="I117" i="1"/>
  <c r="DO116" i="1"/>
  <c r="DP116" i="1" s="1"/>
  <c r="DL116" i="1"/>
  <c r="DM116" i="1" s="1"/>
  <c r="DJ116" i="1"/>
  <c r="DI116" i="1"/>
  <c r="DG116" i="1"/>
  <c r="DF116" i="1"/>
  <c r="DC116" i="1"/>
  <c r="DD116" i="1" s="1"/>
  <c r="CZ116" i="1"/>
  <c r="DA116" i="1" s="1"/>
  <c r="CW116" i="1"/>
  <c r="CX116" i="1" s="1"/>
  <c r="CU116" i="1"/>
  <c r="CT116" i="1"/>
  <c r="CQ116" i="1"/>
  <c r="CR116" i="1" s="1"/>
  <c r="CN116" i="1"/>
  <c r="CO116" i="1" s="1"/>
  <c r="CK116" i="1"/>
  <c r="CL116" i="1" s="1"/>
  <c r="CH116" i="1"/>
  <c r="CI116" i="1" s="1"/>
  <c r="CE116" i="1"/>
  <c r="CF116" i="1" s="1"/>
  <c r="CB116" i="1"/>
  <c r="CC116" i="1" s="1"/>
  <c r="BY116" i="1"/>
  <c r="BZ116" i="1" s="1"/>
  <c r="BW116" i="1"/>
  <c r="BV116" i="1"/>
  <c r="BS116" i="1"/>
  <c r="BT116" i="1" s="1"/>
  <c r="BP116" i="1"/>
  <c r="BQ116" i="1" s="1"/>
  <c r="BM116" i="1"/>
  <c r="BN116" i="1" s="1"/>
  <c r="BK116" i="1"/>
  <c r="BJ116" i="1"/>
  <c r="BG116" i="1"/>
  <c r="BH116" i="1" s="1"/>
  <c r="BD116" i="1"/>
  <c r="BE116" i="1" s="1"/>
  <c r="BA116" i="1"/>
  <c r="BB116" i="1" s="1"/>
  <c r="AX116" i="1"/>
  <c r="AY116" i="1" s="1"/>
  <c r="AU116" i="1"/>
  <c r="AV116" i="1" s="1"/>
  <c r="AR116" i="1"/>
  <c r="AS116" i="1" s="1"/>
  <c r="AO116" i="1"/>
  <c r="AP116" i="1" s="1"/>
  <c r="AL116" i="1"/>
  <c r="AM116" i="1" s="1"/>
  <c r="AI116" i="1"/>
  <c r="AJ116" i="1" s="1"/>
  <c r="AF116" i="1"/>
  <c r="AG116" i="1" s="1"/>
  <c r="AC116" i="1"/>
  <c r="AD116" i="1" s="1"/>
  <c r="AA116" i="1"/>
  <c r="Z116" i="1"/>
  <c r="W116" i="1"/>
  <c r="X116" i="1" s="1"/>
  <c r="T116" i="1"/>
  <c r="U116" i="1" s="1"/>
  <c r="R116" i="1"/>
  <c r="O116" i="1"/>
  <c r="L116" i="1"/>
  <c r="I116" i="1"/>
  <c r="DO115" i="1"/>
  <c r="DP115" i="1" s="1"/>
  <c r="DL115" i="1"/>
  <c r="DM115" i="1" s="1"/>
  <c r="DI115" i="1"/>
  <c r="DJ115" i="1" s="1"/>
  <c r="DF115" i="1"/>
  <c r="DG115" i="1" s="1"/>
  <c r="DC115" i="1"/>
  <c r="DD115" i="1" s="1"/>
  <c r="CZ115" i="1"/>
  <c r="DA115" i="1" s="1"/>
  <c r="CW115" i="1"/>
  <c r="CX115" i="1" s="1"/>
  <c r="CT115" i="1"/>
  <c r="CU115" i="1" s="1"/>
  <c r="CQ115" i="1"/>
  <c r="CR115" i="1" s="1"/>
  <c r="CN115" i="1"/>
  <c r="CO115" i="1" s="1"/>
  <c r="CK115" i="1"/>
  <c r="CL115" i="1" s="1"/>
  <c r="CH115" i="1"/>
  <c r="CI115" i="1" s="1"/>
  <c r="CE115" i="1"/>
  <c r="CF115" i="1" s="1"/>
  <c r="CB115" i="1"/>
  <c r="CC115" i="1" s="1"/>
  <c r="BZ115" i="1"/>
  <c r="BY115" i="1"/>
  <c r="BV115" i="1"/>
  <c r="BW115" i="1" s="1"/>
  <c r="BS115" i="1"/>
  <c r="BT115" i="1" s="1"/>
  <c r="BP115" i="1"/>
  <c r="BQ115" i="1" s="1"/>
  <c r="BM115" i="1"/>
  <c r="BN115" i="1" s="1"/>
  <c r="BK115" i="1"/>
  <c r="BJ115" i="1"/>
  <c r="BG115" i="1"/>
  <c r="BH115" i="1" s="1"/>
  <c r="BD115" i="1"/>
  <c r="BE115" i="1" s="1"/>
  <c r="BA115" i="1"/>
  <c r="BB115" i="1" s="1"/>
  <c r="AX115" i="1"/>
  <c r="AY115" i="1" s="1"/>
  <c r="AU115" i="1"/>
  <c r="AV115" i="1" s="1"/>
  <c r="AR115" i="1"/>
  <c r="AS115" i="1" s="1"/>
  <c r="AO115" i="1"/>
  <c r="AP115" i="1" s="1"/>
  <c r="AL115" i="1"/>
  <c r="AM115" i="1" s="1"/>
  <c r="AI115" i="1"/>
  <c r="AJ115" i="1" s="1"/>
  <c r="AF115" i="1"/>
  <c r="AG115" i="1" s="1"/>
  <c r="AC115" i="1"/>
  <c r="AD115" i="1" s="1"/>
  <c r="Z115" i="1"/>
  <c r="AA115" i="1" s="1"/>
  <c r="W115" i="1"/>
  <c r="X115" i="1" s="1"/>
  <c r="T115" i="1"/>
  <c r="U115" i="1" s="1"/>
  <c r="R115" i="1"/>
  <c r="O115" i="1"/>
  <c r="L115" i="1"/>
  <c r="I115" i="1"/>
  <c r="DO114" i="1"/>
  <c r="DP114" i="1" s="1"/>
  <c r="DL114" i="1"/>
  <c r="DM114" i="1" s="1"/>
  <c r="DI114" i="1"/>
  <c r="DJ114" i="1" s="1"/>
  <c r="DF114" i="1"/>
  <c r="DG114" i="1" s="1"/>
  <c r="DC114" i="1"/>
  <c r="DD114" i="1" s="1"/>
  <c r="CZ114" i="1"/>
  <c r="DA114" i="1" s="1"/>
  <c r="CW114" i="1"/>
  <c r="CX114" i="1" s="1"/>
  <c r="CT114" i="1"/>
  <c r="CU114" i="1" s="1"/>
  <c r="CQ114" i="1"/>
  <c r="CR114" i="1" s="1"/>
  <c r="CN114" i="1"/>
  <c r="CO114" i="1" s="1"/>
  <c r="CK114" i="1"/>
  <c r="CL114" i="1" s="1"/>
  <c r="CH114" i="1"/>
  <c r="CI114" i="1" s="1"/>
  <c r="CE114" i="1"/>
  <c r="CF114" i="1" s="1"/>
  <c r="CB114" i="1"/>
  <c r="CC114" i="1" s="1"/>
  <c r="BY114" i="1"/>
  <c r="BZ114" i="1" s="1"/>
  <c r="BV114" i="1"/>
  <c r="BW114" i="1" s="1"/>
  <c r="BS114" i="1"/>
  <c r="BT114" i="1" s="1"/>
  <c r="BP114" i="1"/>
  <c r="BQ114" i="1" s="1"/>
  <c r="BM114" i="1"/>
  <c r="BN114" i="1" s="1"/>
  <c r="BK114" i="1"/>
  <c r="BJ114" i="1"/>
  <c r="BG114" i="1"/>
  <c r="BH114" i="1" s="1"/>
  <c r="BD114" i="1"/>
  <c r="BE114" i="1" s="1"/>
  <c r="BA114" i="1"/>
  <c r="BB114" i="1" s="1"/>
  <c r="AX114" i="1"/>
  <c r="AY114" i="1" s="1"/>
  <c r="AU114" i="1"/>
  <c r="AV114" i="1" s="1"/>
  <c r="AR114" i="1"/>
  <c r="AS114" i="1" s="1"/>
  <c r="AP114" i="1"/>
  <c r="AO114" i="1"/>
  <c r="AL114" i="1"/>
  <c r="AM114" i="1" s="1"/>
  <c r="AI114" i="1"/>
  <c r="AJ114" i="1" s="1"/>
  <c r="AF114" i="1"/>
  <c r="AG114" i="1" s="1"/>
  <c r="AC114" i="1"/>
  <c r="AD114" i="1" s="1"/>
  <c r="AA114" i="1"/>
  <c r="Z114" i="1"/>
  <c r="W114" i="1"/>
  <c r="X114" i="1" s="1"/>
  <c r="T114" i="1"/>
  <c r="U114" i="1" s="1"/>
  <c r="R114" i="1"/>
  <c r="O114" i="1"/>
  <c r="L114" i="1"/>
  <c r="I114" i="1"/>
  <c r="DO113" i="1"/>
  <c r="DP113" i="1" s="1"/>
  <c r="DL113" i="1"/>
  <c r="DM113" i="1" s="1"/>
  <c r="DI113" i="1"/>
  <c r="DJ113" i="1" s="1"/>
  <c r="DF113" i="1"/>
  <c r="DG113" i="1" s="1"/>
  <c r="DC113" i="1"/>
  <c r="DD113" i="1" s="1"/>
  <c r="CZ113" i="1"/>
  <c r="DA113" i="1" s="1"/>
  <c r="CW113" i="1"/>
  <c r="CX113" i="1" s="1"/>
  <c r="CT113" i="1"/>
  <c r="CU113" i="1" s="1"/>
  <c r="CQ113" i="1"/>
  <c r="CR113" i="1" s="1"/>
  <c r="CN113" i="1"/>
  <c r="CO113" i="1" s="1"/>
  <c r="CK113" i="1"/>
  <c r="CL113" i="1" s="1"/>
  <c r="CH113" i="1"/>
  <c r="CI113" i="1" s="1"/>
  <c r="CE113" i="1"/>
  <c r="CF113" i="1" s="1"/>
  <c r="CB113" i="1"/>
  <c r="CC113" i="1" s="1"/>
  <c r="BY113" i="1"/>
  <c r="BZ113" i="1" s="1"/>
  <c r="BV113" i="1"/>
  <c r="BW113" i="1" s="1"/>
  <c r="BS113" i="1"/>
  <c r="BT113" i="1" s="1"/>
  <c r="BP113" i="1"/>
  <c r="BQ113" i="1" s="1"/>
  <c r="BM113" i="1"/>
  <c r="BN113" i="1" s="1"/>
  <c r="BJ113" i="1"/>
  <c r="BK113" i="1" s="1"/>
  <c r="BG113" i="1"/>
  <c r="BH113" i="1" s="1"/>
  <c r="BD113" i="1"/>
  <c r="BE113" i="1" s="1"/>
  <c r="BA113" i="1"/>
  <c r="BB113" i="1" s="1"/>
  <c r="AX113" i="1"/>
  <c r="AY113" i="1" s="1"/>
  <c r="AU113" i="1"/>
  <c r="AV113" i="1" s="1"/>
  <c r="AR113" i="1"/>
  <c r="AS113" i="1" s="1"/>
  <c r="AO113" i="1"/>
  <c r="AP113" i="1" s="1"/>
  <c r="AL113" i="1"/>
  <c r="AM113" i="1" s="1"/>
  <c r="AI113" i="1"/>
  <c r="AJ113" i="1" s="1"/>
  <c r="AF113" i="1"/>
  <c r="AG113" i="1" s="1"/>
  <c r="AC113" i="1"/>
  <c r="AD113" i="1" s="1"/>
  <c r="Z113" i="1"/>
  <c r="AA113" i="1" s="1"/>
  <c r="W113" i="1"/>
  <c r="X113" i="1" s="1"/>
  <c r="T113" i="1"/>
  <c r="U113" i="1" s="1"/>
  <c r="R113" i="1"/>
  <c r="O113" i="1"/>
  <c r="L113" i="1"/>
  <c r="I113" i="1"/>
  <c r="DO112" i="1"/>
  <c r="DP112" i="1" s="1"/>
  <c r="DL112" i="1"/>
  <c r="DM112" i="1" s="1"/>
  <c r="DI112" i="1"/>
  <c r="DJ112" i="1" s="1"/>
  <c r="DF112" i="1"/>
  <c r="DG112" i="1" s="1"/>
  <c r="DC112" i="1"/>
  <c r="DD112" i="1" s="1"/>
  <c r="CZ112" i="1"/>
  <c r="DA112" i="1" s="1"/>
  <c r="CW112" i="1"/>
  <c r="CX112" i="1" s="1"/>
  <c r="CT112" i="1"/>
  <c r="CU112" i="1" s="1"/>
  <c r="CQ112" i="1"/>
  <c r="CR112" i="1" s="1"/>
  <c r="CN112" i="1"/>
  <c r="CO112" i="1" s="1"/>
  <c r="CK112" i="1"/>
  <c r="CL112" i="1" s="1"/>
  <c r="CI112" i="1"/>
  <c r="CH112" i="1"/>
  <c r="CE112" i="1"/>
  <c r="CF112" i="1" s="1"/>
  <c r="CB112" i="1"/>
  <c r="CC112" i="1" s="1"/>
  <c r="BY112" i="1"/>
  <c r="BZ112" i="1" s="1"/>
  <c r="BV112" i="1"/>
  <c r="BW112" i="1" s="1"/>
  <c r="BS112" i="1"/>
  <c r="BT112" i="1" s="1"/>
  <c r="BP112" i="1"/>
  <c r="BQ112" i="1" s="1"/>
  <c r="BN112" i="1"/>
  <c r="BM112" i="1"/>
  <c r="BJ112" i="1"/>
  <c r="BK112" i="1" s="1"/>
  <c r="BG112" i="1"/>
  <c r="BH112" i="1" s="1"/>
  <c r="BD112" i="1"/>
  <c r="BE112" i="1" s="1"/>
  <c r="BA112" i="1"/>
  <c r="BB112" i="1" s="1"/>
  <c r="AX112" i="1"/>
  <c r="AY112" i="1" s="1"/>
  <c r="AU112" i="1"/>
  <c r="AV112" i="1" s="1"/>
  <c r="AR112" i="1"/>
  <c r="AS112" i="1" s="1"/>
  <c r="AO112" i="1"/>
  <c r="AP112" i="1" s="1"/>
  <c r="AM112" i="1"/>
  <c r="AL112" i="1"/>
  <c r="AI112" i="1"/>
  <c r="AJ112" i="1" s="1"/>
  <c r="AF112" i="1"/>
  <c r="AG112" i="1" s="1"/>
  <c r="AC112" i="1"/>
  <c r="AD112" i="1" s="1"/>
  <c r="Z112" i="1"/>
  <c r="AA112" i="1" s="1"/>
  <c r="W112" i="1"/>
  <c r="X112" i="1" s="1"/>
  <c r="T112" i="1"/>
  <c r="U112" i="1" s="1"/>
  <c r="O112" i="1"/>
  <c r="L112" i="1"/>
  <c r="I112" i="1"/>
  <c r="DO111" i="1"/>
  <c r="DP111" i="1" s="1"/>
  <c r="DL111" i="1"/>
  <c r="DM111" i="1" s="1"/>
  <c r="DI111" i="1"/>
  <c r="DJ111" i="1" s="1"/>
  <c r="DG111" i="1"/>
  <c r="DF111" i="1"/>
  <c r="DC111" i="1"/>
  <c r="DD111" i="1" s="1"/>
  <c r="CZ111" i="1"/>
  <c r="DA111" i="1" s="1"/>
  <c r="CW111" i="1"/>
  <c r="CX111" i="1" s="1"/>
  <c r="CT111" i="1"/>
  <c r="CU111" i="1" s="1"/>
  <c r="CQ111" i="1"/>
  <c r="CR111" i="1" s="1"/>
  <c r="CN111" i="1"/>
  <c r="CO111" i="1" s="1"/>
  <c r="CK111" i="1"/>
  <c r="CL111" i="1" s="1"/>
  <c r="CH111" i="1"/>
  <c r="CI111" i="1" s="1"/>
  <c r="CE111" i="1"/>
  <c r="CF111" i="1" s="1"/>
  <c r="CB111" i="1"/>
  <c r="CC111" i="1" s="1"/>
  <c r="BY111" i="1"/>
  <c r="BZ111" i="1" s="1"/>
  <c r="BV111" i="1"/>
  <c r="BW111" i="1" s="1"/>
  <c r="BS111" i="1"/>
  <c r="BT111" i="1" s="1"/>
  <c r="BP111" i="1"/>
  <c r="BQ111" i="1" s="1"/>
  <c r="BM111" i="1"/>
  <c r="BN111" i="1" s="1"/>
  <c r="BJ111" i="1"/>
  <c r="BK111" i="1" s="1"/>
  <c r="BG111" i="1"/>
  <c r="BH111" i="1" s="1"/>
  <c r="BD111" i="1"/>
  <c r="BE111" i="1" s="1"/>
  <c r="BA111" i="1"/>
  <c r="BB111" i="1" s="1"/>
  <c r="AX111" i="1"/>
  <c r="AY111" i="1" s="1"/>
  <c r="AU111" i="1"/>
  <c r="AV111" i="1" s="1"/>
  <c r="AR111" i="1"/>
  <c r="AS111" i="1" s="1"/>
  <c r="AO111" i="1"/>
  <c r="AP111" i="1" s="1"/>
  <c r="AL111" i="1"/>
  <c r="AM111" i="1" s="1"/>
  <c r="AI111" i="1"/>
  <c r="AJ111" i="1" s="1"/>
  <c r="AF111" i="1"/>
  <c r="AG111" i="1" s="1"/>
  <c r="AC111" i="1"/>
  <c r="AD111" i="1" s="1"/>
  <c r="AA111" i="1"/>
  <c r="Z111" i="1"/>
  <c r="X111" i="1"/>
  <c r="W111" i="1"/>
  <c r="T111" i="1"/>
  <c r="U111" i="1" s="1"/>
  <c r="R111" i="1"/>
  <c r="O111" i="1"/>
  <c r="L111" i="1"/>
  <c r="I111" i="1"/>
  <c r="DO110" i="1"/>
  <c r="DP110" i="1" s="1"/>
  <c r="DL110" i="1"/>
  <c r="DM110" i="1" s="1"/>
  <c r="DI110" i="1"/>
  <c r="DJ110" i="1" s="1"/>
  <c r="DF110" i="1"/>
  <c r="DG110" i="1" s="1"/>
  <c r="DD110" i="1"/>
  <c r="DC110" i="1"/>
  <c r="CZ110" i="1"/>
  <c r="DA110" i="1" s="1"/>
  <c r="CW110" i="1"/>
  <c r="CX110" i="1" s="1"/>
  <c r="CT110" i="1"/>
  <c r="CU110" i="1" s="1"/>
  <c r="CR110" i="1"/>
  <c r="CQ110" i="1"/>
  <c r="CN110" i="1"/>
  <c r="CO110" i="1" s="1"/>
  <c r="CL110" i="1"/>
  <c r="CK110" i="1"/>
  <c r="CI110" i="1"/>
  <c r="CH110" i="1"/>
  <c r="CE110" i="1"/>
  <c r="CF110" i="1" s="1"/>
  <c r="CB110" i="1"/>
  <c r="CC110" i="1" s="1"/>
  <c r="BY110" i="1"/>
  <c r="BZ110" i="1" s="1"/>
  <c r="BV110" i="1"/>
  <c r="BW110" i="1" s="1"/>
  <c r="BT110" i="1"/>
  <c r="BS110" i="1"/>
  <c r="BP110" i="1"/>
  <c r="BQ110" i="1" s="1"/>
  <c r="BM110" i="1"/>
  <c r="BN110" i="1" s="1"/>
  <c r="BJ110" i="1"/>
  <c r="BK110" i="1" s="1"/>
  <c r="BG110" i="1"/>
  <c r="BH110" i="1" s="1"/>
  <c r="BD110" i="1"/>
  <c r="BE110" i="1" s="1"/>
  <c r="BB110" i="1"/>
  <c r="BA110" i="1"/>
  <c r="AX110" i="1"/>
  <c r="AY110" i="1" s="1"/>
  <c r="AU110" i="1"/>
  <c r="AV110" i="1" s="1"/>
  <c r="AR110" i="1"/>
  <c r="AS110" i="1" s="1"/>
  <c r="AO110" i="1"/>
  <c r="AP110" i="1" s="1"/>
  <c r="AL110" i="1"/>
  <c r="AM110" i="1" s="1"/>
  <c r="AJ110" i="1"/>
  <c r="AI110" i="1"/>
  <c r="AF110" i="1"/>
  <c r="AG110" i="1" s="1"/>
  <c r="AC110" i="1"/>
  <c r="AD110" i="1" s="1"/>
  <c r="AA110" i="1"/>
  <c r="Z110" i="1"/>
  <c r="W110" i="1"/>
  <c r="X110" i="1" s="1"/>
  <c r="T110" i="1"/>
  <c r="U110" i="1" s="1"/>
  <c r="DO109" i="1"/>
  <c r="DP109" i="1" s="1"/>
  <c r="DL109" i="1"/>
  <c r="DM109" i="1" s="1"/>
  <c r="DI109" i="1"/>
  <c r="DJ109" i="1" s="1"/>
  <c r="DF109" i="1"/>
  <c r="DG109" i="1" s="1"/>
  <c r="DC109" i="1"/>
  <c r="DD109" i="1" s="1"/>
  <c r="CZ109" i="1"/>
  <c r="DA109" i="1" s="1"/>
  <c r="CX109" i="1"/>
  <c r="CW109" i="1"/>
  <c r="CT109" i="1"/>
  <c r="CU109" i="1" s="1"/>
  <c r="CQ109" i="1"/>
  <c r="CR109" i="1" s="1"/>
  <c r="CN109" i="1"/>
  <c r="CO109" i="1" s="1"/>
  <c r="CL109" i="1"/>
  <c r="CK109" i="1"/>
  <c r="CH109" i="1"/>
  <c r="CI109" i="1" s="1"/>
  <c r="CE109" i="1"/>
  <c r="CF109" i="1" s="1"/>
  <c r="CB109" i="1"/>
  <c r="CC109" i="1" s="1"/>
  <c r="BY109" i="1"/>
  <c r="BZ109" i="1" s="1"/>
  <c r="BV109" i="1"/>
  <c r="BW109" i="1" s="1"/>
  <c r="BS109" i="1"/>
  <c r="BT109" i="1" s="1"/>
  <c r="BQ109" i="1"/>
  <c r="BP109" i="1"/>
  <c r="BM109" i="1"/>
  <c r="BN109" i="1" s="1"/>
  <c r="BJ109" i="1"/>
  <c r="BK109" i="1" s="1"/>
  <c r="BH109" i="1"/>
  <c r="BG109" i="1"/>
  <c r="BD109" i="1"/>
  <c r="BE109" i="1" s="1"/>
  <c r="BA109" i="1"/>
  <c r="BB109" i="1" s="1"/>
  <c r="AX109" i="1"/>
  <c r="AY109" i="1" s="1"/>
  <c r="AU109" i="1"/>
  <c r="AV109" i="1" s="1"/>
  <c r="AR109" i="1"/>
  <c r="AS109" i="1" s="1"/>
  <c r="AP109" i="1"/>
  <c r="AO109" i="1"/>
  <c r="AL109" i="1"/>
  <c r="AM109" i="1" s="1"/>
  <c r="AJ109" i="1"/>
  <c r="AI109" i="1"/>
  <c r="AF109" i="1"/>
  <c r="AG109" i="1" s="1"/>
  <c r="AC109" i="1"/>
  <c r="AD109" i="1" s="1"/>
  <c r="Z109" i="1"/>
  <c r="AA109" i="1" s="1"/>
  <c r="X109" i="1"/>
  <c r="W109" i="1"/>
  <c r="T109" i="1"/>
  <c r="U109" i="1" s="1"/>
  <c r="R109" i="1"/>
  <c r="O109" i="1"/>
  <c r="L109" i="1"/>
  <c r="I109" i="1"/>
  <c r="DP108" i="1"/>
  <c r="DO108" i="1"/>
  <c r="DL108" i="1"/>
  <c r="DM108" i="1" s="1"/>
  <c r="DI108" i="1"/>
  <c r="DJ108" i="1" s="1"/>
  <c r="DF108" i="1"/>
  <c r="DG108" i="1" s="1"/>
  <c r="DC108" i="1"/>
  <c r="DD108" i="1" s="1"/>
  <c r="CZ108" i="1"/>
  <c r="DA108" i="1" s="1"/>
  <c r="CX108" i="1"/>
  <c r="CW108" i="1"/>
  <c r="CT108" i="1"/>
  <c r="CU108" i="1" s="1"/>
  <c r="CQ108" i="1"/>
  <c r="CR108" i="1" s="1"/>
  <c r="CN108" i="1"/>
  <c r="CO108" i="1" s="1"/>
  <c r="CK108" i="1"/>
  <c r="CL108" i="1" s="1"/>
  <c r="CH108" i="1"/>
  <c r="CI108" i="1" s="1"/>
  <c r="CE108" i="1"/>
  <c r="CF108" i="1" s="1"/>
  <c r="CB108" i="1"/>
  <c r="CC108" i="1" s="1"/>
  <c r="BY108" i="1"/>
  <c r="BZ108" i="1" s="1"/>
  <c r="BV108" i="1"/>
  <c r="BW108" i="1" s="1"/>
  <c r="BS108" i="1"/>
  <c r="BT108" i="1" s="1"/>
  <c r="BQ108" i="1"/>
  <c r="BP108" i="1"/>
  <c r="BM108" i="1"/>
  <c r="BN108" i="1" s="1"/>
  <c r="BJ108" i="1"/>
  <c r="BK108" i="1" s="1"/>
  <c r="BG108" i="1"/>
  <c r="BH108" i="1" s="1"/>
  <c r="BD108" i="1"/>
  <c r="BE108" i="1" s="1"/>
  <c r="BB108" i="1"/>
  <c r="BA108" i="1"/>
  <c r="AX108" i="1"/>
  <c r="AY108" i="1" s="1"/>
  <c r="AU108" i="1"/>
  <c r="AV108" i="1" s="1"/>
  <c r="AR108" i="1"/>
  <c r="AS108" i="1" s="1"/>
  <c r="AO108" i="1"/>
  <c r="AP108" i="1" s="1"/>
  <c r="AL108" i="1"/>
  <c r="AM108" i="1" s="1"/>
  <c r="AI108" i="1"/>
  <c r="AJ108" i="1" s="1"/>
  <c r="AF108" i="1"/>
  <c r="AG108" i="1" s="1"/>
  <c r="AC108" i="1"/>
  <c r="AD108" i="1" s="1"/>
  <c r="Z108" i="1"/>
  <c r="AA108" i="1" s="1"/>
  <c r="W108" i="1"/>
  <c r="X108" i="1" s="1"/>
  <c r="T108" i="1"/>
  <c r="U108" i="1" s="1"/>
  <c r="R108" i="1"/>
  <c r="O108" i="1"/>
  <c r="L108" i="1"/>
  <c r="I108" i="1"/>
  <c r="DO107" i="1"/>
  <c r="DP107" i="1" s="1"/>
  <c r="DL107" i="1"/>
  <c r="DM107" i="1" s="1"/>
  <c r="DJ107" i="1"/>
  <c r="DI107" i="1"/>
  <c r="DF107" i="1"/>
  <c r="DG107" i="1" s="1"/>
  <c r="DC107" i="1"/>
  <c r="DD107" i="1" s="1"/>
  <c r="CZ107" i="1"/>
  <c r="DA107" i="1" s="1"/>
  <c r="CW107" i="1"/>
  <c r="CX107" i="1" s="1"/>
  <c r="CT107" i="1"/>
  <c r="CU107" i="1" s="1"/>
  <c r="CR107" i="1"/>
  <c r="CQ107" i="1"/>
  <c r="CN107" i="1"/>
  <c r="CO107" i="1" s="1"/>
  <c r="CK107" i="1"/>
  <c r="CL107" i="1" s="1"/>
  <c r="CH107" i="1"/>
  <c r="CI107" i="1" s="1"/>
  <c r="CE107" i="1"/>
  <c r="CF107" i="1" s="1"/>
  <c r="CB107" i="1"/>
  <c r="CC107" i="1" s="1"/>
  <c r="BZ107" i="1"/>
  <c r="BY107" i="1"/>
  <c r="BV107" i="1"/>
  <c r="BW107" i="1" s="1"/>
  <c r="BS107" i="1"/>
  <c r="BT107" i="1" s="1"/>
  <c r="BP107" i="1"/>
  <c r="BQ107" i="1" s="1"/>
  <c r="BM107" i="1"/>
  <c r="BN107" i="1" s="1"/>
  <c r="BJ107" i="1"/>
  <c r="BK107" i="1" s="1"/>
  <c r="BH107" i="1"/>
  <c r="BG107" i="1"/>
  <c r="BD107" i="1"/>
  <c r="BE107" i="1" s="1"/>
  <c r="BA107" i="1"/>
  <c r="BB107" i="1" s="1"/>
  <c r="AX107" i="1"/>
  <c r="AY107" i="1" s="1"/>
  <c r="AU107" i="1"/>
  <c r="AV107" i="1" s="1"/>
  <c r="AR107" i="1"/>
  <c r="AS107" i="1" s="1"/>
  <c r="AO107" i="1"/>
  <c r="AP107" i="1" s="1"/>
  <c r="AL107" i="1"/>
  <c r="AM107" i="1" s="1"/>
  <c r="AJ107" i="1"/>
  <c r="AI107" i="1"/>
  <c r="AF107" i="1"/>
  <c r="AG107" i="1" s="1"/>
  <c r="AD107" i="1"/>
  <c r="AC107" i="1"/>
  <c r="Z107" i="1"/>
  <c r="AA107" i="1" s="1"/>
  <c r="W107" i="1"/>
  <c r="X107" i="1" s="1"/>
  <c r="T107" i="1"/>
  <c r="U107" i="1" s="1"/>
  <c r="R107" i="1"/>
  <c r="O107" i="1"/>
  <c r="L107" i="1"/>
  <c r="I107" i="1"/>
  <c r="DO106" i="1"/>
  <c r="DP106" i="1" s="1"/>
  <c r="DL106" i="1"/>
  <c r="DM106" i="1" s="1"/>
  <c r="DJ106" i="1"/>
  <c r="DI106" i="1"/>
  <c r="DF106" i="1"/>
  <c r="DG106" i="1" s="1"/>
  <c r="DC106" i="1"/>
  <c r="DD106" i="1" s="1"/>
  <c r="CZ106" i="1"/>
  <c r="DA106" i="1" s="1"/>
  <c r="CW106" i="1"/>
  <c r="CX106" i="1" s="1"/>
  <c r="CT106" i="1"/>
  <c r="CU106" i="1" s="1"/>
  <c r="CR106" i="1"/>
  <c r="CQ106" i="1"/>
  <c r="CN106" i="1"/>
  <c r="CO106" i="1" s="1"/>
  <c r="CK106" i="1"/>
  <c r="CL106" i="1" s="1"/>
  <c r="CH106" i="1"/>
  <c r="CI106" i="1" s="1"/>
  <c r="CE106" i="1"/>
  <c r="CF106" i="1" s="1"/>
  <c r="CB106" i="1"/>
  <c r="CC106" i="1" s="1"/>
  <c r="BY106" i="1"/>
  <c r="BZ106" i="1" s="1"/>
  <c r="BV106" i="1"/>
  <c r="BW106" i="1" s="1"/>
  <c r="BS106" i="1"/>
  <c r="BT106" i="1" s="1"/>
  <c r="BP106" i="1"/>
  <c r="BQ106" i="1" s="1"/>
  <c r="BM106" i="1"/>
  <c r="BN106" i="1" s="1"/>
  <c r="BJ106" i="1"/>
  <c r="BK106" i="1" s="1"/>
  <c r="BH106" i="1"/>
  <c r="BG106" i="1"/>
  <c r="BD106" i="1"/>
  <c r="BE106" i="1" s="1"/>
  <c r="BA106" i="1"/>
  <c r="BB106" i="1" s="1"/>
  <c r="AX106" i="1"/>
  <c r="AY106" i="1" s="1"/>
  <c r="AU106" i="1"/>
  <c r="AV106" i="1" s="1"/>
  <c r="AR106" i="1"/>
  <c r="AS106" i="1" s="1"/>
  <c r="AO106" i="1"/>
  <c r="AP106" i="1" s="1"/>
  <c r="AL106" i="1"/>
  <c r="AM106" i="1" s="1"/>
  <c r="AI106" i="1"/>
  <c r="AJ106" i="1" s="1"/>
  <c r="AG106" i="1"/>
  <c r="AF106" i="1"/>
  <c r="AC106" i="1"/>
  <c r="AD106" i="1" s="1"/>
  <c r="Z106" i="1"/>
  <c r="AA106" i="1" s="1"/>
  <c r="W106" i="1"/>
  <c r="X106" i="1" s="1"/>
  <c r="T106" i="1"/>
  <c r="U106" i="1" s="1"/>
  <c r="R106" i="1"/>
  <c r="O106" i="1"/>
  <c r="L106" i="1"/>
  <c r="I106" i="1"/>
  <c r="DO105" i="1"/>
  <c r="DP105" i="1" s="1"/>
  <c r="DL105" i="1"/>
  <c r="DM105" i="1" s="1"/>
  <c r="DI105" i="1"/>
  <c r="DJ105" i="1" s="1"/>
  <c r="DF105" i="1"/>
  <c r="DG105" i="1" s="1"/>
  <c r="DC105" i="1"/>
  <c r="DD105" i="1" s="1"/>
  <c r="CZ105" i="1"/>
  <c r="DA105" i="1" s="1"/>
  <c r="CW105" i="1"/>
  <c r="CX105" i="1" s="1"/>
  <c r="CT105" i="1"/>
  <c r="CU105" i="1" s="1"/>
  <c r="CQ105" i="1"/>
  <c r="CR105" i="1" s="1"/>
  <c r="CN105" i="1"/>
  <c r="CO105" i="1" s="1"/>
  <c r="CL105" i="1"/>
  <c r="CK105" i="1"/>
  <c r="CH105" i="1"/>
  <c r="CI105" i="1" s="1"/>
  <c r="CE105" i="1"/>
  <c r="CF105" i="1" s="1"/>
  <c r="CB105" i="1"/>
  <c r="CC105" i="1" s="1"/>
  <c r="BY105" i="1"/>
  <c r="BZ105" i="1" s="1"/>
  <c r="BV105" i="1"/>
  <c r="BW105" i="1" s="1"/>
  <c r="BS105" i="1"/>
  <c r="BT105" i="1" s="1"/>
  <c r="BQ105" i="1"/>
  <c r="BP105" i="1"/>
  <c r="BM105" i="1"/>
  <c r="BN105" i="1" s="1"/>
  <c r="BJ105" i="1"/>
  <c r="BK105" i="1" s="1"/>
  <c r="BG105" i="1"/>
  <c r="BH105" i="1" s="1"/>
  <c r="BD105" i="1"/>
  <c r="BE105" i="1" s="1"/>
  <c r="BB105" i="1"/>
  <c r="BA105" i="1"/>
  <c r="AX105" i="1"/>
  <c r="AY105" i="1" s="1"/>
  <c r="AU105" i="1"/>
  <c r="AV105" i="1" s="1"/>
  <c r="AR105" i="1"/>
  <c r="AS105" i="1" s="1"/>
  <c r="AO105" i="1"/>
  <c r="AP105" i="1" s="1"/>
  <c r="AL105" i="1"/>
  <c r="AM105" i="1" s="1"/>
  <c r="AJ105" i="1"/>
  <c r="AI105" i="1"/>
  <c r="AF105" i="1"/>
  <c r="AG105" i="1" s="1"/>
  <c r="AC105" i="1"/>
  <c r="AD105" i="1" s="1"/>
  <c r="Z105" i="1"/>
  <c r="AA105" i="1" s="1"/>
  <c r="W105" i="1"/>
  <c r="X105" i="1" s="1"/>
  <c r="T105" i="1"/>
  <c r="U105" i="1" s="1"/>
  <c r="O105" i="1"/>
  <c r="L105" i="1"/>
  <c r="I105" i="1"/>
  <c r="DO104" i="1"/>
  <c r="DP104" i="1" s="1"/>
  <c r="DL104" i="1"/>
  <c r="DM104" i="1" s="1"/>
  <c r="DI104" i="1"/>
  <c r="DJ104" i="1" s="1"/>
  <c r="DF104" i="1"/>
  <c r="DG104" i="1" s="1"/>
  <c r="DC104" i="1"/>
  <c r="DD104" i="1" s="1"/>
  <c r="CZ104" i="1"/>
  <c r="DA104" i="1" s="1"/>
  <c r="CW104" i="1"/>
  <c r="CX104" i="1" s="1"/>
  <c r="CT104" i="1"/>
  <c r="CU104" i="1" s="1"/>
  <c r="CQ104" i="1"/>
  <c r="CR104" i="1" s="1"/>
  <c r="CN104" i="1"/>
  <c r="CO104" i="1" s="1"/>
  <c r="CK104" i="1"/>
  <c r="CL104" i="1" s="1"/>
  <c r="CH104" i="1"/>
  <c r="CI104" i="1" s="1"/>
  <c r="CE104" i="1"/>
  <c r="CF104" i="1" s="1"/>
  <c r="CB104" i="1"/>
  <c r="CC104" i="1" s="1"/>
  <c r="BZ104" i="1"/>
  <c r="BY104" i="1"/>
  <c r="BV104" i="1"/>
  <c r="BW104" i="1" s="1"/>
  <c r="BS104" i="1"/>
  <c r="BT104" i="1" s="1"/>
  <c r="BQ104" i="1"/>
  <c r="BP104" i="1"/>
  <c r="BM104" i="1"/>
  <c r="BN104" i="1" s="1"/>
  <c r="BJ104" i="1"/>
  <c r="BK104" i="1" s="1"/>
  <c r="BG104" i="1"/>
  <c r="BH104" i="1" s="1"/>
  <c r="BD104" i="1"/>
  <c r="BE104" i="1" s="1"/>
  <c r="BA104" i="1"/>
  <c r="BB104" i="1" s="1"/>
  <c r="AX104" i="1"/>
  <c r="AY104" i="1" s="1"/>
  <c r="AU104" i="1"/>
  <c r="AV104" i="1" s="1"/>
  <c r="AS104" i="1"/>
  <c r="AR104" i="1"/>
  <c r="AO104" i="1"/>
  <c r="AP104" i="1" s="1"/>
  <c r="AL104" i="1"/>
  <c r="AM104" i="1" s="1"/>
  <c r="AI104" i="1"/>
  <c r="AJ104" i="1" s="1"/>
  <c r="AF104" i="1"/>
  <c r="AG104" i="1" s="1"/>
  <c r="AC104" i="1"/>
  <c r="AD104" i="1" s="1"/>
  <c r="Z104" i="1"/>
  <c r="AA104" i="1" s="1"/>
  <c r="W104" i="1"/>
  <c r="X104" i="1" s="1"/>
  <c r="T104" i="1"/>
  <c r="U104" i="1" s="1"/>
  <c r="R104" i="1"/>
  <c r="O104" i="1"/>
  <c r="L104" i="1"/>
  <c r="I104" i="1"/>
  <c r="DO103" i="1"/>
  <c r="DP103" i="1" s="1"/>
  <c r="DL103" i="1"/>
  <c r="DM103" i="1" s="1"/>
  <c r="DI103" i="1"/>
  <c r="DJ103" i="1" s="1"/>
  <c r="DF103" i="1"/>
  <c r="DG103" i="1" s="1"/>
  <c r="DC103" i="1"/>
  <c r="DD103" i="1" s="1"/>
  <c r="CZ103" i="1"/>
  <c r="DA103" i="1" s="1"/>
  <c r="CW103" i="1"/>
  <c r="CX103" i="1" s="1"/>
  <c r="CT103" i="1"/>
  <c r="CU103" i="1" s="1"/>
  <c r="CQ103" i="1"/>
  <c r="CR103" i="1" s="1"/>
  <c r="CN103" i="1"/>
  <c r="CO103" i="1" s="1"/>
  <c r="CK103" i="1"/>
  <c r="CL103" i="1" s="1"/>
  <c r="CH103" i="1"/>
  <c r="CI103" i="1" s="1"/>
  <c r="CE103" i="1"/>
  <c r="CF103" i="1" s="1"/>
  <c r="CB103" i="1"/>
  <c r="CC103" i="1" s="1"/>
  <c r="BZ103" i="1"/>
  <c r="BY103" i="1"/>
  <c r="BV103" i="1"/>
  <c r="BW103" i="1" s="1"/>
  <c r="BS103" i="1"/>
  <c r="BT103" i="1" s="1"/>
  <c r="BP103" i="1"/>
  <c r="BQ103" i="1" s="1"/>
  <c r="BM103" i="1"/>
  <c r="BN103" i="1" s="1"/>
  <c r="BJ103" i="1"/>
  <c r="BK103" i="1" s="1"/>
  <c r="BG103" i="1"/>
  <c r="BH103" i="1" s="1"/>
  <c r="BD103" i="1"/>
  <c r="BE103" i="1" s="1"/>
  <c r="BA103" i="1"/>
  <c r="BB103" i="1" s="1"/>
  <c r="AX103" i="1"/>
  <c r="AY103" i="1" s="1"/>
  <c r="AU103" i="1"/>
  <c r="AV103" i="1" s="1"/>
  <c r="AS103" i="1"/>
  <c r="AR103" i="1"/>
  <c r="AO103" i="1"/>
  <c r="AP103" i="1" s="1"/>
  <c r="AL103" i="1"/>
  <c r="AM103" i="1" s="1"/>
  <c r="AI103" i="1"/>
  <c r="AJ103" i="1" s="1"/>
  <c r="AF103" i="1"/>
  <c r="AG103" i="1" s="1"/>
  <c r="AC103" i="1"/>
  <c r="AD103" i="1" s="1"/>
  <c r="Z103" i="1"/>
  <c r="AA103" i="1" s="1"/>
  <c r="W103" i="1"/>
  <c r="X103" i="1" s="1"/>
  <c r="T103" i="1"/>
  <c r="U103" i="1" s="1"/>
  <c r="R103" i="1"/>
  <c r="O103" i="1"/>
  <c r="L103" i="1"/>
  <c r="I103" i="1"/>
  <c r="DO102" i="1"/>
  <c r="DP102" i="1" s="1"/>
  <c r="DM102" i="1"/>
  <c r="DL102" i="1"/>
  <c r="DI102" i="1"/>
  <c r="DJ102" i="1" s="1"/>
  <c r="DF102" i="1"/>
  <c r="DG102" i="1" s="1"/>
  <c r="DC102" i="1"/>
  <c r="DD102" i="1" s="1"/>
  <c r="CZ102" i="1"/>
  <c r="DA102" i="1" s="1"/>
  <c r="CW102" i="1"/>
  <c r="CX102" i="1" s="1"/>
  <c r="CT102" i="1"/>
  <c r="CU102" i="1" s="1"/>
  <c r="CQ102" i="1"/>
  <c r="CR102" i="1" s="1"/>
  <c r="CO102" i="1"/>
  <c r="CN102" i="1"/>
  <c r="CK102" i="1"/>
  <c r="CL102" i="1" s="1"/>
  <c r="CH102" i="1"/>
  <c r="CI102" i="1" s="1"/>
  <c r="CE102" i="1"/>
  <c r="CF102" i="1" s="1"/>
  <c r="CB102" i="1"/>
  <c r="CC102" i="1" s="1"/>
  <c r="BZ102" i="1"/>
  <c r="BY102" i="1"/>
  <c r="BV102" i="1"/>
  <c r="BW102" i="1" s="1"/>
  <c r="BS102" i="1"/>
  <c r="BT102" i="1" s="1"/>
  <c r="BP102" i="1"/>
  <c r="BQ102" i="1" s="1"/>
  <c r="BM102" i="1"/>
  <c r="BN102" i="1" s="1"/>
  <c r="BJ102" i="1"/>
  <c r="BK102" i="1" s="1"/>
  <c r="BG102" i="1"/>
  <c r="BH102" i="1" s="1"/>
  <c r="BE102" i="1"/>
  <c r="BD102" i="1"/>
  <c r="BA102" i="1"/>
  <c r="BB102" i="1" s="1"/>
  <c r="AX102" i="1"/>
  <c r="AY102" i="1" s="1"/>
  <c r="AU102" i="1"/>
  <c r="AV102" i="1" s="1"/>
  <c r="AR102" i="1"/>
  <c r="AS102" i="1" s="1"/>
  <c r="AP102" i="1"/>
  <c r="AO102" i="1"/>
  <c r="AL102" i="1"/>
  <c r="AM102" i="1" s="1"/>
  <c r="AI102" i="1"/>
  <c r="AJ102" i="1" s="1"/>
  <c r="AF102" i="1"/>
  <c r="AG102" i="1" s="1"/>
  <c r="AC102" i="1"/>
  <c r="AD102" i="1" s="1"/>
  <c r="Z102" i="1"/>
  <c r="AA102" i="1" s="1"/>
  <c r="W102" i="1"/>
  <c r="X102" i="1" s="1"/>
  <c r="T102" i="1"/>
  <c r="U102" i="1" s="1"/>
  <c r="R102" i="1"/>
  <c r="O102" i="1"/>
  <c r="L102" i="1"/>
  <c r="I102" i="1"/>
  <c r="DO101" i="1"/>
  <c r="DP101" i="1" s="1"/>
  <c r="DL101" i="1"/>
  <c r="DM101" i="1" s="1"/>
  <c r="DI101" i="1"/>
  <c r="DJ101" i="1" s="1"/>
  <c r="DF101" i="1"/>
  <c r="DG101" i="1" s="1"/>
  <c r="DC101" i="1"/>
  <c r="DD101" i="1" s="1"/>
  <c r="CZ101" i="1"/>
  <c r="DA101" i="1" s="1"/>
  <c r="CW101" i="1"/>
  <c r="CX101" i="1" s="1"/>
  <c r="CT101" i="1"/>
  <c r="CU101" i="1" s="1"/>
  <c r="CQ101" i="1"/>
  <c r="CR101" i="1" s="1"/>
  <c r="CN101" i="1"/>
  <c r="CO101" i="1" s="1"/>
  <c r="CK101" i="1"/>
  <c r="CL101" i="1" s="1"/>
  <c r="CH101" i="1"/>
  <c r="CI101" i="1" s="1"/>
  <c r="CE101" i="1"/>
  <c r="CF101" i="1" s="1"/>
  <c r="CB101" i="1"/>
  <c r="CC101" i="1" s="1"/>
  <c r="BY101" i="1"/>
  <c r="BZ101" i="1" s="1"/>
  <c r="BV101" i="1"/>
  <c r="BW101" i="1" s="1"/>
  <c r="BS101" i="1"/>
  <c r="BT101" i="1" s="1"/>
  <c r="BP101" i="1"/>
  <c r="BQ101" i="1" s="1"/>
  <c r="BM101" i="1"/>
  <c r="BN101" i="1" s="1"/>
  <c r="BJ101" i="1"/>
  <c r="BK101" i="1" s="1"/>
  <c r="BG101" i="1"/>
  <c r="BH101" i="1" s="1"/>
  <c r="BD101" i="1"/>
  <c r="BE101" i="1" s="1"/>
  <c r="BA101" i="1"/>
  <c r="BB101" i="1" s="1"/>
  <c r="AX101" i="1"/>
  <c r="AY101" i="1" s="1"/>
  <c r="AU101" i="1"/>
  <c r="AV101" i="1" s="1"/>
  <c r="AR101" i="1"/>
  <c r="AS101" i="1" s="1"/>
  <c r="AP101" i="1"/>
  <c r="AO101" i="1"/>
  <c r="AL101" i="1"/>
  <c r="AM101" i="1" s="1"/>
  <c r="AI101" i="1"/>
  <c r="AJ101" i="1" s="1"/>
  <c r="AF101" i="1"/>
  <c r="AG101" i="1" s="1"/>
  <c r="AC101" i="1"/>
  <c r="AD101" i="1" s="1"/>
  <c r="Z101" i="1"/>
  <c r="AA101" i="1" s="1"/>
  <c r="W101" i="1"/>
  <c r="X101" i="1" s="1"/>
  <c r="T101" i="1"/>
  <c r="U101" i="1" s="1"/>
  <c r="R101" i="1"/>
  <c r="O101" i="1"/>
  <c r="L101" i="1"/>
  <c r="I101" i="1"/>
  <c r="DO100" i="1"/>
  <c r="DP100" i="1" s="1"/>
  <c r="DM100" i="1"/>
  <c r="DL100" i="1"/>
  <c r="DJ100" i="1"/>
  <c r="DI100" i="1"/>
  <c r="DF100" i="1"/>
  <c r="DG100" i="1" s="1"/>
  <c r="DC100" i="1"/>
  <c r="DD100" i="1" s="1"/>
  <c r="CZ100" i="1"/>
  <c r="DA100" i="1" s="1"/>
  <c r="CW100" i="1"/>
  <c r="CX100" i="1" s="1"/>
  <c r="CT100" i="1"/>
  <c r="CU100" i="1" s="1"/>
  <c r="CQ100" i="1"/>
  <c r="CR100" i="1" s="1"/>
  <c r="CN100" i="1"/>
  <c r="CO100" i="1" s="1"/>
  <c r="CK100" i="1"/>
  <c r="CL100" i="1" s="1"/>
  <c r="CH100" i="1"/>
  <c r="CI100" i="1" s="1"/>
  <c r="CE100" i="1"/>
  <c r="CF100" i="1" s="1"/>
  <c r="CB100" i="1"/>
  <c r="CC100" i="1" s="1"/>
  <c r="BY100" i="1"/>
  <c r="BZ100" i="1" s="1"/>
  <c r="BV100" i="1"/>
  <c r="BW100" i="1" s="1"/>
  <c r="BS100" i="1"/>
  <c r="BT100" i="1" s="1"/>
  <c r="BP100" i="1"/>
  <c r="BQ100" i="1" s="1"/>
  <c r="BM100" i="1"/>
  <c r="BN100" i="1" s="1"/>
  <c r="BJ100" i="1"/>
  <c r="BK100" i="1" s="1"/>
  <c r="BG100" i="1"/>
  <c r="BH100" i="1" s="1"/>
  <c r="BE100" i="1"/>
  <c r="BD100" i="1"/>
  <c r="BA100" i="1"/>
  <c r="BB100" i="1" s="1"/>
  <c r="AX100" i="1"/>
  <c r="AY100" i="1" s="1"/>
  <c r="AU100" i="1"/>
  <c r="AV100" i="1" s="1"/>
  <c r="AR100" i="1"/>
  <c r="AS100" i="1" s="1"/>
  <c r="AO100" i="1"/>
  <c r="AP100" i="1" s="1"/>
  <c r="AL100" i="1"/>
  <c r="AM100" i="1" s="1"/>
  <c r="AI100" i="1"/>
  <c r="AJ100" i="1" s="1"/>
  <c r="AF100" i="1"/>
  <c r="AG100" i="1" s="1"/>
  <c r="AC100" i="1"/>
  <c r="AD100" i="1" s="1"/>
  <c r="Z100" i="1"/>
  <c r="AA100" i="1" s="1"/>
  <c r="W100" i="1"/>
  <c r="X100" i="1" s="1"/>
  <c r="U100" i="1"/>
  <c r="T100" i="1"/>
  <c r="DO99" i="1"/>
  <c r="DP99" i="1" s="1"/>
  <c r="DL99" i="1"/>
  <c r="DM99" i="1" s="1"/>
  <c r="DI99" i="1"/>
  <c r="DJ99" i="1" s="1"/>
  <c r="DF99" i="1"/>
  <c r="DG99" i="1" s="1"/>
  <c r="DD99" i="1"/>
  <c r="DC99" i="1"/>
  <c r="CZ99" i="1"/>
  <c r="DA99" i="1" s="1"/>
  <c r="CW99" i="1"/>
  <c r="CX99" i="1" s="1"/>
  <c r="CT99" i="1"/>
  <c r="CU99" i="1" s="1"/>
  <c r="CQ99" i="1"/>
  <c r="CR99" i="1" s="1"/>
  <c r="CN99" i="1"/>
  <c r="CO99" i="1" s="1"/>
  <c r="CK99" i="1"/>
  <c r="CL99" i="1" s="1"/>
  <c r="CH99" i="1"/>
  <c r="CI99" i="1" s="1"/>
  <c r="CE99" i="1"/>
  <c r="CF99" i="1" s="1"/>
  <c r="CB99" i="1"/>
  <c r="CC99" i="1" s="1"/>
  <c r="BY99" i="1"/>
  <c r="BZ99" i="1" s="1"/>
  <c r="BV99" i="1"/>
  <c r="BW99" i="1" s="1"/>
  <c r="BT99" i="1"/>
  <c r="BS99" i="1"/>
  <c r="BP99" i="1"/>
  <c r="BQ99" i="1" s="1"/>
  <c r="BM99" i="1"/>
  <c r="BN99" i="1" s="1"/>
  <c r="BK99" i="1"/>
  <c r="BJ99" i="1"/>
  <c r="BG99" i="1"/>
  <c r="BH99" i="1" s="1"/>
  <c r="BD99" i="1"/>
  <c r="BE99" i="1" s="1"/>
  <c r="BA99" i="1"/>
  <c r="BB99" i="1" s="1"/>
  <c r="AX99" i="1"/>
  <c r="AY99" i="1" s="1"/>
  <c r="AU99" i="1"/>
  <c r="AV99" i="1" s="1"/>
  <c r="AR99" i="1"/>
  <c r="AS99" i="1" s="1"/>
  <c r="AO99" i="1"/>
  <c r="AP99" i="1" s="1"/>
  <c r="AL99" i="1"/>
  <c r="AM99" i="1" s="1"/>
  <c r="AI99" i="1"/>
  <c r="AJ99" i="1" s="1"/>
  <c r="AF99" i="1"/>
  <c r="AG99" i="1" s="1"/>
  <c r="AC99" i="1"/>
  <c r="AD99" i="1" s="1"/>
  <c r="AA99" i="1"/>
  <c r="Z99" i="1"/>
  <c r="X99" i="1"/>
  <c r="W99" i="1"/>
  <c r="T99" i="1"/>
  <c r="U99" i="1" s="1"/>
  <c r="R99" i="1"/>
  <c r="O99" i="1"/>
  <c r="L99" i="1"/>
  <c r="I99" i="1"/>
  <c r="DO98" i="1"/>
  <c r="DP98" i="1" s="1"/>
  <c r="DL98" i="1"/>
  <c r="DM98" i="1" s="1"/>
  <c r="DI98" i="1"/>
  <c r="DJ98" i="1" s="1"/>
  <c r="DF98" i="1"/>
  <c r="DG98" i="1" s="1"/>
  <c r="DC98" i="1"/>
  <c r="DD98" i="1" s="1"/>
  <c r="CZ98" i="1"/>
  <c r="DA98" i="1" s="1"/>
  <c r="CW98" i="1"/>
  <c r="CX98" i="1" s="1"/>
  <c r="CT98" i="1"/>
  <c r="CU98" i="1" s="1"/>
  <c r="CQ98" i="1"/>
  <c r="CR98" i="1" s="1"/>
  <c r="CN98" i="1"/>
  <c r="CO98" i="1" s="1"/>
  <c r="CK98" i="1"/>
  <c r="CL98" i="1" s="1"/>
  <c r="CH98" i="1"/>
  <c r="CI98" i="1" s="1"/>
  <c r="CE98" i="1"/>
  <c r="CF98" i="1" s="1"/>
  <c r="CB98" i="1"/>
  <c r="CC98" i="1" s="1"/>
  <c r="BY98" i="1"/>
  <c r="BZ98" i="1" s="1"/>
  <c r="BW98" i="1"/>
  <c r="BV98" i="1"/>
  <c r="BS98" i="1"/>
  <c r="BT98" i="1" s="1"/>
  <c r="BP98" i="1"/>
  <c r="BQ98" i="1" s="1"/>
  <c r="BM98" i="1"/>
  <c r="BN98" i="1" s="1"/>
  <c r="BJ98" i="1"/>
  <c r="BK98" i="1" s="1"/>
  <c r="BG98" i="1"/>
  <c r="BH98" i="1" s="1"/>
  <c r="BD98" i="1"/>
  <c r="BE98" i="1" s="1"/>
  <c r="BA98" i="1"/>
  <c r="BB98" i="1" s="1"/>
  <c r="AX98" i="1"/>
  <c r="AY98" i="1" s="1"/>
  <c r="AV98" i="1"/>
  <c r="AU98" i="1"/>
  <c r="AR98" i="1"/>
  <c r="AS98" i="1" s="1"/>
  <c r="AO98" i="1"/>
  <c r="AP98" i="1" s="1"/>
  <c r="AL98" i="1"/>
  <c r="AM98" i="1" s="1"/>
  <c r="AI98" i="1"/>
  <c r="AJ98" i="1" s="1"/>
  <c r="AF98" i="1"/>
  <c r="AG98" i="1" s="1"/>
  <c r="AC98" i="1"/>
  <c r="AD98" i="1" s="1"/>
  <c r="AA98" i="1"/>
  <c r="Z98" i="1"/>
  <c r="W98" i="1"/>
  <c r="X98" i="1" s="1"/>
  <c r="T98" i="1"/>
  <c r="U98" i="1" s="1"/>
  <c r="R98" i="1"/>
  <c r="O98" i="1"/>
  <c r="L98" i="1"/>
  <c r="I98" i="1"/>
  <c r="DP97" i="1"/>
  <c r="DO97" i="1"/>
  <c r="DL97" i="1"/>
  <c r="DM97" i="1" s="1"/>
  <c r="DI97" i="1"/>
  <c r="DJ97" i="1" s="1"/>
  <c r="DF97" i="1"/>
  <c r="DG97" i="1" s="1"/>
  <c r="DC97" i="1"/>
  <c r="DD97" i="1" s="1"/>
  <c r="CZ97" i="1"/>
  <c r="DA97" i="1" s="1"/>
  <c r="CW97" i="1"/>
  <c r="CX97" i="1" s="1"/>
  <c r="CT97" i="1"/>
  <c r="CU97" i="1" s="1"/>
  <c r="CQ97" i="1"/>
  <c r="CR97" i="1" s="1"/>
  <c r="CN97" i="1"/>
  <c r="CO97" i="1" s="1"/>
  <c r="CK97" i="1"/>
  <c r="CL97" i="1" s="1"/>
  <c r="CH97" i="1"/>
  <c r="CI97" i="1" s="1"/>
  <c r="CF97" i="1"/>
  <c r="CE97" i="1"/>
  <c r="CB97" i="1"/>
  <c r="CC97" i="1" s="1"/>
  <c r="BY97" i="1"/>
  <c r="BZ97" i="1" s="1"/>
  <c r="BV97" i="1"/>
  <c r="BW97" i="1" s="1"/>
  <c r="BS97" i="1"/>
  <c r="BT97" i="1" s="1"/>
  <c r="BP97" i="1"/>
  <c r="BQ97" i="1" s="1"/>
  <c r="BM97" i="1"/>
  <c r="BN97" i="1" s="1"/>
  <c r="BJ97" i="1"/>
  <c r="BK97" i="1" s="1"/>
  <c r="BG97" i="1"/>
  <c r="BH97" i="1" s="1"/>
  <c r="BD97" i="1"/>
  <c r="BE97" i="1" s="1"/>
  <c r="BA97" i="1"/>
  <c r="BB97" i="1" s="1"/>
  <c r="AX97" i="1"/>
  <c r="AY97" i="1" s="1"/>
  <c r="AU97" i="1"/>
  <c r="AV97" i="1" s="1"/>
  <c r="AR97" i="1"/>
  <c r="AS97" i="1" s="1"/>
  <c r="AO97" i="1"/>
  <c r="AP97" i="1" s="1"/>
  <c r="AL97" i="1"/>
  <c r="AM97" i="1" s="1"/>
  <c r="AI97" i="1"/>
  <c r="AJ97" i="1" s="1"/>
  <c r="AF97" i="1"/>
  <c r="AG97" i="1" s="1"/>
  <c r="AC97" i="1"/>
  <c r="AD97" i="1" s="1"/>
  <c r="Z97" i="1"/>
  <c r="AA97" i="1" s="1"/>
  <c r="W97" i="1"/>
  <c r="X97" i="1" s="1"/>
  <c r="T97" i="1"/>
  <c r="U97" i="1" s="1"/>
  <c r="L97" i="1"/>
  <c r="I97" i="1"/>
  <c r="DO96" i="1"/>
  <c r="DP96" i="1" s="1"/>
  <c r="DM96" i="1"/>
  <c r="DL96" i="1"/>
  <c r="DI96" i="1"/>
  <c r="DJ96" i="1" s="1"/>
  <c r="DF96" i="1"/>
  <c r="DG96" i="1" s="1"/>
  <c r="DC96" i="1"/>
  <c r="DD96" i="1" s="1"/>
  <c r="CZ96" i="1"/>
  <c r="DA96" i="1" s="1"/>
  <c r="CW96" i="1"/>
  <c r="CX96" i="1" s="1"/>
  <c r="CT96" i="1"/>
  <c r="CU96" i="1" s="1"/>
  <c r="CQ96" i="1"/>
  <c r="CR96" i="1" s="1"/>
  <c r="CN96" i="1"/>
  <c r="CO96" i="1" s="1"/>
  <c r="CK96" i="1"/>
  <c r="CL96" i="1" s="1"/>
  <c r="CH96" i="1"/>
  <c r="CI96" i="1" s="1"/>
  <c r="CE96" i="1"/>
  <c r="CF96" i="1" s="1"/>
  <c r="CB96" i="1"/>
  <c r="CC96" i="1" s="1"/>
  <c r="BY96" i="1"/>
  <c r="BZ96" i="1" s="1"/>
  <c r="BV96" i="1"/>
  <c r="BW96" i="1" s="1"/>
  <c r="BS96" i="1"/>
  <c r="BT96" i="1" s="1"/>
  <c r="BP96" i="1"/>
  <c r="BQ96" i="1" s="1"/>
  <c r="BM96" i="1"/>
  <c r="BN96" i="1" s="1"/>
  <c r="BJ96" i="1"/>
  <c r="BK96" i="1" s="1"/>
  <c r="BG96" i="1"/>
  <c r="BH96" i="1" s="1"/>
  <c r="BD96" i="1"/>
  <c r="BE96" i="1" s="1"/>
  <c r="BA96" i="1"/>
  <c r="BB96" i="1" s="1"/>
  <c r="AX96" i="1"/>
  <c r="AY96" i="1" s="1"/>
  <c r="AU96" i="1"/>
  <c r="AV96" i="1" s="1"/>
  <c r="AR96" i="1"/>
  <c r="AS96" i="1" s="1"/>
  <c r="AO96" i="1"/>
  <c r="AP96" i="1" s="1"/>
  <c r="AL96" i="1"/>
  <c r="AM96" i="1" s="1"/>
  <c r="AI96" i="1"/>
  <c r="AJ96" i="1" s="1"/>
  <c r="AF96" i="1"/>
  <c r="AG96" i="1" s="1"/>
  <c r="AC96" i="1"/>
  <c r="AD96" i="1" s="1"/>
  <c r="Z96" i="1"/>
  <c r="AA96" i="1" s="1"/>
  <c r="W96" i="1"/>
  <c r="X96" i="1" s="1"/>
  <c r="T96" i="1"/>
  <c r="U96" i="1" s="1"/>
  <c r="R96" i="1"/>
  <c r="O96" i="1"/>
  <c r="L96" i="1"/>
  <c r="I96" i="1"/>
  <c r="DO95" i="1"/>
  <c r="DP95" i="1" s="1"/>
  <c r="DM95" i="1"/>
  <c r="DL95" i="1"/>
  <c r="DI95" i="1"/>
  <c r="DJ95" i="1" s="1"/>
  <c r="DF95" i="1"/>
  <c r="DG95" i="1" s="1"/>
  <c r="DC95" i="1"/>
  <c r="DD95" i="1" s="1"/>
  <c r="CZ95" i="1"/>
  <c r="DA95" i="1" s="1"/>
  <c r="CW95" i="1"/>
  <c r="CX95" i="1" s="1"/>
  <c r="CT95" i="1"/>
  <c r="CU95" i="1" s="1"/>
  <c r="CQ95" i="1"/>
  <c r="CR95" i="1" s="1"/>
  <c r="CN95" i="1"/>
  <c r="CO95" i="1" s="1"/>
  <c r="CK95" i="1"/>
  <c r="CL95" i="1" s="1"/>
  <c r="CH95" i="1"/>
  <c r="CI95" i="1" s="1"/>
  <c r="CF95" i="1"/>
  <c r="CE95" i="1"/>
  <c r="CB95" i="1"/>
  <c r="CC95" i="1" s="1"/>
  <c r="BY95" i="1"/>
  <c r="BZ95" i="1" s="1"/>
  <c r="BV95" i="1"/>
  <c r="BW95" i="1" s="1"/>
  <c r="BS95" i="1"/>
  <c r="BT95" i="1" s="1"/>
  <c r="BP95" i="1"/>
  <c r="BQ95" i="1" s="1"/>
  <c r="BM95" i="1"/>
  <c r="BN95" i="1" s="1"/>
  <c r="BJ95" i="1"/>
  <c r="BK95" i="1" s="1"/>
  <c r="BG95" i="1"/>
  <c r="BH95" i="1" s="1"/>
  <c r="BD95" i="1"/>
  <c r="BE95" i="1" s="1"/>
  <c r="BA95" i="1"/>
  <c r="BB95" i="1" s="1"/>
  <c r="AX95" i="1"/>
  <c r="AY95" i="1" s="1"/>
  <c r="AU95" i="1"/>
  <c r="AV95" i="1" s="1"/>
  <c r="AR95" i="1"/>
  <c r="AS95" i="1" s="1"/>
  <c r="AO95" i="1"/>
  <c r="AP95" i="1" s="1"/>
  <c r="AL95" i="1"/>
  <c r="AM95" i="1" s="1"/>
  <c r="AI95" i="1"/>
  <c r="AJ95" i="1" s="1"/>
  <c r="AF95" i="1"/>
  <c r="AG95" i="1" s="1"/>
  <c r="AC95" i="1"/>
  <c r="AD95" i="1" s="1"/>
  <c r="Z95" i="1"/>
  <c r="AA95" i="1" s="1"/>
  <c r="W95" i="1"/>
  <c r="X95" i="1" s="1"/>
  <c r="T95" i="1"/>
  <c r="U95" i="1" s="1"/>
  <c r="R95" i="1"/>
  <c r="O95" i="1"/>
  <c r="L95" i="1"/>
  <c r="I95" i="1"/>
  <c r="DO94" i="1"/>
  <c r="DP94" i="1" s="1"/>
  <c r="DM94" i="1"/>
  <c r="DL94" i="1"/>
  <c r="DI94" i="1"/>
  <c r="DJ94" i="1" s="1"/>
  <c r="DF94" i="1"/>
  <c r="DG94" i="1" s="1"/>
  <c r="DC94" i="1"/>
  <c r="DD94" i="1" s="1"/>
  <c r="CZ94" i="1"/>
  <c r="DA94" i="1" s="1"/>
  <c r="CW94" i="1"/>
  <c r="CX94" i="1" s="1"/>
  <c r="CT94" i="1"/>
  <c r="CU94" i="1" s="1"/>
  <c r="CQ94" i="1"/>
  <c r="CR94" i="1" s="1"/>
  <c r="CN94" i="1"/>
  <c r="CO94" i="1" s="1"/>
  <c r="CK94" i="1"/>
  <c r="CL94" i="1" s="1"/>
  <c r="CH94" i="1"/>
  <c r="CI94" i="1" s="1"/>
  <c r="CE94" i="1"/>
  <c r="CF94" i="1" s="1"/>
  <c r="CB94" i="1"/>
  <c r="CC94" i="1" s="1"/>
  <c r="BY94" i="1"/>
  <c r="BZ94" i="1" s="1"/>
  <c r="BV94" i="1"/>
  <c r="BW94" i="1" s="1"/>
  <c r="BS94" i="1"/>
  <c r="BT94" i="1" s="1"/>
  <c r="BP94" i="1"/>
  <c r="BQ94" i="1" s="1"/>
  <c r="BM94" i="1"/>
  <c r="BN94" i="1" s="1"/>
  <c r="BJ94" i="1"/>
  <c r="BK94" i="1" s="1"/>
  <c r="BG94" i="1"/>
  <c r="BH94" i="1" s="1"/>
  <c r="BE94" i="1"/>
  <c r="BD94" i="1"/>
  <c r="BA94" i="1"/>
  <c r="BB94" i="1" s="1"/>
  <c r="AX94" i="1"/>
  <c r="AY94" i="1" s="1"/>
  <c r="AU94" i="1"/>
  <c r="AV94" i="1" s="1"/>
  <c r="AR94" i="1"/>
  <c r="AS94" i="1" s="1"/>
  <c r="AO94" i="1"/>
  <c r="AP94" i="1" s="1"/>
  <c r="AL94" i="1"/>
  <c r="AM94" i="1" s="1"/>
  <c r="AJ94" i="1"/>
  <c r="AI94" i="1"/>
  <c r="AF94" i="1"/>
  <c r="AG94" i="1" s="1"/>
  <c r="AC94" i="1"/>
  <c r="AD94" i="1" s="1"/>
  <c r="Z94" i="1"/>
  <c r="AA94" i="1" s="1"/>
  <c r="W94" i="1"/>
  <c r="X94" i="1" s="1"/>
  <c r="T94" i="1"/>
  <c r="U94" i="1" s="1"/>
  <c r="R94" i="1"/>
  <c r="O94" i="1"/>
  <c r="L94" i="1"/>
  <c r="I94" i="1"/>
  <c r="DO93" i="1"/>
  <c r="DP93" i="1" s="1"/>
  <c r="DL93" i="1"/>
  <c r="DM93" i="1" s="1"/>
  <c r="DI93" i="1"/>
  <c r="DJ93" i="1" s="1"/>
  <c r="DF93" i="1"/>
  <c r="DG93" i="1" s="1"/>
  <c r="DC93" i="1"/>
  <c r="DD93" i="1" s="1"/>
  <c r="CZ93" i="1"/>
  <c r="DA93" i="1" s="1"/>
  <c r="CW93" i="1"/>
  <c r="CX93" i="1" s="1"/>
  <c r="CT93" i="1"/>
  <c r="CU93" i="1" s="1"/>
  <c r="CQ93" i="1"/>
  <c r="CR93" i="1" s="1"/>
  <c r="CN93" i="1"/>
  <c r="CO93" i="1" s="1"/>
  <c r="CK93" i="1"/>
  <c r="CL93" i="1" s="1"/>
  <c r="CH93" i="1"/>
  <c r="CI93" i="1" s="1"/>
  <c r="CF93" i="1"/>
  <c r="CE93" i="1"/>
  <c r="CB93" i="1"/>
  <c r="CC93" i="1" s="1"/>
  <c r="BY93" i="1"/>
  <c r="BZ93" i="1" s="1"/>
  <c r="BV93" i="1"/>
  <c r="BW93" i="1" s="1"/>
  <c r="BS93" i="1"/>
  <c r="BT93" i="1" s="1"/>
  <c r="BQ93" i="1"/>
  <c r="BP93" i="1"/>
  <c r="BM93" i="1"/>
  <c r="BN93" i="1" s="1"/>
  <c r="BJ93" i="1"/>
  <c r="BK93" i="1" s="1"/>
  <c r="BG93" i="1"/>
  <c r="BH93" i="1" s="1"/>
  <c r="BD93" i="1"/>
  <c r="BE93" i="1" s="1"/>
  <c r="BA93" i="1"/>
  <c r="BB93" i="1" s="1"/>
  <c r="AX93" i="1"/>
  <c r="AY93" i="1" s="1"/>
  <c r="AU93" i="1"/>
  <c r="AV93" i="1" s="1"/>
  <c r="AR93" i="1"/>
  <c r="AS93" i="1" s="1"/>
  <c r="AO93" i="1"/>
  <c r="AP93" i="1" s="1"/>
  <c r="AL93" i="1"/>
  <c r="AM93" i="1" s="1"/>
  <c r="AI93" i="1"/>
  <c r="AJ93" i="1" s="1"/>
  <c r="AF93" i="1"/>
  <c r="AG93" i="1" s="1"/>
  <c r="AC93" i="1"/>
  <c r="AD93" i="1" s="1"/>
  <c r="Z93" i="1"/>
  <c r="AA93" i="1" s="1"/>
  <c r="W93" i="1"/>
  <c r="X93" i="1" s="1"/>
  <c r="T93" i="1"/>
  <c r="U93" i="1" s="1"/>
  <c r="R93" i="1"/>
  <c r="O93" i="1"/>
  <c r="L93" i="1"/>
  <c r="I93" i="1"/>
  <c r="DO92" i="1"/>
  <c r="DP92" i="1" s="1"/>
  <c r="DM92" i="1"/>
  <c r="DL92" i="1"/>
  <c r="DI92" i="1"/>
  <c r="DJ92" i="1" s="1"/>
  <c r="DF92" i="1"/>
  <c r="DG92" i="1" s="1"/>
  <c r="DC92" i="1"/>
  <c r="DD92" i="1" s="1"/>
  <c r="CZ92" i="1"/>
  <c r="DA92" i="1" s="1"/>
  <c r="CW92" i="1"/>
  <c r="CX92" i="1" s="1"/>
  <c r="CT92" i="1"/>
  <c r="CU92" i="1" s="1"/>
  <c r="CQ92" i="1"/>
  <c r="CR92" i="1" s="1"/>
  <c r="CN92" i="1"/>
  <c r="CO92" i="1" s="1"/>
  <c r="CK92" i="1"/>
  <c r="CL92" i="1" s="1"/>
  <c r="CH92" i="1"/>
  <c r="CI92" i="1" s="1"/>
  <c r="CE92" i="1"/>
  <c r="CF92" i="1" s="1"/>
  <c r="CB92" i="1"/>
  <c r="CC92" i="1" s="1"/>
  <c r="BY92" i="1"/>
  <c r="BZ92" i="1" s="1"/>
  <c r="BV92" i="1"/>
  <c r="BW92" i="1" s="1"/>
  <c r="BS92" i="1"/>
  <c r="BT92" i="1" s="1"/>
  <c r="BP92" i="1"/>
  <c r="BQ92" i="1" s="1"/>
  <c r="BM92" i="1"/>
  <c r="BN92" i="1" s="1"/>
  <c r="BJ92" i="1"/>
  <c r="BK92" i="1" s="1"/>
  <c r="BG92" i="1"/>
  <c r="BH92" i="1" s="1"/>
  <c r="BD92" i="1"/>
  <c r="BE92" i="1" s="1"/>
  <c r="BA92" i="1"/>
  <c r="BB92" i="1" s="1"/>
  <c r="AX92" i="1"/>
  <c r="AY92" i="1" s="1"/>
  <c r="AU92" i="1"/>
  <c r="AV92" i="1" s="1"/>
  <c r="AR92" i="1"/>
  <c r="AS92" i="1" s="1"/>
  <c r="AO92" i="1"/>
  <c r="AP92" i="1" s="1"/>
  <c r="AL92" i="1"/>
  <c r="AM92" i="1" s="1"/>
  <c r="AI92" i="1"/>
  <c r="AJ92" i="1" s="1"/>
  <c r="AF92" i="1"/>
  <c r="AG92" i="1" s="1"/>
  <c r="AC92" i="1"/>
  <c r="AD92" i="1" s="1"/>
  <c r="Z92" i="1"/>
  <c r="AA92" i="1" s="1"/>
  <c r="W92" i="1"/>
  <c r="X92" i="1" s="1"/>
  <c r="T92" i="1"/>
  <c r="U92" i="1" s="1"/>
  <c r="R92" i="1"/>
  <c r="O92" i="1"/>
  <c r="L92" i="1"/>
  <c r="I92" i="1"/>
  <c r="DO91" i="1"/>
  <c r="DP91" i="1" s="1"/>
  <c r="DM91" i="1"/>
  <c r="DL91" i="1"/>
  <c r="DI91" i="1"/>
  <c r="DJ91" i="1" s="1"/>
  <c r="DF91" i="1"/>
  <c r="DG91" i="1" s="1"/>
  <c r="DC91" i="1"/>
  <c r="DD91" i="1" s="1"/>
  <c r="CZ91" i="1"/>
  <c r="DA91" i="1" s="1"/>
  <c r="CW91" i="1"/>
  <c r="CX91" i="1" s="1"/>
  <c r="CT91" i="1"/>
  <c r="CU91" i="1" s="1"/>
  <c r="CQ91" i="1"/>
  <c r="CR91" i="1" s="1"/>
  <c r="CN91" i="1"/>
  <c r="CO91" i="1" s="1"/>
  <c r="CK91" i="1"/>
  <c r="CL91" i="1" s="1"/>
  <c r="CH91" i="1"/>
  <c r="CI91" i="1" s="1"/>
  <c r="CF91" i="1"/>
  <c r="CE91" i="1"/>
  <c r="CB91" i="1"/>
  <c r="CC91" i="1" s="1"/>
  <c r="BY91" i="1"/>
  <c r="BZ91" i="1" s="1"/>
  <c r="BV91" i="1"/>
  <c r="BW91" i="1" s="1"/>
  <c r="BS91" i="1"/>
  <c r="BT91" i="1" s="1"/>
  <c r="BP91" i="1"/>
  <c r="BQ91" i="1" s="1"/>
  <c r="BM91" i="1"/>
  <c r="BN91" i="1" s="1"/>
  <c r="BJ91" i="1"/>
  <c r="BK91" i="1" s="1"/>
  <c r="BG91" i="1"/>
  <c r="BH91" i="1" s="1"/>
  <c r="BD91" i="1"/>
  <c r="BE91" i="1" s="1"/>
  <c r="BA91" i="1"/>
  <c r="BB91" i="1" s="1"/>
  <c r="AX91" i="1"/>
  <c r="AY91" i="1" s="1"/>
  <c r="AU91" i="1"/>
  <c r="AV91" i="1" s="1"/>
  <c r="AR91" i="1"/>
  <c r="AS91" i="1" s="1"/>
  <c r="AO91" i="1"/>
  <c r="AP91" i="1" s="1"/>
  <c r="AL91" i="1"/>
  <c r="AM91" i="1" s="1"/>
  <c r="AI91" i="1"/>
  <c r="AJ91" i="1" s="1"/>
  <c r="AF91" i="1"/>
  <c r="AG91" i="1" s="1"/>
  <c r="AC91" i="1"/>
  <c r="AD91" i="1" s="1"/>
  <c r="Z91" i="1"/>
  <c r="AA91" i="1" s="1"/>
  <c r="W91" i="1"/>
  <c r="X91" i="1" s="1"/>
  <c r="T91" i="1"/>
  <c r="U91" i="1" s="1"/>
  <c r="R91" i="1"/>
  <c r="O91" i="1"/>
  <c r="L91" i="1"/>
  <c r="I91" i="1"/>
  <c r="DO90" i="1"/>
  <c r="DP90" i="1" s="1"/>
  <c r="DM90" i="1"/>
  <c r="DL90" i="1"/>
  <c r="DI90" i="1"/>
  <c r="DJ90" i="1" s="1"/>
  <c r="DF90" i="1"/>
  <c r="DG90" i="1" s="1"/>
  <c r="DC90" i="1"/>
  <c r="DD90" i="1" s="1"/>
  <c r="CZ90" i="1"/>
  <c r="DA90" i="1" s="1"/>
  <c r="CW90" i="1"/>
  <c r="CX90" i="1" s="1"/>
  <c r="CT90" i="1"/>
  <c r="CU90" i="1" s="1"/>
  <c r="CQ90" i="1"/>
  <c r="CR90" i="1" s="1"/>
  <c r="CN90" i="1"/>
  <c r="CO90" i="1" s="1"/>
  <c r="CK90" i="1"/>
  <c r="CL90" i="1" s="1"/>
  <c r="CH90" i="1"/>
  <c r="CI90" i="1" s="1"/>
  <c r="CE90" i="1"/>
  <c r="CF90" i="1" s="1"/>
  <c r="CB90" i="1"/>
  <c r="CC90" i="1" s="1"/>
  <c r="BY90" i="1"/>
  <c r="BZ90" i="1" s="1"/>
  <c r="BV90" i="1"/>
  <c r="BW90" i="1" s="1"/>
  <c r="BS90" i="1"/>
  <c r="BT90" i="1" s="1"/>
  <c r="BP90" i="1"/>
  <c r="BQ90" i="1" s="1"/>
  <c r="BM90" i="1"/>
  <c r="BN90" i="1" s="1"/>
  <c r="BJ90" i="1"/>
  <c r="BK90" i="1" s="1"/>
  <c r="BG90" i="1"/>
  <c r="BH90" i="1" s="1"/>
  <c r="BE90" i="1"/>
  <c r="BD90" i="1"/>
  <c r="BA90" i="1"/>
  <c r="BB90" i="1" s="1"/>
  <c r="AX90" i="1"/>
  <c r="AY90" i="1" s="1"/>
  <c r="AU90" i="1"/>
  <c r="AV90" i="1" s="1"/>
  <c r="AR90" i="1"/>
  <c r="AS90" i="1" s="1"/>
  <c r="AO90" i="1"/>
  <c r="AP90" i="1" s="1"/>
  <c r="AL90" i="1"/>
  <c r="AM90" i="1" s="1"/>
  <c r="AJ90" i="1"/>
  <c r="AI90" i="1"/>
  <c r="AF90" i="1"/>
  <c r="AG90" i="1" s="1"/>
  <c r="AC90" i="1"/>
  <c r="AD90" i="1" s="1"/>
  <c r="Z90" i="1"/>
  <c r="AA90" i="1" s="1"/>
  <c r="W90" i="1"/>
  <c r="X90" i="1" s="1"/>
  <c r="T90" i="1"/>
  <c r="U90" i="1" s="1"/>
  <c r="R90" i="1"/>
  <c r="O90" i="1"/>
  <c r="L90" i="1"/>
  <c r="I90" i="1"/>
  <c r="DO89" i="1"/>
  <c r="DP89" i="1" s="1"/>
  <c r="DL89" i="1"/>
  <c r="DM89" i="1" s="1"/>
  <c r="DI89" i="1"/>
  <c r="DJ89" i="1" s="1"/>
  <c r="DF89" i="1"/>
  <c r="DG89" i="1" s="1"/>
  <c r="DC89" i="1"/>
  <c r="DD89" i="1" s="1"/>
  <c r="CZ89" i="1"/>
  <c r="DA89" i="1" s="1"/>
  <c r="CW89" i="1"/>
  <c r="CX89" i="1" s="1"/>
  <c r="CT89" i="1"/>
  <c r="CU89" i="1" s="1"/>
  <c r="CQ89" i="1"/>
  <c r="CR89" i="1" s="1"/>
  <c r="CN89" i="1"/>
  <c r="CO89" i="1" s="1"/>
  <c r="CK89" i="1"/>
  <c r="CL89" i="1" s="1"/>
  <c r="CH89" i="1"/>
  <c r="CI89" i="1" s="1"/>
  <c r="CF89" i="1"/>
  <c r="CE89" i="1"/>
  <c r="CB89" i="1"/>
  <c r="CC89" i="1" s="1"/>
  <c r="BY89" i="1"/>
  <c r="BZ89" i="1" s="1"/>
  <c r="BV89" i="1"/>
  <c r="BW89" i="1" s="1"/>
  <c r="BS89" i="1"/>
  <c r="BT89" i="1" s="1"/>
  <c r="BP89" i="1"/>
  <c r="BQ89" i="1" s="1"/>
  <c r="BM89" i="1"/>
  <c r="BN89" i="1" s="1"/>
  <c r="BJ89" i="1"/>
  <c r="BK89" i="1" s="1"/>
  <c r="BG89" i="1"/>
  <c r="BH89" i="1" s="1"/>
  <c r="BD89" i="1"/>
  <c r="BE89" i="1" s="1"/>
  <c r="BA89" i="1"/>
  <c r="BB89" i="1" s="1"/>
  <c r="AX89" i="1"/>
  <c r="AY89" i="1" s="1"/>
  <c r="AU89" i="1"/>
  <c r="AV89" i="1" s="1"/>
  <c r="AR89" i="1"/>
  <c r="AS89" i="1" s="1"/>
  <c r="AO89" i="1"/>
  <c r="AP89" i="1" s="1"/>
  <c r="AL89" i="1"/>
  <c r="AM89" i="1" s="1"/>
  <c r="AJ89" i="1"/>
  <c r="AI89" i="1"/>
  <c r="AF89" i="1"/>
  <c r="AG89" i="1" s="1"/>
  <c r="AC89" i="1"/>
  <c r="AD89" i="1" s="1"/>
  <c r="Z89" i="1"/>
  <c r="AA89" i="1" s="1"/>
  <c r="W89" i="1"/>
  <c r="X89" i="1" s="1"/>
  <c r="T89" i="1"/>
  <c r="U89" i="1" s="1"/>
  <c r="R89" i="1"/>
  <c r="O89" i="1"/>
  <c r="L89" i="1"/>
  <c r="I89" i="1"/>
  <c r="DO88" i="1"/>
  <c r="DP88" i="1" s="1"/>
  <c r="DL88" i="1"/>
  <c r="DM88" i="1" s="1"/>
  <c r="DI88" i="1"/>
  <c r="DJ88" i="1" s="1"/>
  <c r="DF88" i="1"/>
  <c r="DG88" i="1" s="1"/>
  <c r="DC88" i="1"/>
  <c r="DD88" i="1" s="1"/>
  <c r="CZ88" i="1"/>
  <c r="DA88" i="1" s="1"/>
  <c r="CW88" i="1"/>
  <c r="CX88" i="1" s="1"/>
  <c r="CU88" i="1"/>
  <c r="CT88" i="1"/>
  <c r="CQ88" i="1"/>
  <c r="CR88" i="1" s="1"/>
  <c r="CN88" i="1"/>
  <c r="CO88" i="1" s="1"/>
  <c r="CK88" i="1"/>
  <c r="CL88" i="1" s="1"/>
  <c r="CH88" i="1"/>
  <c r="CI88" i="1" s="1"/>
  <c r="CE88" i="1"/>
  <c r="CF88" i="1" s="1"/>
  <c r="CC88" i="1"/>
  <c r="CB88" i="1"/>
  <c r="BY88" i="1"/>
  <c r="BZ88" i="1" s="1"/>
  <c r="BV88" i="1"/>
  <c r="BW88" i="1" s="1"/>
  <c r="BS88" i="1"/>
  <c r="BT88" i="1" s="1"/>
  <c r="BP88" i="1"/>
  <c r="BQ88" i="1" s="1"/>
  <c r="BM88" i="1"/>
  <c r="BN88" i="1" s="1"/>
  <c r="BJ88" i="1"/>
  <c r="BK88" i="1" s="1"/>
  <c r="BG88" i="1"/>
  <c r="BH88" i="1" s="1"/>
  <c r="BE88" i="1"/>
  <c r="BD88" i="1"/>
  <c r="BA88" i="1"/>
  <c r="BB88" i="1" s="1"/>
  <c r="AX88" i="1"/>
  <c r="AY88" i="1" s="1"/>
  <c r="AU88" i="1"/>
  <c r="AV88" i="1" s="1"/>
  <c r="AR88" i="1"/>
  <c r="AS88" i="1" s="1"/>
  <c r="AO88" i="1"/>
  <c r="AP88" i="1" s="1"/>
  <c r="AM88" i="1"/>
  <c r="AL88" i="1"/>
  <c r="AI88" i="1"/>
  <c r="AJ88" i="1" s="1"/>
  <c r="AF88" i="1"/>
  <c r="AG88" i="1" s="1"/>
  <c r="AC88" i="1"/>
  <c r="AD88" i="1" s="1"/>
  <c r="Z88" i="1"/>
  <c r="AA88" i="1" s="1"/>
  <c r="W88" i="1"/>
  <c r="X88" i="1" s="1"/>
  <c r="U88" i="1"/>
  <c r="T88" i="1"/>
  <c r="R88" i="1"/>
  <c r="O88" i="1"/>
  <c r="L88" i="1"/>
  <c r="I88" i="1"/>
  <c r="DO87" i="1"/>
  <c r="DP87" i="1" s="1"/>
  <c r="DM87" i="1"/>
  <c r="DL87" i="1"/>
  <c r="DI87" i="1"/>
  <c r="DJ87" i="1" s="1"/>
  <c r="DF87" i="1"/>
  <c r="DG87" i="1" s="1"/>
  <c r="DC87" i="1"/>
  <c r="DD87" i="1" s="1"/>
  <c r="CZ87" i="1"/>
  <c r="DA87" i="1" s="1"/>
  <c r="CW87" i="1"/>
  <c r="CX87" i="1" s="1"/>
  <c r="CT87" i="1"/>
  <c r="CU87" i="1" s="1"/>
  <c r="CQ87" i="1"/>
  <c r="CR87" i="1" s="1"/>
  <c r="CN87" i="1"/>
  <c r="CO87" i="1" s="1"/>
  <c r="CK87" i="1"/>
  <c r="CL87" i="1" s="1"/>
  <c r="CH87" i="1"/>
  <c r="CI87" i="1" s="1"/>
  <c r="CE87" i="1"/>
  <c r="CF87" i="1" s="1"/>
  <c r="CB87" i="1"/>
  <c r="CC87" i="1" s="1"/>
  <c r="BY87" i="1"/>
  <c r="BZ87" i="1" s="1"/>
  <c r="BV87" i="1"/>
  <c r="BW87" i="1" s="1"/>
  <c r="BS87" i="1"/>
  <c r="BT87" i="1" s="1"/>
  <c r="BP87" i="1"/>
  <c r="BQ87" i="1" s="1"/>
  <c r="BM87" i="1"/>
  <c r="BN87" i="1" s="1"/>
  <c r="BJ87" i="1"/>
  <c r="BK87" i="1" s="1"/>
  <c r="BG87" i="1"/>
  <c r="BH87" i="1" s="1"/>
  <c r="BD87" i="1"/>
  <c r="BE87" i="1" s="1"/>
  <c r="BA87" i="1"/>
  <c r="BB87" i="1" s="1"/>
  <c r="AX87" i="1"/>
  <c r="AY87" i="1" s="1"/>
  <c r="AU87" i="1"/>
  <c r="AV87" i="1" s="1"/>
  <c r="AR87" i="1"/>
  <c r="AS87" i="1" s="1"/>
  <c r="AO87" i="1"/>
  <c r="AP87" i="1" s="1"/>
  <c r="AL87" i="1"/>
  <c r="AM87" i="1" s="1"/>
  <c r="AI87" i="1"/>
  <c r="AJ87" i="1" s="1"/>
  <c r="AF87" i="1"/>
  <c r="AG87" i="1" s="1"/>
  <c r="AC87" i="1"/>
  <c r="AD87" i="1" s="1"/>
  <c r="Z87" i="1"/>
  <c r="AA87" i="1" s="1"/>
  <c r="W87" i="1"/>
  <c r="X87" i="1" s="1"/>
  <c r="T87" i="1"/>
  <c r="U87" i="1" s="1"/>
  <c r="R87" i="1"/>
  <c r="O87" i="1"/>
  <c r="L87" i="1"/>
  <c r="I87" i="1"/>
  <c r="DO86" i="1"/>
  <c r="DP86" i="1" s="1"/>
  <c r="DM86" i="1"/>
  <c r="DL86" i="1"/>
  <c r="DI86" i="1"/>
  <c r="DJ86" i="1" s="1"/>
  <c r="DF86" i="1"/>
  <c r="DG86" i="1" s="1"/>
  <c r="DD86" i="1"/>
  <c r="DC86" i="1"/>
  <c r="DA86" i="1"/>
  <c r="CZ86" i="1"/>
  <c r="CW86" i="1"/>
  <c r="CX86" i="1" s="1"/>
  <c r="CT86" i="1"/>
  <c r="CU86" i="1" s="1"/>
  <c r="CQ86" i="1"/>
  <c r="CR86" i="1" s="1"/>
  <c r="CN86" i="1"/>
  <c r="CO86" i="1" s="1"/>
  <c r="CK86" i="1"/>
  <c r="CL86" i="1" s="1"/>
  <c r="CI86" i="1"/>
  <c r="CH86" i="1"/>
  <c r="CE86" i="1"/>
  <c r="CF86" i="1" s="1"/>
  <c r="CB86" i="1"/>
  <c r="CC86" i="1" s="1"/>
  <c r="BY86" i="1"/>
  <c r="BZ86" i="1" s="1"/>
  <c r="BV86" i="1"/>
  <c r="BW86" i="1" s="1"/>
  <c r="BS86" i="1"/>
  <c r="BT86" i="1" s="1"/>
  <c r="BP86" i="1"/>
  <c r="BQ86" i="1" s="1"/>
  <c r="BM86" i="1"/>
  <c r="BN86" i="1" s="1"/>
  <c r="BJ86" i="1"/>
  <c r="BK86" i="1" s="1"/>
  <c r="BG86" i="1"/>
  <c r="BH86" i="1" s="1"/>
  <c r="BD86" i="1"/>
  <c r="BE86" i="1" s="1"/>
  <c r="BA86" i="1"/>
  <c r="BB86" i="1" s="1"/>
  <c r="AX86" i="1"/>
  <c r="AY86" i="1" s="1"/>
  <c r="AU86" i="1"/>
  <c r="AV86" i="1" s="1"/>
  <c r="AR86" i="1"/>
  <c r="AS86" i="1" s="1"/>
  <c r="AO86" i="1"/>
  <c r="AP86" i="1" s="1"/>
  <c r="AL86" i="1"/>
  <c r="AM86" i="1" s="1"/>
  <c r="AI86" i="1"/>
  <c r="AJ86" i="1" s="1"/>
  <c r="AF86" i="1"/>
  <c r="AG86" i="1" s="1"/>
  <c r="AC86" i="1"/>
  <c r="AD86" i="1" s="1"/>
  <c r="Z86" i="1"/>
  <c r="AA86" i="1" s="1"/>
  <c r="W86" i="1"/>
  <c r="X86" i="1" s="1"/>
  <c r="T86" i="1"/>
  <c r="U86" i="1" s="1"/>
  <c r="R86" i="1"/>
  <c r="O86" i="1"/>
  <c r="L86" i="1"/>
  <c r="I86" i="1"/>
  <c r="DO85" i="1"/>
  <c r="DP85" i="1" s="1"/>
  <c r="DL85" i="1"/>
  <c r="DM85" i="1" s="1"/>
  <c r="DI85" i="1"/>
  <c r="DJ85" i="1" s="1"/>
  <c r="DF85" i="1"/>
  <c r="DG85" i="1" s="1"/>
  <c r="DC85" i="1"/>
  <c r="DD85" i="1" s="1"/>
  <c r="CZ85" i="1"/>
  <c r="DA85" i="1" s="1"/>
  <c r="CW85" i="1"/>
  <c r="CX85" i="1" s="1"/>
  <c r="CU85" i="1"/>
  <c r="CT85" i="1"/>
  <c r="CQ85" i="1"/>
  <c r="CR85" i="1" s="1"/>
  <c r="CN85" i="1"/>
  <c r="CO85" i="1" s="1"/>
  <c r="CK85" i="1"/>
  <c r="CL85" i="1" s="1"/>
  <c r="CH85" i="1"/>
  <c r="CI85" i="1" s="1"/>
  <c r="CE85" i="1"/>
  <c r="CF85" i="1" s="1"/>
  <c r="CC85" i="1"/>
  <c r="CB85" i="1"/>
  <c r="BY85" i="1"/>
  <c r="BZ85" i="1" s="1"/>
  <c r="BV85" i="1"/>
  <c r="BW85" i="1" s="1"/>
  <c r="BS85" i="1"/>
  <c r="BT85" i="1" s="1"/>
  <c r="BP85" i="1"/>
  <c r="BQ85" i="1" s="1"/>
  <c r="BM85" i="1"/>
  <c r="BN85" i="1" s="1"/>
  <c r="BJ85" i="1"/>
  <c r="BK85" i="1" s="1"/>
  <c r="BH85" i="1"/>
  <c r="BG85" i="1"/>
  <c r="BE85" i="1"/>
  <c r="BD85" i="1"/>
  <c r="BA85" i="1"/>
  <c r="BB85" i="1" s="1"/>
  <c r="AX85" i="1"/>
  <c r="AY85" i="1" s="1"/>
  <c r="AU85" i="1"/>
  <c r="AV85" i="1" s="1"/>
  <c r="AR85" i="1"/>
  <c r="AS85" i="1" s="1"/>
  <c r="AO85" i="1"/>
  <c r="AP85" i="1" s="1"/>
  <c r="AM85" i="1"/>
  <c r="AL85" i="1"/>
  <c r="AI85" i="1"/>
  <c r="AJ85" i="1" s="1"/>
  <c r="AF85" i="1"/>
  <c r="AG85" i="1" s="1"/>
  <c r="AC85" i="1"/>
  <c r="AD85" i="1" s="1"/>
  <c r="Z85" i="1"/>
  <c r="AA85" i="1" s="1"/>
  <c r="W85" i="1"/>
  <c r="X85" i="1" s="1"/>
  <c r="U85" i="1"/>
  <c r="T85" i="1"/>
  <c r="R85" i="1"/>
  <c r="O85" i="1"/>
  <c r="L85" i="1"/>
  <c r="I85" i="1"/>
  <c r="DO84" i="1"/>
  <c r="DP84" i="1" s="1"/>
  <c r="DL84" i="1"/>
  <c r="DM84" i="1" s="1"/>
  <c r="DI84" i="1"/>
  <c r="DJ84" i="1" s="1"/>
  <c r="DG84" i="1"/>
  <c r="DF84" i="1"/>
  <c r="DC84" i="1"/>
  <c r="DD84" i="1" s="1"/>
  <c r="CZ84" i="1"/>
  <c r="DA84" i="1" s="1"/>
  <c r="CW84" i="1"/>
  <c r="CX84" i="1" s="1"/>
  <c r="CU84" i="1"/>
  <c r="CT84" i="1"/>
  <c r="CQ84" i="1"/>
  <c r="CR84" i="1" s="1"/>
  <c r="CN84" i="1"/>
  <c r="CO84" i="1" s="1"/>
  <c r="CK84" i="1"/>
  <c r="CL84" i="1" s="1"/>
  <c r="CH84" i="1"/>
  <c r="CI84" i="1" s="1"/>
  <c r="CE84" i="1"/>
  <c r="CF84" i="1" s="1"/>
  <c r="CC84" i="1"/>
  <c r="CB84" i="1"/>
  <c r="BY84" i="1"/>
  <c r="BZ84" i="1" s="1"/>
  <c r="BV84" i="1"/>
  <c r="BW84" i="1" s="1"/>
  <c r="BS84" i="1"/>
  <c r="BT84" i="1" s="1"/>
  <c r="BP84" i="1"/>
  <c r="BQ84" i="1" s="1"/>
  <c r="BM84" i="1"/>
  <c r="BN84" i="1" s="1"/>
  <c r="BJ84" i="1"/>
  <c r="BK84" i="1" s="1"/>
  <c r="BG84" i="1"/>
  <c r="BH84" i="1" s="1"/>
  <c r="BD84" i="1"/>
  <c r="BE84" i="1" s="1"/>
  <c r="BA84" i="1"/>
  <c r="BB84" i="1" s="1"/>
  <c r="AX84" i="1"/>
  <c r="AY84" i="1" s="1"/>
  <c r="AU84" i="1"/>
  <c r="AV84" i="1" s="1"/>
  <c r="AR84" i="1"/>
  <c r="AS84" i="1" s="1"/>
  <c r="AO84" i="1"/>
  <c r="AP84" i="1" s="1"/>
  <c r="AM84" i="1"/>
  <c r="AL84" i="1"/>
  <c r="AI84" i="1"/>
  <c r="AJ84" i="1" s="1"/>
  <c r="AF84" i="1"/>
  <c r="AG84" i="1" s="1"/>
  <c r="AC84" i="1"/>
  <c r="AD84" i="1" s="1"/>
  <c r="Z84" i="1"/>
  <c r="AA84" i="1" s="1"/>
  <c r="W84" i="1"/>
  <c r="X84" i="1" s="1"/>
  <c r="T84" i="1"/>
  <c r="U84" i="1" s="1"/>
  <c r="R84" i="1"/>
  <c r="O84" i="1"/>
  <c r="L84" i="1"/>
  <c r="I84" i="1"/>
  <c r="DO83" i="1"/>
  <c r="DP83" i="1" s="1"/>
  <c r="DL83" i="1"/>
  <c r="DM83" i="1" s="1"/>
  <c r="DI83" i="1"/>
  <c r="DJ83" i="1" s="1"/>
  <c r="DG83" i="1"/>
  <c r="DF83" i="1"/>
  <c r="DC83" i="1"/>
  <c r="DD83" i="1" s="1"/>
  <c r="CZ83" i="1"/>
  <c r="DA83" i="1" s="1"/>
  <c r="CW83" i="1"/>
  <c r="CX83" i="1" s="1"/>
  <c r="CT83" i="1"/>
  <c r="CU83" i="1" s="1"/>
  <c r="CQ83" i="1"/>
  <c r="CR83" i="1" s="1"/>
  <c r="CN83" i="1"/>
  <c r="CO83" i="1" s="1"/>
  <c r="CK83" i="1"/>
  <c r="CL83" i="1" s="1"/>
  <c r="CH83" i="1"/>
  <c r="CI83" i="1" s="1"/>
  <c r="CF83" i="1"/>
  <c r="CE83" i="1"/>
  <c r="CB83" i="1"/>
  <c r="CC83" i="1" s="1"/>
  <c r="BY83" i="1"/>
  <c r="BZ83" i="1" s="1"/>
  <c r="BW83" i="1"/>
  <c r="BV83" i="1"/>
  <c r="BT83" i="1"/>
  <c r="BS83" i="1"/>
  <c r="BP83" i="1"/>
  <c r="BQ83" i="1" s="1"/>
  <c r="BM83" i="1"/>
  <c r="BN83" i="1" s="1"/>
  <c r="BJ83" i="1"/>
  <c r="BK83" i="1" s="1"/>
  <c r="BG83" i="1"/>
  <c r="BH83" i="1" s="1"/>
  <c r="BE83" i="1"/>
  <c r="BD83" i="1"/>
  <c r="BA83" i="1"/>
  <c r="BB83" i="1" s="1"/>
  <c r="AX83" i="1"/>
  <c r="AY83" i="1" s="1"/>
  <c r="AU83" i="1"/>
  <c r="AV83" i="1" s="1"/>
  <c r="AR83" i="1"/>
  <c r="AS83" i="1" s="1"/>
  <c r="AO83" i="1"/>
  <c r="AP83" i="1" s="1"/>
  <c r="AM83" i="1"/>
  <c r="AL83" i="1"/>
  <c r="AI83" i="1"/>
  <c r="AJ83" i="1" s="1"/>
  <c r="AF83" i="1"/>
  <c r="AG83" i="1" s="1"/>
  <c r="AC83" i="1"/>
  <c r="AD83" i="1" s="1"/>
  <c r="Z83" i="1"/>
  <c r="AA83" i="1" s="1"/>
  <c r="W83" i="1"/>
  <c r="X83" i="1" s="1"/>
  <c r="T83" i="1"/>
  <c r="U83" i="1" s="1"/>
  <c r="R83" i="1"/>
  <c r="O83" i="1"/>
  <c r="L83" i="1"/>
  <c r="I83" i="1"/>
  <c r="DO82" i="1"/>
  <c r="DP82" i="1" s="1"/>
  <c r="DL82" i="1"/>
  <c r="DM82" i="1" s="1"/>
  <c r="DI82" i="1"/>
  <c r="DJ82" i="1" s="1"/>
  <c r="DG82" i="1"/>
  <c r="DF82" i="1"/>
  <c r="DC82" i="1"/>
  <c r="DD82" i="1" s="1"/>
  <c r="CZ82" i="1"/>
  <c r="DA82" i="1" s="1"/>
  <c r="CW82" i="1"/>
  <c r="CX82" i="1" s="1"/>
  <c r="CT82" i="1"/>
  <c r="CU82" i="1" s="1"/>
  <c r="CQ82" i="1"/>
  <c r="CR82" i="1" s="1"/>
  <c r="CN82" i="1"/>
  <c r="CO82" i="1" s="1"/>
  <c r="CK82" i="1"/>
  <c r="CL82" i="1" s="1"/>
  <c r="CH82" i="1"/>
  <c r="CI82" i="1" s="1"/>
  <c r="CE82" i="1"/>
  <c r="CF82" i="1" s="1"/>
  <c r="CC82" i="1"/>
  <c r="CB82" i="1"/>
  <c r="BY82" i="1"/>
  <c r="BZ82" i="1" s="1"/>
  <c r="BV82" i="1"/>
  <c r="BW82" i="1" s="1"/>
  <c r="BS82" i="1"/>
  <c r="BT82" i="1" s="1"/>
  <c r="BP82" i="1"/>
  <c r="BQ82" i="1" s="1"/>
  <c r="BM82" i="1"/>
  <c r="BN82" i="1" s="1"/>
  <c r="BK82" i="1"/>
  <c r="BJ82" i="1"/>
  <c r="BG82" i="1"/>
  <c r="BH82" i="1" s="1"/>
  <c r="BD82" i="1"/>
  <c r="BE82" i="1" s="1"/>
  <c r="BA82" i="1"/>
  <c r="BB82" i="1" s="1"/>
  <c r="AX82" i="1"/>
  <c r="AY82" i="1" s="1"/>
  <c r="AU82" i="1"/>
  <c r="AV82" i="1" s="1"/>
  <c r="AR82" i="1"/>
  <c r="AS82" i="1" s="1"/>
  <c r="AO82" i="1"/>
  <c r="AP82" i="1" s="1"/>
  <c r="AM82" i="1"/>
  <c r="AL82" i="1"/>
  <c r="AI82" i="1"/>
  <c r="AJ82" i="1" s="1"/>
  <c r="AF82" i="1"/>
  <c r="AG82" i="1" s="1"/>
  <c r="AC82" i="1"/>
  <c r="AD82" i="1" s="1"/>
  <c r="Z82" i="1"/>
  <c r="AA82" i="1" s="1"/>
  <c r="W82" i="1"/>
  <c r="X82" i="1" s="1"/>
  <c r="T82" i="1"/>
  <c r="U82" i="1" s="1"/>
  <c r="R82" i="1"/>
  <c r="O82" i="1"/>
  <c r="L82" i="1"/>
  <c r="I82" i="1"/>
  <c r="DO81" i="1"/>
  <c r="DP81" i="1" s="1"/>
  <c r="DL81" i="1"/>
  <c r="DM81" i="1" s="1"/>
  <c r="DI81" i="1"/>
  <c r="DJ81" i="1" s="1"/>
  <c r="DG81" i="1"/>
  <c r="DF81" i="1"/>
  <c r="DC81" i="1"/>
  <c r="DD81" i="1" s="1"/>
  <c r="CZ81" i="1"/>
  <c r="DA81" i="1" s="1"/>
  <c r="CW81" i="1"/>
  <c r="CX81" i="1" s="1"/>
  <c r="CT81" i="1"/>
  <c r="CU81" i="1" s="1"/>
  <c r="CQ81" i="1"/>
  <c r="CR81" i="1" s="1"/>
  <c r="CN81" i="1"/>
  <c r="CO81" i="1" s="1"/>
  <c r="CK81" i="1"/>
  <c r="CL81" i="1" s="1"/>
  <c r="CH81" i="1"/>
  <c r="CI81" i="1" s="1"/>
  <c r="CF81" i="1"/>
  <c r="CE81" i="1"/>
  <c r="CB81" i="1"/>
  <c r="CC81" i="1" s="1"/>
  <c r="BY81" i="1"/>
  <c r="BZ81" i="1" s="1"/>
  <c r="BV81" i="1"/>
  <c r="BW81" i="1" s="1"/>
  <c r="BT81" i="1"/>
  <c r="BS81" i="1"/>
  <c r="BP81" i="1"/>
  <c r="BQ81" i="1" s="1"/>
  <c r="BM81" i="1"/>
  <c r="BN81" i="1" s="1"/>
  <c r="BJ81" i="1"/>
  <c r="BK81" i="1" s="1"/>
  <c r="BG81" i="1"/>
  <c r="BH81" i="1" s="1"/>
  <c r="BD81" i="1"/>
  <c r="BE81" i="1" s="1"/>
  <c r="BA81" i="1"/>
  <c r="BB81" i="1" s="1"/>
  <c r="AX81" i="1"/>
  <c r="AY81" i="1" s="1"/>
  <c r="AU81" i="1"/>
  <c r="AV81" i="1" s="1"/>
  <c r="AR81" i="1"/>
  <c r="AS81" i="1" s="1"/>
  <c r="AO81" i="1"/>
  <c r="AP81" i="1" s="1"/>
  <c r="AL81" i="1"/>
  <c r="AM81" i="1" s="1"/>
  <c r="AJ81" i="1"/>
  <c r="AI81" i="1"/>
  <c r="AF81" i="1"/>
  <c r="AG81" i="1" s="1"/>
  <c r="AC81" i="1"/>
  <c r="AD81" i="1" s="1"/>
  <c r="Z81" i="1"/>
  <c r="AA81" i="1" s="1"/>
  <c r="W81" i="1"/>
  <c r="X81" i="1" s="1"/>
  <c r="T81" i="1"/>
  <c r="U81" i="1" s="1"/>
  <c r="R81" i="1"/>
  <c r="O81" i="1"/>
  <c r="L81" i="1"/>
  <c r="I81" i="1"/>
  <c r="DO80" i="1"/>
  <c r="DP80" i="1" s="1"/>
  <c r="DL80" i="1"/>
  <c r="DM80" i="1" s="1"/>
  <c r="DI80" i="1"/>
  <c r="DJ80" i="1" s="1"/>
  <c r="DF80" i="1"/>
  <c r="DG80" i="1" s="1"/>
  <c r="DD80" i="1"/>
  <c r="DC80" i="1"/>
  <c r="CZ80" i="1"/>
  <c r="DA80" i="1" s="1"/>
  <c r="CW80" i="1"/>
  <c r="CX80" i="1" s="1"/>
  <c r="CT80" i="1"/>
  <c r="CU80" i="1" s="1"/>
  <c r="CQ80" i="1"/>
  <c r="CR80" i="1" s="1"/>
  <c r="CN80" i="1"/>
  <c r="CO80" i="1" s="1"/>
  <c r="CK80" i="1"/>
  <c r="CL80" i="1" s="1"/>
  <c r="CH80" i="1"/>
  <c r="CI80" i="1" s="1"/>
  <c r="CE80" i="1"/>
  <c r="CF80" i="1" s="1"/>
  <c r="CB80" i="1"/>
  <c r="CC80" i="1" s="1"/>
  <c r="BY80" i="1"/>
  <c r="BZ80" i="1" s="1"/>
  <c r="BV80" i="1"/>
  <c r="BW80" i="1" s="1"/>
  <c r="BT80" i="1"/>
  <c r="BS80" i="1"/>
  <c r="BP80" i="1"/>
  <c r="BQ80" i="1" s="1"/>
  <c r="BM80" i="1"/>
  <c r="BN80" i="1" s="1"/>
  <c r="BJ80" i="1"/>
  <c r="BK80" i="1" s="1"/>
  <c r="BG80" i="1"/>
  <c r="BH80" i="1" s="1"/>
  <c r="BD80" i="1"/>
  <c r="BE80" i="1" s="1"/>
  <c r="BA80" i="1"/>
  <c r="BB80" i="1" s="1"/>
  <c r="AX80" i="1"/>
  <c r="AY80" i="1" s="1"/>
  <c r="AU80" i="1"/>
  <c r="AV80" i="1" s="1"/>
  <c r="AR80" i="1"/>
  <c r="AS80" i="1" s="1"/>
  <c r="AO80" i="1"/>
  <c r="AP80" i="1" s="1"/>
  <c r="AL80" i="1"/>
  <c r="AM80" i="1" s="1"/>
  <c r="AJ80" i="1"/>
  <c r="AI80" i="1"/>
  <c r="AF80" i="1"/>
  <c r="AG80" i="1" s="1"/>
  <c r="AC80" i="1"/>
  <c r="AD80" i="1" s="1"/>
  <c r="Z80" i="1"/>
  <c r="AA80" i="1" s="1"/>
  <c r="W80" i="1"/>
  <c r="X80" i="1" s="1"/>
  <c r="T80" i="1"/>
  <c r="U80" i="1" s="1"/>
  <c r="R80" i="1"/>
  <c r="O80" i="1"/>
  <c r="L80" i="1"/>
  <c r="I80" i="1"/>
  <c r="DO79" i="1"/>
  <c r="DP79" i="1" s="1"/>
  <c r="DL79" i="1"/>
  <c r="DM79" i="1" s="1"/>
  <c r="DI79" i="1"/>
  <c r="DJ79" i="1" s="1"/>
  <c r="DF79" i="1"/>
  <c r="DG79" i="1" s="1"/>
  <c r="DC79" i="1"/>
  <c r="DD79" i="1" s="1"/>
  <c r="CZ79" i="1"/>
  <c r="DA79" i="1" s="1"/>
  <c r="CW79" i="1"/>
  <c r="CX79" i="1" s="1"/>
  <c r="CU79" i="1"/>
  <c r="CT79" i="1"/>
  <c r="CQ79" i="1"/>
  <c r="CR79" i="1" s="1"/>
  <c r="CN79" i="1"/>
  <c r="CO79" i="1" s="1"/>
  <c r="CK79" i="1"/>
  <c r="CL79" i="1" s="1"/>
  <c r="CH79" i="1"/>
  <c r="CI79" i="1" s="1"/>
  <c r="CE79" i="1"/>
  <c r="CF79" i="1" s="1"/>
  <c r="CC79" i="1"/>
  <c r="CB79" i="1"/>
  <c r="BY79" i="1"/>
  <c r="BZ79" i="1" s="1"/>
  <c r="BV79" i="1"/>
  <c r="BW79" i="1" s="1"/>
  <c r="BS79" i="1"/>
  <c r="BT79" i="1" s="1"/>
  <c r="BP79" i="1"/>
  <c r="BQ79" i="1" s="1"/>
  <c r="BM79" i="1"/>
  <c r="BN79" i="1" s="1"/>
  <c r="BJ79" i="1"/>
  <c r="BK79" i="1" s="1"/>
  <c r="BG79" i="1"/>
  <c r="BH79" i="1" s="1"/>
  <c r="BE79" i="1"/>
  <c r="BD79" i="1"/>
  <c r="BA79" i="1"/>
  <c r="BB79" i="1" s="1"/>
  <c r="AX79" i="1"/>
  <c r="AY79" i="1" s="1"/>
  <c r="AU79" i="1"/>
  <c r="AV79" i="1" s="1"/>
  <c r="AR79" i="1"/>
  <c r="AS79" i="1" s="1"/>
  <c r="AO79" i="1"/>
  <c r="AP79" i="1" s="1"/>
  <c r="AM79" i="1"/>
  <c r="AL79" i="1"/>
  <c r="AI79" i="1"/>
  <c r="AJ79" i="1" s="1"/>
  <c r="AF79" i="1"/>
  <c r="AG79" i="1" s="1"/>
  <c r="AC79" i="1"/>
  <c r="AD79" i="1" s="1"/>
  <c r="Z79" i="1"/>
  <c r="AA79" i="1" s="1"/>
  <c r="W79" i="1"/>
  <c r="X79" i="1" s="1"/>
  <c r="U79" i="1"/>
  <c r="T79" i="1"/>
  <c r="R79" i="1"/>
  <c r="O79" i="1"/>
  <c r="L79" i="1"/>
  <c r="I79" i="1"/>
  <c r="DO78" i="1"/>
  <c r="DP78" i="1" s="1"/>
  <c r="DM78" i="1"/>
  <c r="DL78" i="1"/>
  <c r="DI78" i="1"/>
  <c r="DJ78" i="1" s="1"/>
  <c r="DG78" i="1"/>
  <c r="DF78" i="1"/>
  <c r="DC78" i="1"/>
  <c r="DD78" i="1" s="1"/>
  <c r="CZ78" i="1"/>
  <c r="DA78" i="1" s="1"/>
  <c r="CW78" i="1"/>
  <c r="CX78" i="1" s="1"/>
  <c r="CU78" i="1"/>
  <c r="CT78" i="1"/>
  <c r="CQ78" i="1"/>
  <c r="CR78" i="1" s="1"/>
  <c r="CN78" i="1"/>
  <c r="CO78" i="1" s="1"/>
  <c r="CK78" i="1"/>
  <c r="CL78" i="1" s="1"/>
  <c r="CH78" i="1"/>
  <c r="CI78" i="1" s="1"/>
  <c r="CE78" i="1"/>
  <c r="CF78" i="1" s="1"/>
  <c r="CC78" i="1"/>
  <c r="CB78" i="1"/>
  <c r="BY78" i="1"/>
  <c r="BZ78" i="1" s="1"/>
  <c r="BV78" i="1"/>
  <c r="BW78" i="1" s="1"/>
  <c r="BS78" i="1"/>
  <c r="BT78" i="1" s="1"/>
  <c r="BP78" i="1"/>
  <c r="BQ78" i="1" s="1"/>
  <c r="BM78" i="1"/>
  <c r="BN78" i="1" s="1"/>
  <c r="BJ78" i="1"/>
  <c r="BK78" i="1" s="1"/>
  <c r="BG78" i="1"/>
  <c r="BH78" i="1" s="1"/>
  <c r="BE78" i="1"/>
  <c r="BD78" i="1"/>
  <c r="BA78" i="1"/>
  <c r="BB78" i="1" s="1"/>
  <c r="AX78" i="1"/>
  <c r="AY78" i="1" s="1"/>
  <c r="AU78" i="1"/>
  <c r="AV78" i="1" s="1"/>
  <c r="AR78" i="1"/>
  <c r="AS78" i="1" s="1"/>
  <c r="AO78" i="1"/>
  <c r="AP78" i="1" s="1"/>
  <c r="AM78" i="1"/>
  <c r="AL78" i="1"/>
  <c r="AI78" i="1"/>
  <c r="AJ78" i="1" s="1"/>
  <c r="AF78" i="1"/>
  <c r="AG78" i="1" s="1"/>
  <c r="AC78" i="1"/>
  <c r="AD78" i="1" s="1"/>
  <c r="Z78" i="1"/>
  <c r="AA78" i="1" s="1"/>
  <c r="W78" i="1"/>
  <c r="X78" i="1" s="1"/>
  <c r="T78" i="1"/>
  <c r="U78" i="1" s="1"/>
  <c r="DO77" i="1"/>
  <c r="DP77" i="1" s="1"/>
  <c r="DL77" i="1"/>
  <c r="DM77" i="1" s="1"/>
  <c r="DI77" i="1"/>
  <c r="DJ77" i="1" s="1"/>
  <c r="DF77" i="1"/>
  <c r="DG77" i="1" s="1"/>
  <c r="DC77" i="1"/>
  <c r="DD77" i="1" s="1"/>
  <c r="DA77" i="1"/>
  <c r="CZ77" i="1"/>
  <c r="CW77" i="1"/>
  <c r="CX77" i="1" s="1"/>
  <c r="CT77" i="1"/>
  <c r="CU77" i="1" s="1"/>
  <c r="CQ77" i="1"/>
  <c r="CR77" i="1" s="1"/>
  <c r="CN77" i="1"/>
  <c r="CO77" i="1" s="1"/>
  <c r="CK77" i="1"/>
  <c r="CL77" i="1" s="1"/>
  <c r="CH77" i="1"/>
  <c r="CI77" i="1" s="1"/>
  <c r="CE77" i="1"/>
  <c r="CF77" i="1" s="1"/>
  <c r="CC77" i="1"/>
  <c r="CB77" i="1"/>
  <c r="BY77" i="1"/>
  <c r="BZ77" i="1" s="1"/>
  <c r="BV77" i="1"/>
  <c r="BW77" i="1" s="1"/>
  <c r="BS77" i="1"/>
  <c r="BT77" i="1" s="1"/>
  <c r="BP77" i="1"/>
  <c r="BQ77" i="1" s="1"/>
  <c r="BM77" i="1"/>
  <c r="BN77" i="1" s="1"/>
  <c r="BK77" i="1"/>
  <c r="BJ77" i="1"/>
  <c r="BG77" i="1"/>
  <c r="BH77" i="1" s="1"/>
  <c r="BD77" i="1"/>
  <c r="BE77" i="1" s="1"/>
  <c r="BA77" i="1"/>
  <c r="BB77" i="1" s="1"/>
  <c r="AX77" i="1"/>
  <c r="AY77" i="1" s="1"/>
  <c r="AU77" i="1"/>
  <c r="AV77" i="1" s="1"/>
  <c r="AS77" i="1"/>
  <c r="AR77" i="1"/>
  <c r="AO77" i="1"/>
  <c r="AP77" i="1" s="1"/>
  <c r="AM77" i="1"/>
  <c r="AL77" i="1"/>
  <c r="AI77" i="1"/>
  <c r="AJ77" i="1" s="1"/>
  <c r="AF77" i="1"/>
  <c r="AG77" i="1" s="1"/>
  <c r="AC77" i="1"/>
  <c r="AD77" i="1" s="1"/>
  <c r="Z77" i="1"/>
  <c r="AA77" i="1" s="1"/>
  <c r="W77" i="1"/>
  <c r="X77" i="1" s="1"/>
  <c r="T77" i="1"/>
  <c r="U77" i="1" s="1"/>
  <c r="O77" i="1"/>
  <c r="L77" i="1"/>
  <c r="I77" i="1"/>
  <c r="DP76" i="1"/>
  <c r="DO76" i="1"/>
  <c r="DL76" i="1"/>
  <c r="DM76" i="1" s="1"/>
  <c r="DI76" i="1"/>
  <c r="DJ76" i="1" s="1"/>
  <c r="DF76" i="1"/>
  <c r="DG76" i="1" s="1"/>
  <c r="DC76" i="1"/>
  <c r="DD76" i="1" s="1"/>
  <c r="CZ76" i="1"/>
  <c r="DA76" i="1" s="1"/>
  <c r="CX76" i="1"/>
  <c r="CW76" i="1"/>
  <c r="CT76" i="1"/>
  <c r="CU76" i="1" s="1"/>
  <c r="CQ76" i="1"/>
  <c r="CR76" i="1" s="1"/>
  <c r="CN76" i="1"/>
  <c r="CO76" i="1" s="1"/>
  <c r="CK76" i="1"/>
  <c r="CL76" i="1" s="1"/>
  <c r="CH76" i="1"/>
  <c r="CI76" i="1" s="1"/>
  <c r="CF76" i="1"/>
  <c r="CE76" i="1"/>
  <c r="CB76" i="1"/>
  <c r="CC76" i="1" s="1"/>
  <c r="BY76" i="1"/>
  <c r="BZ76" i="1" s="1"/>
  <c r="BV76" i="1"/>
  <c r="BW76" i="1" s="1"/>
  <c r="BS76" i="1"/>
  <c r="BT76" i="1" s="1"/>
  <c r="BP76" i="1"/>
  <c r="BQ76" i="1" s="1"/>
  <c r="BM76" i="1"/>
  <c r="BN76" i="1" s="1"/>
  <c r="BJ76" i="1"/>
  <c r="BK76" i="1" s="1"/>
  <c r="BG76" i="1"/>
  <c r="BH76" i="1" s="1"/>
  <c r="BD76" i="1"/>
  <c r="BE76" i="1" s="1"/>
  <c r="BA76" i="1"/>
  <c r="BB76" i="1" s="1"/>
  <c r="AX76" i="1"/>
  <c r="AY76" i="1" s="1"/>
  <c r="AU76" i="1"/>
  <c r="AV76" i="1" s="1"/>
  <c r="AR76" i="1"/>
  <c r="AS76" i="1" s="1"/>
  <c r="AO76" i="1"/>
  <c r="AP76" i="1" s="1"/>
  <c r="AL76" i="1"/>
  <c r="AM76" i="1" s="1"/>
  <c r="AI76" i="1"/>
  <c r="AJ76" i="1" s="1"/>
  <c r="AF76" i="1"/>
  <c r="AG76" i="1" s="1"/>
  <c r="AC76" i="1"/>
  <c r="AD76" i="1" s="1"/>
  <c r="Z76" i="1"/>
  <c r="AA76" i="1" s="1"/>
  <c r="X76" i="1"/>
  <c r="W76" i="1"/>
  <c r="T76" i="1"/>
  <c r="U76" i="1" s="1"/>
  <c r="I76" i="1"/>
  <c r="DO75" i="1"/>
  <c r="DP75" i="1" s="1"/>
  <c r="DL75" i="1"/>
  <c r="DM75" i="1" s="1"/>
  <c r="DI75" i="1"/>
  <c r="DJ75" i="1" s="1"/>
  <c r="DG75" i="1"/>
  <c r="DF75" i="1"/>
  <c r="DC75" i="1"/>
  <c r="DD75" i="1" s="1"/>
  <c r="CZ75" i="1"/>
  <c r="DA75" i="1" s="1"/>
  <c r="CW75" i="1"/>
  <c r="CX75" i="1" s="1"/>
  <c r="CT75" i="1"/>
  <c r="CU75" i="1" s="1"/>
  <c r="CQ75" i="1"/>
  <c r="CR75" i="1" s="1"/>
  <c r="CO75" i="1"/>
  <c r="CN75" i="1"/>
  <c r="CK75" i="1"/>
  <c r="CL75" i="1" s="1"/>
  <c r="CH75" i="1"/>
  <c r="CI75" i="1" s="1"/>
  <c r="CE75" i="1"/>
  <c r="CF75" i="1" s="1"/>
  <c r="CB75" i="1"/>
  <c r="CC75" i="1" s="1"/>
  <c r="BY75" i="1"/>
  <c r="BZ75" i="1" s="1"/>
  <c r="BW75" i="1"/>
  <c r="BV75" i="1"/>
  <c r="BS75" i="1"/>
  <c r="BT75" i="1" s="1"/>
  <c r="BP75" i="1"/>
  <c r="BQ75" i="1" s="1"/>
  <c r="BM75" i="1"/>
  <c r="BN75" i="1" s="1"/>
  <c r="BJ75" i="1"/>
  <c r="BK75" i="1" s="1"/>
  <c r="BH75" i="1"/>
  <c r="BG75" i="1"/>
  <c r="BD75" i="1"/>
  <c r="BE75" i="1" s="1"/>
  <c r="BA75" i="1"/>
  <c r="BB75" i="1" s="1"/>
  <c r="AX75" i="1"/>
  <c r="AY75" i="1" s="1"/>
  <c r="AU75" i="1"/>
  <c r="AV75" i="1" s="1"/>
  <c r="AR75" i="1"/>
  <c r="AS75" i="1" s="1"/>
  <c r="AO75" i="1"/>
  <c r="AP75" i="1" s="1"/>
  <c r="AL75" i="1"/>
  <c r="AM75" i="1" s="1"/>
  <c r="AI75" i="1"/>
  <c r="AJ75" i="1" s="1"/>
  <c r="AF75" i="1"/>
  <c r="AG75" i="1" s="1"/>
  <c r="AC75" i="1"/>
  <c r="AD75" i="1" s="1"/>
  <c r="Z75" i="1"/>
  <c r="AA75" i="1" s="1"/>
  <c r="W75" i="1"/>
  <c r="X75" i="1" s="1"/>
  <c r="T75" i="1"/>
  <c r="U75" i="1" s="1"/>
  <c r="R75" i="1"/>
  <c r="O75" i="1"/>
  <c r="L75" i="1"/>
  <c r="I75" i="1"/>
  <c r="DO74" i="1"/>
  <c r="DP74" i="1" s="1"/>
  <c r="DL74" i="1"/>
  <c r="DM74" i="1" s="1"/>
  <c r="DI74" i="1"/>
  <c r="DJ74" i="1" s="1"/>
  <c r="DG74" i="1"/>
  <c r="DF74" i="1"/>
  <c r="DC74" i="1"/>
  <c r="DD74" i="1" s="1"/>
  <c r="CZ74" i="1"/>
  <c r="DA74" i="1" s="1"/>
  <c r="CW74" i="1"/>
  <c r="CX74" i="1" s="1"/>
  <c r="CT74" i="1"/>
  <c r="CU74" i="1" s="1"/>
  <c r="CQ74" i="1"/>
  <c r="CR74" i="1" s="1"/>
  <c r="CN74" i="1"/>
  <c r="CO74" i="1" s="1"/>
  <c r="CK74" i="1"/>
  <c r="CL74" i="1" s="1"/>
  <c r="CI74" i="1"/>
  <c r="CH74" i="1"/>
  <c r="CF74" i="1"/>
  <c r="CE74" i="1"/>
  <c r="CB74" i="1"/>
  <c r="CC74" i="1" s="1"/>
  <c r="BY74" i="1"/>
  <c r="BZ74" i="1" s="1"/>
  <c r="BW74" i="1"/>
  <c r="BV74" i="1"/>
  <c r="BS74" i="1"/>
  <c r="BT74" i="1" s="1"/>
  <c r="BP74" i="1"/>
  <c r="BQ74" i="1" s="1"/>
  <c r="BM74" i="1"/>
  <c r="BN74" i="1" s="1"/>
  <c r="BJ74" i="1"/>
  <c r="BK74" i="1" s="1"/>
  <c r="BG74" i="1"/>
  <c r="BH74" i="1" s="1"/>
  <c r="BD74" i="1"/>
  <c r="BE74" i="1" s="1"/>
  <c r="BA74" i="1"/>
  <c r="BB74" i="1" s="1"/>
  <c r="AY74" i="1"/>
  <c r="AX74" i="1"/>
  <c r="AU74" i="1"/>
  <c r="AV74" i="1" s="1"/>
  <c r="AR74" i="1"/>
  <c r="AS74" i="1" s="1"/>
  <c r="AO74" i="1"/>
  <c r="AP74" i="1" s="1"/>
  <c r="AL74" i="1"/>
  <c r="AM74" i="1" s="1"/>
  <c r="AJ74" i="1"/>
  <c r="AI74" i="1"/>
  <c r="AG74" i="1"/>
  <c r="AF74" i="1"/>
  <c r="AC74" i="1"/>
  <c r="AD74" i="1" s="1"/>
  <c r="Z74" i="1"/>
  <c r="AA74" i="1" s="1"/>
  <c r="W74" i="1"/>
  <c r="X74" i="1" s="1"/>
  <c r="T74" i="1"/>
  <c r="U74" i="1" s="1"/>
  <c r="I74" i="1"/>
  <c r="DP73" i="1"/>
  <c r="DO73" i="1"/>
  <c r="DL73" i="1"/>
  <c r="DM73" i="1" s="1"/>
  <c r="DI73" i="1"/>
  <c r="DJ73" i="1" s="1"/>
  <c r="DF73" i="1"/>
  <c r="DG73" i="1" s="1"/>
  <c r="DD73" i="1"/>
  <c r="DC73" i="1"/>
  <c r="CZ73" i="1"/>
  <c r="DA73" i="1" s="1"/>
  <c r="CW73" i="1"/>
  <c r="CX73" i="1" s="1"/>
  <c r="CT73" i="1"/>
  <c r="CU73" i="1" s="1"/>
  <c r="CQ73" i="1"/>
  <c r="CR73" i="1" s="1"/>
  <c r="CN73" i="1"/>
  <c r="CO73" i="1" s="1"/>
  <c r="CK73" i="1"/>
  <c r="CL73" i="1" s="1"/>
  <c r="CH73" i="1"/>
  <c r="CI73" i="1" s="1"/>
  <c r="CE73" i="1"/>
  <c r="CF73" i="1" s="1"/>
  <c r="CB73" i="1"/>
  <c r="CC73" i="1" s="1"/>
  <c r="BZ73" i="1"/>
  <c r="BY73" i="1"/>
  <c r="BV73" i="1"/>
  <c r="BW73" i="1" s="1"/>
  <c r="BT73" i="1"/>
  <c r="BS73" i="1"/>
  <c r="BP73" i="1"/>
  <c r="BQ73" i="1" s="1"/>
  <c r="BM73" i="1"/>
  <c r="BN73" i="1" s="1"/>
  <c r="BJ73" i="1"/>
  <c r="BK73" i="1" s="1"/>
  <c r="BG73" i="1"/>
  <c r="BH73" i="1" s="1"/>
  <c r="BD73" i="1"/>
  <c r="BE73" i="1" s="1"/>
  <c r="BB73" i="1"/>
  <c r="BA73" i="1"/>
  <c r="AY73" i="1"/>
  <c r="AX73" i="1"/>
  <c r="AU73" i="1"/>
  <c r="AV73" i="1" s="1"/>
  <c r="AR73" i="1"/>
  <c r="AS73" i="1" s="1"/>
  <c r="AO73" i="1"/>
  <c r="AP73" i="1" s="1"/>
  <c r="AM73" i="1"/>
  <c r="AL73" i="1"/>
  <c r="AI73" i="1"/>
  <c r="AJ73" i="1" s="1"/>
  <c r="AF73" i="1"/>
  <c r="AG73" i="1" s="1"/>
  <c r="AC73" i="1"/>
  <c r="AD73" i="1" s="1"/>
  <c r="Z73" i="1"/>
  <c r="AA73" i="1" s="1"/>
  <c r="X73" i="1"/>
  <c r="W73" i="1"/>
  <c r="T73" i="1"/>
  <c r="U73" i="1" s="1"/>
  <c r="R73" i="1"/>
  <c r="O73" i="1"/>
  <c r="L73" i="1"/>
  <c r="I73" i="1"/>
  <c r="DP72" i="1"/>
  <c r="DO72" i="1"/>
  <c r="DL72" i="1"/>
  <c r="DM72" i="1" s="1"/>
  <c r="DI72" i="1"/>
  <c r="DJ72" i="1" s="1"/>
  <c r="DF72" i="1"/>
  <c r="DG72" i="1" s="1"/>
  <c r="DC72" i="1"/>
  <c r="DD72" i="1" s="1"/>
  <c r="CZ72" i="1"/>
  <c r="DA72" i="1" s="1"/>
  <c r="CW72" i="1"/>
  <c r="CX72" i="1" s="1"/>
  <c r="CT72" i="1"/>
  <c r="CU72" i="1" s="1"/>
  <c r="CQ72" i="1"/>
  <c r="CR72" i="1" s="1"/>
  <c r="CN72" i="1"/>
  <c r="CO72" i="1" s="1"/>
  <c r="CL72" i="1"/>
  <c r="CK72" i="1"/>
  <c r="CH72" i="1"/>
  <c r="CI72" i="1" s="1"/>
  <c r="CF72" i="1"/>
  <c r="CE72" i="1"/>
  <c r="CB72" i="1"/>
  <c r="CC72" i="1" s="1"/>
  <c r="BY72" i="1"/>
  <c r="BZ72" i="1" s="1"/>
  <c r="BV72" i="1"/>
  <c r="BW72" i="1" s="1"/>
  <c r="BS72" i="1"/>
  <c r="BT72" i="1" s="1"/>
  <c r="BP72" i="1"/>
  <c r="BQ72" i="1" s="1"/>
  <c r="BN72" i="1"/>
  <c r="BM72" i="1"/>
  <c r="BK72" i="1"/>
  <c r="BJ72" i="1"/>
  <c r="BG72" i="1"/>
  <c r="BH72" i="1" s="1"/>
  <c r="BD72" i="1"/>
  <c r="BE72" i="1" s="1"/>
  <c r="BA72" i="1"/>
  <c r="BB72" i="1" s="1"/>
  <c r="AY72" i="1"/>
  <c r="AX72" i="1"/>
  <c r="AU72" i="1"/>
  <c r="AV72" i="1" s="1"/>
  <c r="AR72" i="1"/>
  <c r="AS72" i="1" s="1"/>
  <c r="AO72" i="1"/>
  <c r="AP72" i="1" s="1"/>
  <c r="AL72" i="1"/>
  <c r="AM72" i="1" s="1"/>
  <c r="AJ72" i="1"/>
  <c r="AI72" i="1"/>
  <c r="AF72" i="1"/>
  <c r="AG72" i="1" s="1"/>
  <c r="AC72" i="1"/>
  <c r="AD72" i="1" s="1"/>
  <c r="Z72" i="1"/>
  <c r="AA72" i="1" s="1"/>
  <c r="W72" i="1"/>
  <c r="X72" i="1" s="1"/>
  <c r="T72" i="1"/>
  <c r="U72" i="1" s="1"/>
  <c r="L72" i="1"/>
  <c r="I72" i="1"/>
  <c r="DO71" i="1"/>
  <c r="DP71" i="1" s="1"/>
  <c r="DL71" i="1"/>
  <c r="DM71" i="1" s="1"/>
  <c r="DI71" i="1"/>
  <c r="DJ71" i="1" s="1"/>
  <c r="DF71" i="1"/>
  <c r="DG71" i="1" s="1"/>
  <c r="DC71" i="1"/>
  <c r="DD71" i="1" s="1"/>
  <c r="CZ71" i="1"/>
  <c r="DA71" i="1" s="1"/>
  <c r="CW71" i="1"/>
  <c r="CX71" i="1" s="1"/>
  <c r="CU71" i="1"/>
  <c r="CT71" i="1"/>
  <c r="CQ71" i="1"/>
  <c r="CR71" i="1" s="1"/>
  <c r="CO71" i="1"/>
  <c r="CN71" i="1"/>
  <c r="CK71" i="1"/>
  <c r="CL71" i="1" s="1"/>
  <c r="CH71" i="1"/>
  <c r="CI71" i="1" s="1"/>
  <c r="CE71" i="1"/>
  <c r="CF71" i="1" s="1"/>
  <c r="CB71" i="1"/>
  <c r="CC71" i="1" s="1"/>
  <c r="BY71" i="1"/>
  <c r="BZ71" i="1" s="1"/>
  <c r="BW71" i="1"/>
  <c r="BV71" i="1"/>
  <c r="BT71" i="1"/>
  <c r="BS71" i="1"/>
  <c r="BP71" i="1"/>
  <c r="BQ71" i="1" s="1"/>
  <c r="BM71" i="1"/>
  <c r="BN71" i="1" s="1"/>
  <c r="BJ71" i="1"/>
  <c r="BK71" i="1" s="1"/>
  <c r="BH71" i="1"/>
  <c r="BG71" i="1"/>
  <c r="BD71" i="1"/>
  <c r="BE71" i="1" s="1"/>
  <c r="BA71" i="1"/>
  <c r="BB71" i="1" s="1"/>
  <c r="AX71" i="1"/>
  <c r="AY71" i="1" s="1"/>
  <c r="AU71" i="1"/>
  <c r="AV71" i="1" s="1"/>
  <c r="AS71" i="1"/>
  <c r="AR71" i="1"/>
  <c r="AO71" i="1"/>
  <c r="AP71" i="1" s="1"/>
  <c r="AL71" i="1"/>
  <c r="AM71" i="1" s="1"/>
  <c r="AI71" i="1"/>
  <c r="AJ71" i="1" s="1"/>
  <c r="AF71" i="1"/>
  <c r="AG71" i="1" s="1"/>
  <c r="AC71" i="1"/>
  <c r="AD71" i="1" s="1"/>
  <c r="Z71" i="1"/>
  <c r="AA71" i="1" s="1"/>
  <c r="W71" i="1"/>
  <c r="X71" i="1" s="1"/>
  <c r="T71" i="1"/>
  <c r="U71" i="1" s="1"/>
  <c r="R71" i="1"/>
  <c r="O71" i="1"/>
  <c r="L71" i="1"/>
  <c r="I71" i="1"/>
  <c r="DO70" i="1"/>
  <c r="DP70" i="1" s="1"/>
  <c r="DL70" i="1"/>
  <c r="DM70" i="1" s="1"/>
  <c r="DI70" i="1"/>
  <c r="DJ70" i="1" s="1"/>
  <c r="DF70" i="1"/>
  <c r="DG70" i="1" s="1"/>
  <c r="DC70" i="1"/>
  <c r="DD70" i="1" s="1"/>
  <c r="DA70" i="1"/>
  <c r="CZ70" i="1"/>
  <c r="CW70" i="1"/>
  <c r="CX70" i="1" s="1"/>
  <c r="CU70" i="1"/>
  <c r="CT70" i="1"/>
  <c r="CQ70" i="1"/>
  <c r="CR70" i="1" s="1"/>
  <c r="CO70" i="1"/>
  <c r="CN70" i="1"/>
  <c r="CK70" i="1"/>
  <c r="CL70" i="1" s="1"/>
  <c r="CH70" i="1"/>
  <c r="CI70" i="1" s="1"/>
  <c r="CE70" i="1"/>
  <c r="CF70" i="1" s="1"/>
  <c r="CB70" i="1"/>
  <c r="CC70" i="1" s="1"/>
  <c r="BY70" i="1"/>
  <c r="BZ70" i="1" s="1"/>
  <c r="BW70" i="1"/>
  <c r="BV70" i="1"/>
  <c r="BT70" i="1"/>
  <c r="BS70" i="1"/>
  <c r="BP70" i="1"/>
  <c r="BQ70" i="1" s="1"/>
  <c r="BM70" i="1"/>
  <c r="BN70" i="1" s="1"/>
  <c r="BJ70" i="1"/>
  <c r="BK70" i="1" s="1"/>
  <c r="BH70" i="1"/>
  <c r="BG70" i="1"/>
  <c r="BD70" i="1"/>
  <c r="BE70" i="1" s="1"/>
  <c r="BA70" i="1"/>
  <c r="BB70" i="1" s="1"/>
  <c r="AX70" i="1"/>
  <c r="AY70" i="1" s="1"/>
  <c r="AU70" i="1"/>
  <c r="AV70" i="1" s="1"/>
  <c r="AS70" i="1"/>
  <c r="AR70" i="1"/>
  <c r="AO70" i="1"/>
  <c r="AP70" i="1" s="1"/>
  <c r="AL70" i="1"/>
  <c r="AM70" i="1" s="1"/>
  <c r="AI70" i="1"/>
  <c r="AJ70" i="1" s="1"/>
  <c r="AF70" i="1"/>
  <c r="AG70" i="1" s="1"/>
  <c r="AC70" i="1"/>
  <c r="AD70" i="1" s="1"/>
  <c r="Z70" i="1"/>
  <c r="AA70" i="1" s="1"/>
  <c r="X70" i="1"/>
  <c r="W70" i="1"/>
  <c r="T70" i="1"/>
  <c r="U70" i="1" s="1"/>
  <c r="R70" i="1"/>
  <c r="O70" i="1"/>
  <c r="L70" i="1"/>
  <c r="I70" i="1"/>
  <c r="DP69" i="1"/>
  <c r="DO69" i="1"/>
  <c r="DL69" i="1"/>
  <c r="DM69" i="1" s="1"/>
  <c r="DI69" i="1"/>
  <c r="DJ69" i="1" s="1"/>
  <c r="DF69" i="1"/>
  <c r="DG69" i="1" s="1"/>
  <c r="DC69" i="1"/>
  <c r="DD69" i="1" s="1"/>
  <c r="DA69" i="1"/>
  <c r="CZ69" i="1"/>
  <c r="CW69" i="1"/>
  <c r="CX69" i="1" s="1"/>
  <c r="CU69" i="1"/>
  <c r="CT69" i="1"/>
  <c r="CQ69" i="1"/>
  <c r="CR69" i="1" s="1"/>
  <c r="CN69" i="1"/>
  <c r="CO69" i="1" s="1"/>
  <c r="CK69" i="1"/>
  <c r="CL69" i="1" s="1"/>
  <c r="CI69" i="1"/>
  <c r="CH69" i="1"/>
  <c r="CE69" i="1"/>
  <c r="CF69" i="1" s="1"/>
  <c r="CB69" i="1"/>
  <c r="CC69" i="1" s="1"/>
  <c r="BY69" i="1"/>
  <c r="BZ69" i="1" s="1"/>
  <c r="BV69" i="1"/>
  <c r="BW69" i="1" s="1"/>
  <c r="BT69" i="1"/>
  <c r="BS69" i="1"/>
  <c r="BP69" i="1"/>
  <c r="BQ69" i="1" s="1"/>
  <c r="BM69" i="1"/>
  <c r="BN69" i="1" s="1"/>
  <c r="BJ69" i="1"/>
  <c r="BK69" i="1" s="1"/>
  <c r="BG69" i="1"/>
  <c r="BH69" i="1" s="1"/>
  <c r="BD69" i="1"/>
  <c r="BE69" i="1" s="1"/>
  <c r="BA69" i="1"/>
  <c r="BB69" i="1" s="1"/>
  <c r="AX69" i="1"/>
  <c r="AY69" i="1" s="1"/>
  <c r="AU69" i="1"/>
  <c r="AV69" i="1" s="1"/>
  <c r="AS69" i="1"/>
  <c r="AR69" i="1"/>
  <c r="AO69" i="1"/>
  <c r="AP69" i="1" s="1"/>
  <c r="AL69" i="1"/>
  <c r="AM69" i="1" s="1"/>
  <c r="AI69" i="1"/>
  <c r="AJ69" i="1" s="1"/>
  <c r="AF69" i="1"/>
  <c r="AG69" i="1" s="1"/>
  <c r="AC69" i="1"/>
  <c r="AD69" i="1" s="1"/>
  <c r="Z69" i="1"/>
  <c r="AA69" i="1" s="1"/>
  <c r="X69" i="1"/>
  <c r="W69" i="1"/>
  <c r="T69" i="1"/>
  <c r="U69" i="1" s="1"/>
  <c r="R69" i="1"/>
  <c r="O69" i="1"/>
  <c r="L69" i="1"/>
  <c r="I69" i="1"/>
  <c r="DP68" i="1"/>
  <c r="DO68" i="1"/>
  <c r="DL68" i="1"/>
  <c r="DM68" i="1" s="1"/>
  <c r="DI68" i="1"/>
  <c r="DJ68" i="1" s="1"/>
  <c r="DF68" i="1"/>
  <c r="DG68" i="1" s="1"/>
  <c r="DC68" i="1"/>
  <c r="DD68" i="1" s="1"/>
  <c r="DA68" i="1"/>
  <c r="CZ68" i="1"/>
  <c r="CW68" i="1"/>
  <c r="CX68" i="1" s="1"/>
  <c r="CU68" i="1"/>
  <c r="CT68" i="1"/>
  <c r="CQ68" i="1"/>
  <c r="CR68" i="1" s="1"/>
  <c r="CN68" i="1"/>
  <c r="CO68" i="1" s="1"/>
  <c r="CK68" i="1"/>
  <c r="CL68" i="1" s="1"/>
  <c r="CI68" i="1"/>
  <c r="CH68" i="1"/>
  <c r="CE68" i="1"/>
  <c r="CF68" i="1" s="1"/>
  <c r="CB68" i="1"/>
  <c r="CC68" i="1" s="1"/>
  <c r="BY68" i="1"/>
  <c r="BZ68" i="1" s="1"/>
  <c r="BV68" i="1"/>
  <c r="BW68" i="1" s="1"/>
  <c r="BT68" i="1"/>
  <c r="BS68" i="1"/>
  <c r="BP68" i="1"/>
  <c r="BQ68" i="1" s="1"/>
  <c r="BM68" i="1"/>
  <c r="BN68" i="1" s="1"/>
  <c r="BJ68" i="1"/>
  <c r="BK68" i="1" s="1"/>
  <c r="BG68" i="1"/>
  <c r="BH68" i="1" s="1"/>
  <c r="BD68" i="1"/>
  <c r="BE68" i="1" s="1"/>
  <c r="BA68" i="1"/>
  <c r="BB68" i="1" s="1"/>
  <c r="AY68" i="1"/>
  <c r="AX68" i="1"/>
  <c r="AU68" i="1"/>
  <c r="AV68" i="1" s="1"/>
  <c r="AS68" i="1"/>
  <c r="AR68" i="1"/>
  <c r="AO68" i="1"/>
  <c r="AP68" i="1" s="1"/>
  <c r="AL68" i="1"/>
  <c r="AM68" i="1" s="1"/>
  <c r="AJ68" i="1"/>
  <c r="AI68" i="1"/>
  <c r="AF68" i="1"/>
  <c r="AG68" i="1" s="1"/>
  <c r="AC68" i="1"/>
  <c r="AD68" i="1" s="1"/>
  <c r="Z68" i="1"/>
  <c r="AA68" i="1" s="1"/>
  <c r="X68" i="1"/>
  <c r="W68" i="1"/>
  <c r="U68" i="1"/>
  <c r="T68" i="1"/>
  <c r="L68" i="1"/>
  <c r="I68" i="1"/>
  <c r="DO67" i="1"/>
  <c r="DP67" i="1" s="1"/>
  <c r="DL67" i="1"/>
  <c r="DM67" i="1" s="1"/>
  <c r="DJ67" i="1"/>
  <c r="DI67" i="1"/>
  <c r="DF67" i="1"/>
  <c r="DG67" i="1" s="1"/>
  <c r="DC67" i="1"/>
  <c r="DD67" i="1" s="1"/>
  <c r="CZ67" i="1"/>
  <c r="DA67" i="1" s="1"/>
  <c r="CW67" i="1"/>
  <c r="CX67" i="1" s="1"/>
  <c r="CT67" i="1"/>
  <c r="CU67" i="1" s="1"/>
  <c r="CR67" i="1"/>
  <c r="CQ67" i="1"/>
  <c r="CN67" i="1"/>
  <c r="CO67" i="1" s="1"/>
  <c r="CK67" i="1"/>
  <c r="CL67" i="1" s="1"/>
  <c r="CH67" i="1"/>
  <c r="CI67" i="1" s="1"/>
  <c r="CE67" i="1"/>
  <c r="CF67" i="1" s="1"/>
  <c r="CB67" i="1"/>
  <c r="CC67" i="1" s="1"/>
  <c r="BY67" i="1"/>
  <c r="BZ67" i="1" s="1"/>
  <c r="BV67" i="1"/>
  <c r="BW67" i="1" s="1"/>
  <c r="BS67" i="1"/>
  <c r="BT67" i="1" s="1"/>
  <c r="BQ67" i="1"/>
  <c r="BP67" i="1"/>
  <c r="BM67" i="1"/>
  <c r="BN67" i="1" s="1"/>
  <c r="BJ67" i="1"/>
  <c r="BK67" i="1" s="1"/>
  <c r="BH67" i="1"/>
  <c r="BG67" i="1"/>
  <c r="BD67" i="1"/>
  <c r="BE67" i="1" s="1"/>
  <c r="BA67" i="1"/>
  <c r="BB67" i="1" s="1"/>
  <c r="AX67" i="1"/>
  <c r="AY67" i="1" s="1"/>
  <c r="AV67" i="1"/>
  <c r="AU67" i="1"/>
  <c r="AS67" i="1"/>
  <c r="AR67" i="1"/>
  <c r="AP67" i="1"/>
  <c r="AO67" i="1"/>
  <c r="AL67" i="1"/>
  <c r="AM67" i="1" s="1"/>
  <c r="AI67" i="1"/>
  <c r="AJ67" i="1" s="1"/>
  <c r="AG67" i="1"/>
  <c r="AF67" i="1"/>
  <c r="AD67" i="1"/>
  <c r="AC67" i="1"/>
  <c r="Z67" i="1"/>
  <c r="AA67" i="1" s="1"/>
  <c r="W67" i="1"/>
  <c r="X67" i="1" s="1"/>
  <c r="T67" i="1"/>
  <c r="U67" i="1" s="1"/>
  <c r="R67" i="1"/>
  <c r="O67" i="1"/>
  <c r="L67" i="1"/>
  <c r="I67" i="1"/>
  <c r="DO66" i="1"/>
  <c r="DP66" i="1" s="1"/>
  <c r="DL66" i="1"/>
  <c r="DM66" i="1" s="1"/>
  <c r="DI66" i="1"/>
  <c r="DJ66" i="1" s="1"/>
  <c r="DF66" i="1"/>
  <c r="DG66" i="1" s="1"/>
  <c r="DC66" i="1"/>
  <c r="DD66" i="1" s="1"/>
  <c r="CZ66" i="1"/>
  <c r="DA66" i="1" s="1"/>
  <c r="CW66" i="1"/>
  <c r="CX66" i="1" s="1"/>
  <c r="CT66" i="1"/>
  <c r="CU66" i="1" s="1"/>
  <c r="CR66" i="1"/>
  <c r="CQ66" i="1"/>
  <c r="CN66" i="1"/>
  <c r="CO66" i="1" s="1"/>
  <c r="CL66" i="1"/>
  <c r="CK66" i="1"/>
  <c r="CH66" i="1"/>
  <c r="CI66" i="1" s="1"/>
  <c r="CE66" i="1"/>
  <c r="CF66" i="1" s="1"/>
  <c r="CB66" i="1"/>
  <c r="CC66" i="1" s="1"/>
  <c r="BY66" i="1"/>
  <c r="BZ66" i="1" s="1"/>
  <c r="BV66" i="1"/>
  <c r="BW66" i="1" s="1"/>
  <c r="BT66" i="1"/>
  <c r="BS66" i="1"/>
  <c r="BQ66" i="1"/>
  <c r="BP66" i="1"/>
  <c r="BM66" i="1"/>
  <c r="BN66" i="1" s="1"/>
  <c r="BJ66" i="1"/>
  <c r="BK66" i="1" s="1"/>
  <c r="BH66" i="1"/>
  <c r="BG66" i="1"/>
  <c r="BE66" i="1"/>
  <c r="BD66" i="1"/>
  <c r="BA66" i="1"/>
  <c r="BB66" i="1" s="1"/>
  <c r="AX66" i="1"/>
  <c r="AY66" i="1" s="1"/>
  <c r="AU66" i="1"/>
  <c r="AV66" i="1" s="1"/>
  <c r="AS66" i="1"/>
  <c r="AR66" i="1"/>
  <c r="AP66" i="1"/>
  <c r="AO66" i="1"/>
  <c r="AL66" i="1"/>
  <c r="AM66" i="1" s="1"/>
  <c r="AI66" i="1"/>
  <c r="AJ66" i="1" s="1"/>
  <c r="AF66" i="1"/>
  <c r="AG66" i="1" s="1"/>
  <c r="AD66" i="1"/>
  <c r="AC66" i="1"/>
  <c r="Z66" i="1"/>
  <c r="AA66" i="1" s="1"/>
  <c r="W66" i="1"/>
  <c r="X66" i="1" s="1"/>
  <c r="T66" i="1"/>
  <c r="U66" i="1" s="1"/>
  <c r="R66" i="1"/>
  <c r="O66" i="1"/>
  <c r="L66" i="1"/>
  <c r="I66" i="1"/>
  <c r="DO65" i="1"/>
  <c r="DP65" i="1" s="1"/>
  <c r="DL65" i="1"/>
  <c r="DM65" i="1" s="1"/>
  <c r="DI65" i="1"/>
  <c r="DJ65" i="1" s="1"/>
  <c r="DF65" i="1"/>
  <c r="DG65" i="1" s="1"/>
  <c r="DC65" i="1"/>
  <c r="DD65" i="1" s="1"/>
  <c r="CZ65" i="1"/>
  <c r="DA65" i="1" s="1"/>
  <c r="CX65" i="1"/>
  <c r="CW65" i="1"/>
  <c r="CT65" i="1"/>
  <c r="CU65" i="1" s="1"/>
  <c r="CR65" i="1"/>
  <c r="CQ65" i="1"/>
  <c r="CN65" i="1"/>
  <c r="CO65" i="1" s="1"/>
  <c r="CL65" i="1"/>
  <c r="CK65" i="1"/>
  <c r="CH65" i="1"/>
  <c r="CI65" i="1" s="1"/>
  <c r="CE65" i="1"/>
  <c r="CF65" i="1" s="1"/>
  <c r="CB65" i="1"/>
  <c r="CC65" i="1" s="1"/>
  <c r="BY65" i="1"/>
  <c r="BZ65" i="1" s="1"/>
  <c r="BV65" i="1"/>
  <c r="BW65" i="1" s="1"/>
  <c r="BT65" i="1"/>
  <c r="BS65" i="1"/>
  <c r="BQ65" i="1"/>
  <c r="BP65" i="1"/>
  <c r="BM65" i="1"/>
  <c r="BN65" i="1" s="1"/>
  <c r="BJ65" i="1"/>
  <c r="BK65" i="1" s="1"/>
  <c r="BG65" i="1"/>
  <c r="BH65" i="1" s="1"/>
  <c r="BE65" i="1"/>
  <c r="BD65" i="1"/>
  <c r="BA65" i="1"/>
  <c r="BB65" i="1" s="1"/>
  <c r="AX65" i="1"/>
  <c r="AY65" i="1" s="1"/>
  <c r="AU65" i="1"/>
  <c r="AV65" i="1" s="1"/>
  <c r="AR65" i="1"/>
  <c r="AS65" i="1" s="1"/>
  <c r="AP65" i="1"/>
  <c r="AO65" i="1"/>
  <c r="AL65" i="1"/>
  <c r="AM65" i="1" s="1"/>
  <c r="AI65" i="1"/>
  <c r="AJ65" i="1" s="1"/>
  <c r="AF65" i="1"/>
  <c r="AG65" i="1" s="1"/>
  <c r="AC65" i="1"/>
  <c r="AD65" i="1" s="1"/>
  <c r="Z65" i="1"/>
  <c r="AA65" i="1" s="1"/>
  <c r="W65" i="1"/>
  <c r="X65" i="1" s="1"/>
  <c r="U65" i="1"/>
  <c r="T65" i="1"/>
  <c r="R65" i="1"/>
  <c r="O65" i="1"/>
  <c r="L65" i="1"/>
  <c r="I65" i="1"/>
  <c r="DO64" i="1"/>
  <c r="DP64" i="1" s="1"/>
  <c r="DM64" i="1"/>
  <c r="DL64" i="1"/>
  <c r="DI64" i="1"/>
  <c r="DJ64" i="1" s="1"/>
  <c r="DF64" i="1"/>
  <c r="DG64" i="1" s="1"/>
  <c r="DC64" i="1"/>
  <c r="DD64" i="1" s="1"/>
  <c r="CZ64" i="1"/>
  <c r="DA64" i="1" s="1"/>
  <c r="CX64" i="1"/>
  <c r="CW64" i="1"/>
  <c r="CT64" i="1"/>
  <c r="CU64" i="1" s="1"/>
  <c r="CR64" i="1"/>
  <c r="CQ64" i="1"/>
  <c r="CN64" i="1"/>
  <c r="CO64" i="1" s="1"/>
  <c r="CK64" i="1"/>
  <c r="CL64" i="1" s="1"/>
  <c r="CH64" i="1"/>
  <c r="CI64" i="1" s="1"/>
  <c r="CF64" i="1"/>
  <c r="CE64" i="1"/>
  <c r="CB64" i="1"/>
  <c r="CC64" i="1" s="1"/>
  <c r="BY64" i="1"/>
  <c r="BZ64" i="1" s="1"/>
  <c r="BV64" i="1"/>
  <c r="BW64" i="1" s="1"/>
  <c r="BS64" i="1"/>
  <c r="BT64" i="1" s="1"/>
  <c r="BQ64" i="1"/>
  <c r="BP64" i="1"/>
  <c r="BM64" i="1"/>
  <c r="BN64" i="1" s="1"/>
  <c r="BJ64" i="1"/>
  <c r="BK64" i="1" s="1"/>
  <c r="BG64" i="1"/>
  <c r="BH64" i="1" s="1"/>
  <c r="BD64" i="1"/>
  <c r="BE64" i="1" s="1"/>
  <c r="BA64" i="1"/>
  <c r="BB64" i="1" s="1"/>
  <c r="AX64" i="1"/>
  <c r="AY64" i="1" s="1"/>
  <c r="AV64" i="1"/>
  <c r="AU64" i="1"/>
  <c r="AR64" i="1"/>
  <c r="AS64" i="1" s="1"/>
  <c r="AP64" i="1"/>
  <c r="AO64" i="1"/>
  <c r="AL64" i="1"/>
  <c r="AM64" i="1" s="1"/>
  <c r="AI64" i="1"/>
  <c r="AJ64" i="1" s="1"/>
  <c r="AG64" i="1"/>
  <c r="AF64" i="1"/>
  <c r="AC64" i="1"/>
  <c r="AD64" i="1" s="1"/>
  <c r="Z64" i="1"/>
  <c r="AA64" i="1" s="1"/>
  <c r="W64" i="1"/>
  <c r="X64" i="1" s="1"/>
  <c r="U64" i="1"/>
  <c r="T64" i="1"/>
  <c r="O64" i="1"/>
  <c r="L64" i="1"/>
  <c r="I64" i="1"/>
  <c r="DO63" i="1"/>
  <c r="DP63" i="1" s="1"/>
  <c r="DL63" i="1"/>
  <c r="DM63" i="1" s="1"/>
  <c r="DI63" i="1"/>
  <c r="DJ63" i="1" s="1"/>
  <c r="DF63" i="1"/>
  <c r="DG63" i="1" s="1"/>
  <c r="DC63" i="1"/>
  <c r="DD63" i="1" s="1"/>
  <c r="DA63" i="1"/>
  <c r="CZ63" i="1"/>
  <c r="CW63" i="1"/>
  <c r="CX63" i="1" s="1"/>
  <c r="CT63" i="1"/>
  <c r="CU63" i="1" s="1"/>
  <c r="CQ63" i="1"/>
  <c r="CR63" i="1" s="1"/>
  <c r="CN63" i="1"/>
  <c r="CO63" i="1" s="1"/>
  <c r="CK63" i="1"/>
  <c r="CL63" i="1" s="1"/>
  <c r="CH63" i="1"/>
  <c r="CI63" i="1" s="1"/>
  <c r="CF63" i="1"/>
  <c r="CE63" i="1"/>
  <c r="CB63" i="1"/>
  <c r="CC63" i="1" s="1"/>
  <c r="BY63" i="1"/>
  <c r="BZ63" i="1" s="1"/>
  <c r="BV63" i="1"/>
  <c r="BW63" i="1" s="1"/>
  <c r="BS63" i="1"/>
  <c r="BT63" i="1" s="1"/>
  <c r="BQ63" i="1"/>
  <c r="BP63" i="1"/>
  <c r="BM63" i="1"/>
  <c r="BN63" i="1" s="1"/>
  <c r="BJ63" i="1"/>
  <c r="BK63" i="1" s="1"/>
  <c r="BG63" i="1"/>
  <c r="BH63" i="1" s="1"/>
  <c r="BD63" i="1"/>
  <c r="BE63" i="1" s="1"/>
  <c r="BA63" i="1"/>
  <c r="BB63" i="1" s="1"/>
  <c r="AX63" i="1"/>
  <c r="AY63" i="1" s="1"/>
  <c r="AU63" i="1"/>
  <c r="AV63" i="1" s="1"/>
  <c r="AR63" i="1"/>
  <c r="AS63" i="1" s="1"/>
  <c r="AO63" i="1"/>
  <c r="AP63" i="1" s="1"/>
  <c r="AL63" i="1"/>
  <c r="AM63" i="1" s="1"/>
  <c r="AI63" i="1"/>
  <c r="AJ63" i="1" s="1"/>
  <c r="AG63" i="1"/>
  <c r="AF63" i="1"/>
  <c r="AC63" i="1"/>
  <c r="AD63" i="1" s="1"/>
  <c r="Z63" i="1"/>
  <c r="AA63" i="1" s="1"/>
  <c r="W63" i="1"/>
  <c r="X63" i="1" s="1"/>
  <c r="T63" i="1"/>
  <c r="U63" i="1" s="1"/>
  <c r="R63" i="1"/>
  <c r="O63" i="1"/>
  <c r="L63" i="1"/>
  <c r="I63" i="1"/>
  <c r="DO62" i="1"/>
  <c r="DP62" i="1" s="1"/>
  <c r="DL62" i="1"/>
  <c r="DM62" i="1" s="1"/>
  <c r="DI62" i="1"/>
  <c r="DJ62" i="1" s="1"/>
  <c r="DF62" i="1"/>
  <c r="DG62" i="1" s="1"/>
  <c r="DC62" i="1"/>
  <c r="DD62" i="1" s="1"/>
  <c r="CZ62" i="1"/>
  <c r="DA62" i="1" s="1"/>
  <c r="CW62" i="1"/>
  <c r="CX62" i="1" s="1"/>
  <c r="CT62" i="1"/>
  <c r="CU62" i="1" s="1"/>
  <c r="CQ62" i="1"/>
  <c r="CR62" i="1" s="1"/>
  <c r="CO62" i="1"/>
  <c r="CN62" i="1"/>
  <c r="CK62" i="1"/>
  <c r="CL62" i="1" s="1"/>
  <c r="CH62" i="1"/>
  <c r="CI62" i="1" s="1"/>
  <c r="CF62" i="1"/>
  <c r="CE62" i="1"/>
  <c r="CB62" i="1"/>
  <c r="CC62" i="1" s="1"/>
  <c r="BY62" i="1"/>
  <c r="BZ62" i="1" s="1"/>
  <c r="BV62" i="1"/>
  <c r="BW62" i="1" s="1"/>
  <c r="BS62" i="1"/>
  <c r="BT62" i="1" s="1"/>
  <c r="BQ62" i="1"/>
  <c r="BP62" i="1"/>
  <c r="BM62" i="1"/>
  <c r="BN62" i="1" s="1"/>
  <c r="BJ62" i="1"/>
  <c r="BK62" i="1" s="1"/>
  <c r="BG62" i="1"/>
  <c r="BH62" i="1" s="1"/>
  <c r="BD62" i="1"/>
  <c r="BE62" i="1" s="1"/>
  <c r="BA62" i="1"/>
  <c r="BB62" i="1" s="1"/>
  <c r="AX62" i="1"/>
  <c r="AY62" i="1" s="1"/>
  <c r="AU62" i="1"/>
  <c r="AV62" i="1" s="1"/>
  <c r="AS62" i="1"/>
  <c r="AR62" i="1"/>
  <c r="AO62" i="1"/>
  <c r="AP62" i="1" s="1"/>
  <c r="AL62" i="1"/>
  <c r="AM62" i="1" s="1"/>
  <c r="AI62" i="1"/>
  <c r="AJ62" i="1" s="1"/>
  <c r="AF62" i="1"/>
  <c r="AG62" i="1" s="1"/>
  <c r="AC62" i="1"/>
  <c r="AD62" i="1" s="1"/>
  <c r="Z62" i="1"/>
  <c r="AA62" i="1" s="1"/>
  <c r="X62" i="1"/>
  <c r="W62" i="1"/>
  <c r="T62" i="1"/>
  <c r="U62" i="1" s="1"/>
  <c r="R62" i="1"/>
  <c r="O62" i="1"/>
  <c r="L62" i="1"/>
  <c r="I62" i="1"/>
  <c r="DP61" i="1"/>
  <c r="DO61" i="1"/>
  <c r="DL61" i="1"/>
  <c r="DM61" i="1" s="1"/>
  <c r="DI61" i="1"/>
  <c r="DJ61" i="1" s="1"/>
  <c r="DF61" i="1"/>
  <c r="DG61" i="1" s="1"/>
  <c r="DC61" i="1"/>
  <c r="DD61" i="1" s="1"/>
  <c r="DA61" i="1"/>
  <c r="CZ61" i="1"/>
  <c r="CW61" i="1"/>
  <c r="CX61" i="1" s="1"/>
  <c r="CT61" i="1"/>
  <c r="CU61" i="1" s="1"/>
  <c r="CQ61" i="1"/>
  <c r="CR61" i="1" s="1"/>
  <c r="CN61" i="1"/>
  <c r="CO61" i="1" s="1"/>
  <c r="CK61" i="1"/>
  <c r="CL61" i="1" s="1"/>
  <c r="CH61" i="1"/>
  <c r="CI61" i="1" s="1"/>
  <c r="CE61" i="1"/>
  <c r="CF61" i="1" s="1"/>
  <c r="CB61" i="1"/>
  <c r="CC61" i="1" s="1"/>
  <c r="BY61" i="1"/>
  <c r="BZ61" i="1" s="1"/>
  <c r="BV61" i="1"/>
  <c r="BW61" i="1" s="1"/>
  <c r="BS61" i="1"/>
  <c r="BT61" i="1" s="1"/>
  <c r="BQ61" i="1"/>
  <c r="BP61" i="1"/>
  <c r="BM61" i="1"/>
  <c r="BN61" i="1" s="1"/>
  <c r="BJ61" i="1"/>
  <c r="BK61" i="1" s="1"/>
  <c r="BG61" i="1"/>
  <c r="BH61" i="1" s="1"/>
  <c r="BD61" i="1"/>
  <c r="BE61" i="1" s="1"/>
  <c r="BA61" i="1"/>
  <c r="BB61" i="1" s="1"/>
  <c r="AX61" i="1"/>
  <c r="AY61" i="1" s="1"/>
  <c r="AU61" i="1"/>
  <c r="AV61" i="1" s="1"/>
  <c r="AR61" i="1"/>
  <c r="AS61" i="1" s="1"/>
  <c r="AO61" i="1"/>
  <c r="AP61" i="1" s="1"/>
  <c r="AL61" i="1"/>
  <c r="AM61" i="1" s="1"/>
  <c r="AI61" i="1"/>
  <c r="AJ61" i="1" s="1"/>
  <c r="AG61" i="1"/>
  <c r="AF61" i="1"/>
  <c r="AC61" i="1"/>
  <c r="AD61" i="1" s="1"/>
  <c r="Z61" i="1"/>
  <c r="AA61" i="1" s="1"/>
  <c r="W61" i="1"/>
  <c r="X61" i="1" s="1"/>
  <c r="U61" i="1"/>
  <c r="T61" i="1"/>
  <c r="R61" i="1"/>
  <c r="O61" i="1"/>
  <c r="L61" i="1"/>
  <c r="I61" i="1"/>
  <c r="DO60" i="1"/>
  <c r="DP60" i="1" s="1"/>
  <c r="DM60" i="1"/>
  <c r="DL60" i="1"/>
  <c r="DI60" i="1"/>
  <c r="DJ60" i="1" s="1"/>
  <c r="DF60" i="1"/>
  <c r="DG60" i="1" s="1"/>
  <c r="DC60" i="1"/>
  <c r="DD60" i="1" s="1"/>
  <c r="CZ60" i="1"/>
  <c r="DA60" i="1" s="1"/>
  <c r="CW60" i="1"/>
  <c r="CX60" i="1" s="1"/>
  <c r="CT60" i="1"/>
  <c r="CU60" i="1" s="1"/>
  <c r="CQ60" i="1"/>
  <c r="CR60" i="1" s="1"/>
  <c r="CO60" i="1"/>
  <c r="CN60" i="1"/>
  <c r="CK60" i="1"/>
  <c r="CL60" i="1" s="1"/>
  <c r="CH60" i="1"/>
  <c r="CI60" i="1" s="1"/>
  <c r="CE60" i="1"/>
  <c r="CF60" i="1" s="1"/>
  <c r="CB60" i="1"/>
  <c r="CC60" i="1" s="1"/>
  <c r="BY60" i="1"/>
  <c r="BZ60" i="1" s="1"/>
  <c r="BV60" i="1"/>
  <c r="BW60" i="1" s="1"/>
  <c r="BT60" i="1"/>
  <c r="BS60" i="1"/>
  <c r="BP60" i="1"/>
  <c r="BQ60" i="1" s="1"/>
  <c r="BM60" i="1"/>
  <c r="BN60" i="1" s="1"/>
  <c r="BJ60" i="1"/>
  <c r="BK60" i="1" s="1"/>
  <c r="BG60" i="1"/>
  <c r="BH60" i="1" s="1"/>
  <c r="BE60" i="1"/>
  <c r="BD60" i="1"/>
  <c r="BA60" i="1"/>
  <c r="BB60" i="1" s="1"/>
  <c r="AX60" i="1"/>
  <c r="AY60" i="1" s="1"/>
  <c r="AU60" i="1"/>
  <c r="AV60" i="1" s="1"/>
  <c r="AR60" i="1"/>
  <c r="AS60" i="1" s="1"/>
  <c r="AO60" i="1"/>
  <c r="AP60" i="1" s="1"/>
  <c r="AL60" i="1"/>
  <c r="AM60" i="1" s="1"/>
  <c r="AI60" i="1"/>
  <c r="AJ60" i="1" s="1"/>
  <c r="AF60" i="1"/>
  <c r="AG60" i="1" s="1"/>
  <c r="AC60" i="1"/>
  <c r="AD60" i="1" s="1"/>
  <c r="Z60" i="1"/>
  <c r="AA60" i="1" s="1"/>
  <c r="W60" i="1"/>
  <c r="X60" i="1" s="1"/>
  <c r="T60" i="1"/>
  <c r="U60" i="1" s="1"/>
  <c r="R60" i="1"/>
  <c r="O60" i="1"/>
  <c r="L60" i="1"/>
  <c r="I60" i="1"/>
  <c r="DO59" i="1"/>
  <c r="DP59" i="1" s="1"/>
  <c r="DL59" i="1"/>
  <c r="DM59" i="1" s="1"/>
  <c r="DI59" i="1"/>
  <c r="DJ59" i="1" s="1"/>
  <c r="DF59" i="1"/>
  <c r="DG59" i="1" s="1"/>
  <c r="DC59" i="1"/>
  <c r="DD59" i="1" s="1"/>
  <c r="CZ59" i="1"/>
  <c r="DA59" i="1" s="1"/>
  <c r="CW59" i="1"/>
  <c r="CX59" i="1" s="1"/>
  <c r="CT59" i="1"/>
  <c r="CU59" i="1" s="1"/>
  <c r="CQ59" i="1"/>
  <c r="CR59" i="1" s="1"/>
  <c r="CO59" i="1"/>
  <c r="CN59" i="1"/>
  <c r="CK59" i="1"/>
  <c r="CL59" i="1" s="1"/>
  <c r="CH59" i="1"/>
  <c r="CI59" i="1" s="1"/>
  <c r="CF59" i="1"/>
  <c r="CE59" i="1"/>
  <c r="CB59" i="1"/>
  <c r="CC59" i="1" s="1"/>
  <c r="BY59" i="1"/>
  <c r="BZ59" i="1" s="1"/>
  <c r="BV59" i="1"/>
  <c r="BW59" i="1" s="1"/>
  <c r="BS59" i="1"/>
  <c r="BT59" i="1" s="1"/>
  <c r="BQ59" i="1"/>
  <c r="BP59" i="1"/>
  <c r="BM59" i="1"/>
  <c r="BN59" i="1" s="1"/>
  <c r="BJ59" i="1"/>
  <c r="BK59" i="1" s="1"/>
  <c r="BG59" i="1"/>
  <c r="BH59" i="1" s="1"/>
  <c r="BD59" i="1"/>
  <c r="BE59" i="1" s="1"/>
  <c r="BA59" i="1"/>
  <c r="BB59" i="1" s="1"/>
  <c r="AX59" i="1"/>
  <c r="AY59" i="1" s="1"/>
  <c r="AV59" i="1"/>
  <c r="AU59" i="1"/>
  <c r="AR59" i="1"/>
  <c r="AS59" i="1" s="1"/>
  <c r="AO59" i="1"/>
  <c r="AP59" i="1" s="1"/>
  <c r="AL59" i="1"/>
  <c r="AM59" i="1" s="1"/>
  <c r="AJ59" i="1"/>
  <c r="AI59" i="1"/>
  <c r="AG59" i="1"/>
  <c r="AF59" i="1"/>
  <c r="AC59" i="1"/>
  <c r="AD59" i="1" s="1"/>
  <c r="Z59" i="1"/>
  <c r="AA59" i="1" s="1"/>
  <c r="W59" i="1"/>
  <c r="X59" i="1" s="1"/>
  <c r="U59" i="1"/>
  <c r="T59" i="1"/>
  <c r="R59" i="1"/>
  <c r="O59" i="1"/>
  <c r="L59" i="1"/>
  <c r="I59" i="1"/>
  <c r="DO58" i="1"/>
  <c r="DP58" i="1" s="1"/>
  <c r="DM58" i="1"/>
  <c r="DL58" i="1"/>
  <c r="DI58" i="1"/>
  <c r="DJ58" i="1" s="1"/>
  <c r="DF58" i="1"/>
  <c r="DG58" i="1" s="1"/>
  <c r="DC58" i="1"/>
  <c r="DD58" i="1" s="1"/>
  <c r="CZ58" i="1"/>
  <c r="DA58" i="1" s="1"/>
  <c r="CW58" i="1"/>
  <c r="CX58" i="1" s="1"/>
  <c r="CT58" i="1"/>
  <c r="CU58" i="1" s="1"/>
  <c r="CR58" i="1"/>
  <c r="CQ58" i="1"/>
  <c r="CN58" i="1"/>
  <c r="CO58" i="1" s="1"/>
  <c r="CK58" i="1"/>
  <c r="CL58" i="1" s="1"/>
  <c r="CH58" i="1"/>
  <c r="CI58" i="1" s="1"/>
  <c r="CE58" i="1"/>
  <c r="CF58" i="1" s="1"/>
  <c r="CB58" i="1"/>
  <c r="CC58" i="1" s="1"/>
  <c r="BY58" i="1"/>
  <c r="BZ58" i="1" s="1"/>
  <c r="BV58" i="1"/>
  <c r="BW58" i="1" s="1"/>
  <c r="BS58" i="1"/>
  <c r="BT58" i="1" s="1"/>
  <c r="BP58" i="1"/>
  <c r="BQ58" i="1" s="1"/>
  <c r="BM58" i="1"/>
  <c r="BN58" i="1" s="1"/>
  <c r="BJ58" i="1"/>
  <c r="BK58" i="1" s="1"/>
  <c r="BG58" i="1"/>
  <c r="BH58" i="1" s="1"/>
  <c r="BD58" i="1"/>
  <c r="BE58" i="1" s="1"/>
  <c r="BA58" i="1"/>
  <c r="BB58" i="1" s="1"/>
  <c r="AX58" i="1"/>
  <c r="AY58" i="1" s="1"/>
  <c r="AU58" i="1"/>
  <c r="AV58" i="1" s="1"/>
  <c r="AR58" i="1"/>
  <c r="AS58" i="1" s="1"/>
  <c r="AO58" i="1"/>
  <c r="AP58" i="1" s="1"/>
  <c r="AL58" i="1"/>
  <c r="AM58" i="1" s="1"/>
  <c r="AI58" i="1"/>
  <c r="AJ58" i="1" s="1"/>
  <c r="AF58" i="1"/>
  <c r="AG58" i="1" s="1"/>
  <c r="AC58" i="1"/>
  <c r="AD58" i="1" s="1"/>
  <c r="Z58" i="1"/>
  <c r="AA58" i="1" s="1"/>
  <c r="W58" i="1"/>
  <c r="X58" i="1" s="1"/>
  <c r="T58" i="1"/>
  <c r="U58" i="1" s="1"/>
  <c r="L58" i="1"/>
  <c r="I58" i="1"/>
  <c r="DO57" i="1"/>
  <c r="DP57" i="1" s="1"/>
  <c r="DL57" i="1"/>
  <c r="DM57" i="1" s="1"/>
  <c r="DJ57" i="1"/>
  <c r="DI57" i="1"/>
  <c r="DF57" i="1"/>
  <c r="DG57" i="1" s="1"/>
  <c r="DC57" i="1"/>
  <c r="DD57" i="1" s="1"/>
  <c r="CZ57" i="1"/>
  <c r="DA57" i="1" s="1"/>
  <c r="CX57" i="1"/>
  <c r="CW57" i="1"/>
  <c r="CT57" i="1"/>
  <c r="CU57" i="1" s="1"/>
  <c r="CQ57" i="1"/>
  <c r="CR57" i="1" s="1"/>
  <c r="CN57" i="1"/>
  <c r="CO57" i="1" s="1"/>
  <c r="CK57" i="1"/>
  <c r="CL57" i="1" s="1"/>
  <c r="CH57" i="1"/>
  <c r="CI57" i="1" s="1"/>
  <c r="CE57" i="1"/>
  <c r="CF57" i="1" s="1"/>
  <c r="CC57" i="1"/>
  <c r="CB57" i="1"/>
  <c r="BZ57" i="1"/>
  <c r="BY57" i="1"/>
  <c r="BV57" i="1"/>
  <c r="BW57" i="1" s="1"/>
  <c r="BS57" i="1"/>
  <c r="BT57" i="1" s="1"/>
  <c r="BQ57" i="1"/>
  <c r="BP57" i="1"/>
  <c r="BN57" i="1"/>
  <c r="BM57" i="1"/>
  <c r="BJ57" i="1"/>
  <c r="BK57" i="1" s="1"/>
  <c r="BG57" i="1"/>
  <c r="BH57" i="1" s="1"/>
  <c r="BD57" i="1"/>
  <c r="BE57" i="1" s="1"/>
  <c r="BA57" i="1"/>
  <c r="BB57" i="1" s="1"/>
  <c r="AX57" i="1"/>
  <c r="AY57" i="1" s="1"/>
  <c r="AU57" i="1"/>
  <c r="AV57" i="1" s="1"/>
  <c r="AR57" i="1"/>
  <c r="AS57" i="1" s="1"/>
  <c r="AP57" i="1"/>
  <c r="AO57" i="1"/>
  <c r="AL57" i="1"/>
  <c r="AM57" i="1" s="1"/>
  <c r="AI57" i="1"/>
  <c r="AJ57" i="1" s="1"/>
  <c r="AF57" i="1"/>
  <c r="AG57" i="1" s="1"/>
  <c r="AD57" i="1"/>
  <c r="AC57" i="1"/>
  <c r="Z57" i="1"/>
  <c r="AA57" i="1" s="1"/>
  <c r="W57" i="1"/>
  <c r="X57" i="1" s="1"/>
  <c r="T57" i="1"/>
  <c r="U57" i="1" s="1"/>
  <c r="R57" i="1"/>
  <c r="O57" i="1"/>
  <c r="L57" i="1"/>
  <c r="I57" i="1"/>
  <c r="DO56" i="1"/>
  <c r="DP56" i="1" s="1"/>
  <c r="DL56" i="1"/>
  <c r="DM56" i="1" s="1"/>
  <c r="DI56" i="1"/>
  <c r="DJ56" i="1" s="1"/>
  <c r="DF56" i="1"/>
  <c r="DG56" i="1" s="1"/>
  <c r="DC56" i="1"/>
  <c r="DD56" i="1" s="1"/>
  <c r="CZ56" i="1"/>
  <c r="DA56" i="1" s="1"/>
  <c r="CX56" i="1"/>
  <c r="CW56" i="1"/>
  <c r="CT56" i="1"/>
  <c r="CU56" i="1" s="1"/>
  <c r="CQ56" i="1"/>
  <c r="CR56" i="1" s="1"/>
  <c r="CN56" i="1"/>
  <c r="CO56" i="1" s="1"/>
  <c r="CK56" i="1"/>
  <c r="CL56" i="1" s="1"/>
  <c r="CH56" i="1"/>
  <c r="CI56" i="1" s="1"/>
  <c r="CE56" i="1"/>
  <c r="CF56" i="1" s="1"/>
  <c r="CB56" i="1"/>
  <c r="CC56" i="1" s="1"/>
  <c r="BY56" i="1"/>
  <c r="BZ56" i="1" s="1"/>
  <c r="BV56" i="1"/>
  <c r="BW56" i="1" s="1"/>
  <c r="BS56" i="1"/>
  <c r="BT56" i="1" s="1"/>
  <c r="BP56" i="1"/>
  <c r="BQ56" i="1" s="1"/>
  <c r="BM56" i="1"/>
  <c r="BN56" i="1" s="1"/>
  <c r="BJ56" i="1"/>
  <c r="BK56" i="1" s="1"/>
  <c r="BG56" i="1"/>
  <c r="BH56" i="1" s="1"/>
  <c r="BD56" i="1"/>
  <c r="BE56" i="1" s="1"/>
  <c r="BA56" i="1"/>
  <c r="BB56" i="1" s="1"/>
  <c r="AX56" i="1"/>
  <c r="AY56" i="1" s="1"/>
  <c r="AU56" i="1"/>
  <c r="AV56" i="1" s="1"/>
  <c r="AR56" i="1"/>
  <c r="AS56" i="1" s="1"/>
  <c r="AO56" i="1"/>
  <c r="AP56" i="1" s="1"/>
  <c r="AL56" i="1"/>
  <c r="AM56" i="1" s="1"/>
  <c r="AI56" i="1"/>
  <c r="AJ56" i="1" s="1"/>
  <c r="AF56" i="1"/>
  <c r="AG56" i="1" s="1"/>
  <c r="AC56" i="1"/>
  <c r="AD56" i="1" s="1"/>
  <c r="Z56" i="1"/>
  <c r="AA56" i="1" s="1"/>
  <c r="W56" i="1"/>
  <c r="X56" i="1" s="1"/>
  <c r="T56" i="1"/>
  <c r="U56" i="1" s="1"/>
  <c r="R56" i="1"/>
  <c r="O56" i="1"/>
  <c r="L56" i="1"/>
  <c r="I56" i="1"/>
  <c r="DO55" i="1"/>
  <c r="DP55" i="1" s="1"/>
  <c r="DL55" i="1"/>
  <c r="DM55" i="1" s="1"/>
  <c r="DJ55" i="1"/>
  <c r="DI55" i="1"/>
  <c r="DF55" i="1"/>
  <c r="DG55" i="1" s="1"/>
  <c r="DC55" i="1"/>
  <c r="DD55" i="1" s="1"/>
  <c r="CZ55" i="1"/>
  <c r="DA55" i="1" s="1"/>
  <c r="CW55" i="1"/>
  <c r="CX55" i="1" s="1"/>
  <c r="CT55" i="1"/>
  <c r="CU55" i="1" s="1"/>
  <c r="CQ55" i="1"/>
  <c r="CR55" i="1" s="1"/>
  <c r="CO55" i="1"/>
  <c r="CN55" i="1"/>
  <c r="CK55" i="1"/>
  <c r="CL55" i="1" s="1"/>
  <c r="CH55" i="1"/>
  <c r="CI55" i="1" s="1"/>
  <c r="CE55" i="1"/>
  <c r="CF55" i="1" s="1"/>
  <c r="CB55" i="1"/>
  <c r="CC55" i="1" s="1"/>
  <c r="BZ55" i="1"/>
  <c r="BY55" i="1"/>
  <c r="BV55" i="1"/>
  <c r="BW55" i="1" s="1"/>
  <c r="BS55" i="1"/>
  <c r="BT55" i="1" s="1"/>
  <c r="BP55" i="1"/>
  <c r="BQ55" i="1" s="1"/>
  <c r="BM55" i="1"/>
  <c r="BN55" i="1" s="1"/>
  <c r="BJ55" i="1"/>
  <c r="BK55" i="1" s="1"/>
  <c r="BG55" i="1"/>
  <c r="BH55" i="1" s="1"/>
  <c r="BD55" i="1"/>
  <c r="BE55" i="1" s="1"/>
  <c r="BA55" i="1"/>
  <c r="BB55" i="1" s="1"/>
  <c r="AX55" i="1"/>
  <c r="AY55" i="1" s="1"/>
  <c r="AU55" i="1"/>
  <c r="AV55" i="1" s="1"/>
  <c r="AR55" i="1"/>
  <c r="AS55" i="1" s="1"/>
  <c r="AP55" i="1"/>
  <c r="AO55" i="1"/>
  <c r="AL55" i="1"/>
  <c r="AM55" i="1" s="1"/>
  <c r="AI55" i="1"/>
  <c r="AJ55" i="1" s="1"/>
  <c r="AF55" i="1"/>
  <c r="AG55" i="1" s="1"/>
  <c r="AC55" i="1"/>
  <c r="AD55" i="1" s="1"/>
  <c r="Z55" i="1"/>
  <c r="AA55" i="1" s="1"/>
  <c r="W55" i="1"/>
  <c r="X55" i="1" s="1"/>
  <c r="T55" i="1"/>
  <c r="U55" i="1" s="1"/>
  <c r="R55" i="1"/>
  <c r="O55" i="1"/>
  <c r="L55" i="1"/>
  <c r="I55" i="1"/>
  <c r="DO54" i="1"/>
  <c r="DP54" i="1" s="1"/>
  <c r="DL54" i="1"/>
  <c r="DM54" i="1" s="1"/>
  <c r="DI54" i="1"/>
  <c r="DJ54" i="1" s="1"/>
  <c r="DF54" i="1"/>
  <c r="DG54" i="1" s="1"/>
  <c r="DC54" i="1"/>
  <c r="DD54" i="1" s="1"/>
  <c r="CZ54" i="1"/>
  <c r="DA54" i="1" s="1"/>
  <c r="CW54" i="1"/>
  <c r="CX54" i="1" s="1"/>
  <c r="CT54" i="1"/>
  <c r="CU54" i="1" s="1"/>
  <c r="CQ54" i="1"/>
  <c r="CR54" i="1" s="1"/>
  <c r="CN54" i="1"/>
  <c r="CO54" i="1" s="1"/>
  <c r="CK54" i="1"/>
  <c r="CL54" i="1" s="1"/>
  <c r="CH54" i="1"/>
  <c r="CI54" i="1" s="1"/>
  <c r="CE54" i="1"/>
  <c r="CF54" i="1" s="1"/>
  <c r="CB54" i="1"/>
  <c r="CC54" i="1" s="1"/>
  <c r="BY54" i="1"/>
  <c r="BZ54" i="1" s="1"/>
  <c r="BV54" i="1"/>
  <c r="BW54" i="1" s="1"/>
  <c r="BS54" i="1"/>
  <c r="BT54" i="1" s="1"/>
  <c r="BP54" i="1"/>
  <c r="BQ54" i="1" s="1"/>
  <c r="BN54" i="1"/>
  <c r="BM54" i="1"/>
  <c r="BJ54" i="1"/>
  <c r="BK54" i="1" s="1"/>
  <c r="BG54" i="1"/>
  <c r="BH54" i="1" s="1"/>
  <c r="BE54" i="1"/>
  <c r="BD54" i="1"/>
  <c r="BA54" i="1"/>
  <c r="BB54" i="1" s="1"/>
  <c r="AX54" i="1"/>
  <c r="AY54" i="1" s="1"/>
  <c r="AU54" i="1"/>
  <c r="AV54" i="1" s="1"/>
  <c r="AR54" i="1"/>
  <c r="AS54" i="1" s="1"/>
  <c r="AP54" i="1"/>
  <c r="AO54" i="1"/>
  <c r="AL54" i="1"/>
  <c r="AM54" i="1" s="1"/>
  <c r="AI54" i="1"/>
  <c r="AJ54" i="1" s="1"/>
  <c r="AF54" i="1"/>
  <c r="AG54" i="1" s="1"/>
  <c r="AC54" i="1"/>
  <c r="AD54" i="1" s="1"/>
  <c r="Z54" i="1"/>
  <c r="AA54" i="1" s="1"/>
  <c r="W54" i="1"/>
  <c r="X54" i="1" s="1"/>
  <c r="U54" i="1"/>
  <c r="T54" i="1"/>
  <c r="R54" i="1"/>
  <c r="O54" i="1"/>
  <c r="L54" i="1"/>
  <c r="I54" i="1"/>
  <c r="DO53" i="1"/>
  <c r="DP53" i="1" s="1"/>
  <c r="DL53" i="1"/>
  <c r="DM53" i="1" s="1"/>
  <c r="DJ53" i="1"/>
  <c r="DI53" i="1"/>
  <c r="DF53" i="1"/>
  <c r="DG53" i="1" s="1"/>
  <c r="DC53" i="1"/>
  <c r="DD53" i="1" s="1"/>
  <c r="CZ53" i="1"/>
  <c r="DA53" i="1" s="1"/>
  <c r="CW53" i="1"/>
  <c r="CX53" i="1" s="1"/>
  <c r="CT53" i="1"/>
  <c r="CU53" i="1" s="1"/>
  <c r="CQ53" i="1"/>
  <c r="CR53" i="1" s="1"/>
  <c r="CN53" i="1"/>
  <c r="CO53" i="1" s="1"/>
  <c r="CL53" i="1"/>
  <c r="CK53" i="1"/>
  <c r="CH53" i="1"/>
  <c r="CI53" i="1" s="1"/>
  <c r="CE53" i="1"/>
  <c r="CF53" i="1" s="1"/>
  <c r="CB53" i="1"/>
  <c r="CC53" i="1" s="1"/>
  <c r="BY53" i="1"/>
  <c r="BZ53" i="1" s="1"/>
  <c r="BV53" i="1"/>
  <c r="BW53" i="1" s="1"/>
  <c r="BS53" i="1"/>
  <c r="BT53" i="1" s="1"/>
  <c r="BP53" i="1"/>
  <c r="BQ53" i="1" s="1"/>
  <c r="BM53" i="1"/>
  <c r="BN53" i="1" s="1"/>
  <c r="BJ53" i="1"/>
  <c r="BK53" i="1" s="1"/>
  <c r="BG53" i="1"/>
  <c r="BH53" i="1" s="1"/>
  <c r="BD53" i="1"/>
  <c r="BE53" i="1" s="1"/>
  <c r="BB53" i="1"/>
  <c r="BA53" i="1"/>
  <c r="AX53" i="1"/>
  <c r="AY53" i="1" s="1"/>
  <c r="AU53" i="1"/>
  <c r="AV53" i="1" s="1"/>
  <c r="AR53" i="1"/>
  <c r="AS53" i="1" s="1"/>
  <c r="AO53" i="1"/>
  <c r="AP53" i="1" s="1"/>
  <c r="AL53" i="1"/>
  <c r="AM53" i="1" s="1"/>
  <c r="AI53" i="1"/>
  <c r="AJ53" i="1" s="1"/>
  <c r="AF53" i="1"/>
  <c r="AG53" i="1" s="1"/>
  <c r="AC53" i="1"/>
  <c r="AD53" i="1" s="1"/>
  <c r="Z53" i="1"/>
  <c r="AA53" i="1" s="1"/>
  <c r="W53" i="1"/>
  <c r="X53" i="1" s="1"/>
  <c r="T53" i="1"/>
  <c r="U53" i="1" s="1"/>
  <c r="R53" i="1"/>
  <c r="O53" i="1"/>
  <c r="L53" i="1"/>
  <c r="I53" i="1"/>
  <c r="DO52" i="1"/>
  <c r="DP52" i="1" s="1"/>
  <c r="DL52" i="1"/>
  <c r="DM52" i="1" s="1"/>
  <c r="DI52" i="1"/>
  <c r="DJ52" i="1" s="1"/>
  <c r="DF52" i="1"/>
  <c r="DG52" i="1" s="1"/>
  <c r="DC52" i="1"/>
  <c r="DD52" i="1" s="1"/>
  <c r="CZ52" i="1"/>
  <c r="DA52" i="1" s="1"/>
  <c r="CW52" i="1"/>
  <c r="CX52" i="1" s="1"/>
  <c r="CT52" i="1"/>
  <c r="CU52" i="1" s="1"/>
  <c r="CQ52" i="1"/>
  <c r="CR52" i="1" s="1"/>
  <c r="CN52" i="1"/>
  <c r="CO52" i="1" s="1"/>
  <c r="CK52" i="1"/>
  <c r="CL52" i="1" s="1"/>
  <c r="CH52" i="1"/>
  <c r="CI52" i="1" s="1"/>
  <c r="CE52" i="1"/>
  <c r="CF52" i="1" s="1"/>
  <c r="CB52" i="1"/>
  <c r="CC52" i="1" s="1"/>
  <c r="BZ52" i="1"/>
  <c r="BY52" i="1"/>
  <c r="BV52" i="1"/>
  <c r="BW52" i="1" s="1"/>
  <c r="BS52" i="1"/>
  <c r="BT52" i="1" s="1"/>
  <c r="BQ52" i="1"/>
  <c r="BP52" i="1"/>
  <c r="BM52" i="1"/>
  <c r="BN52" i="1" s="1"/>
  <c r="BJ52" i="1"/>
  <c r="BK52" i="1" s="1"/>
  <c r="BG52" i="1"/>
  <c r="BH52" i="1" s="1"/>
  <c r="BD52" i="1"/>
  <c r="BE52" i="1" s="1"/>
  <c r="BB52" i="1"/>
  <c r="BA52" i="1"/>
  <c r="AX52" i="1"/>
  <c r="AY52" i="1" s="1"/>
  <c r="AU52" i="1"/>
  <c r="AV52" i="1" s="1"/>
  <c r="AR52" i="1"/>
  <c r="AS52" i="1" s="1"/>
  <c r="AO52" i="1"/>
  <c r="AP52" i="1" s="1"/>
  <c r="AL52" i="1"/>
  <c r="AM52" i="1" s="1"/>
  <c r="AI52" i="1"/>
  <c r="AJ52" i="1" s="1"/>
  <c r="AG52" i="1"/>
  <c r="AF52" i="1"/>
  <c r="AD52" i="1"/>
  <c r="AC52" i="1"/>
  <c r="Z52" i="1"/>
  <c r="AA52" i="1" s="1"/>
  <c r="W52" i="1"/>
  <c r="X52" i="1" s="1"/>
  <c r="T52" i="1"/>
  <c r="U52" i="1" s="1"/>
  <c r="R52" i="1"/>
  <c r="O52" i="1"/>
  <c r="L52" i="1"/>
  <c r="I52" i="1"/>
  <c r="DO51" i="1"/>
  <c r="DP51" i="1" s="1"/>
  <c r="DL51" i="1"/>
  <c r="DM51" i="1" s="1"/>
  <c r="DI51" i="1"/>
  <c r="DJ51" i="1" s="1"/>
  <c r="DF51" i="1"/>
  <c r="DG51" i="1" s="1"/>
  <c r="DC51" i="1"/>
  <c r="DD51" i="1" s="1"/>
  <c r="DA51" i="1"/>
  <c r="CZ51" i="1"/>
  <c r="CW51" i="1"/>
  <c r="CX51" i="1" s="1"/>
  <c r="CT51" i="1"/>
  <c r="CU51" i="1" s="1"/>
  <c r="CQ51" i="1"/>
  <c r="CR51" i="1" s="1"/>
  <c r="CN51" i="1"/>
  <c r="CO51" i="1" s="1"/>
  <c r="CK51" i="1"/>
  <c r="CL51" i="1" s="1"/>
  <c r="CH51" i="1"/>
  <c r="CI51" i="1" s="1"/>
  <c r="CE51" i="1"/>
  <c r="CF51" i="1" s="1"/>
  <c r="CB51" i="1"/>
  <c r="CC51" i="1" s="1"/>
  <c r="BY51" i="1"/>
  <c r="BZ51" i="1" s="1"/>
  <c r="BV51" i="1"/>
  <c r="BW51" i="1" s="1"/>
  <c r="BS51" i="1"/>
  <c r="BT51" i="1" s="1"/>
  <c r="BQ51" i="1"/>
  <c r="BP51" i="1"/>
  <c r="BM51" i="1"/>
  <c r="BN51" i="1" s="1"/>
  <c r="BJ51" i="1"/>
  <c r="BK51" i="1" s="1"/>
  <c r="BG51" i="1"/>
  <c r="BH51" i="1" s="1"/>
  <c r="BD51" i="1"/>
  <c r="BE51" i="1" s="1"/>
  <c r="BA51" i="1"/>
  <c r="BB51" i="1" s="1"/>
  <c r="AX51" i="1"/>
  <c r="AY51" i="1" s="1"/>
  <c r="AU51" i="1"/>
  <c r="AV51" i="1" s="1"/>
  <c r="AR51" i="1"/>
  <c r="AS51" i="1" s="1"/>
  <c r="AO51" i="1"/>
  <c r="AP51" i="1" s="1"/>
  <c r="AL51" i="1"/>
  <c r="AM51" i="1" s="1"/>
  <c r="AI51" i="1"/>
  <c r="AJ51" i="1" s="1"/>
  <c r="AF51" i="1"/>
  <c r="AG51" i="1" s="1"/>
  <c r="AC51" i="1"/>
  <c r="AD51" i="1" s="1"/>
  <c r="Z51" i="1"/>
  <c r="AA51" i="1" s="1"/>
  <c r="W51" i="1"/>
  <c r="X51" i="1" s="1"/>
  <c r="T51" i="1"/>
  <c r="U51" i="1" s="1"/>
  <c r="O51" i="1"/>
  <c r="L51" i="1"/>
  <c r="I51" i="1"/>
  <c r="DO50" i="1"/>
  <c r="DP50" i="1" s="1"/>
  <c r="DL50" i="1"/>
  <c r="DM50" i="1" s="1"/>
  <c r="DJ50" i="1"/>
  <c r="DI50" i="1"/>
  <c r="DF50" i="1"/>
  <c r="DG50" i="1" s="1"/>
  <c r="DC50" i="1"/>
  <c r="DD50" i="1" s="1"/>
  <c r="CZ50" i="1"/>
  <c r="DA50" i="1" s="1"/>
  <c r="CX50" i="1"/>
  <c r="CW50" i="1"/>
  <c r="CU50" i="1"/>
  <c r="CT50" i="1"/>
  <c r="CR50" i="1"/>
  <c r="CQ50" i="1"/>
  <c r="CN50" i="1"/>
  <c r="CO50" i="1" s="1"/>
  <c r="CK50" i="1"/>
  <c r="CL50" i="1" s="1"/>
  <c r="CI50" i="1"/>
  <c r="CH50" i="1"/>
  <c r="CF50" i="1"/>
  <c r="CE50" i="1"/>
  <c r="CB50" i="1"/>
  <c r="CC50" i="1" s="1"/>
  <c r="BY50" i="1"/>
  <c r="BZ50" i="1" s="1"/>
  <c r="BV50" i="1"/>
  <c r="BW50" i="1" s="1"/>
  <c r="BT50" i="1"/>
  <c r="BS50" i="1"/>
  <c r="BP50" i="1"/>
  <c r="BQ50" i="1" s="1"/>
  <c r="BM50" i="1"/>
  <c r="BN50" i="1" s="1"/>
  <c r="BJ50" i="1"/>
  <c r="BK50" i="1" s="1"/>
  <c r="BG50" i="1"/>
  <c r="BH50" i="1" s="1"/>
  <c r="BD50" i="1"/>
  <c r="BE50" i="1" s="1"/>
  <c r="BB50" i="1"/>
  <c r="BA50" i="1"/>
  <c r="AX50" i="1"/>
  <c r="AY50" i="1" s="1"/>
  <c r="AU50" i="1"/>
  <c r="AV50" i="1" s="1"/>
  <c r="AR50" i="1"/>
  <c r="AS50" i="1" s="1"/>
  <c r="AO50" i="1"/>
  <c r="AP50" i="1" s="1"/>
  <c r="AL50" i="1"/>
  <c r="AM50" i="1" s="1"/>
  <c r="AI50" i="1"/>
  <c r="AJ50" i="1" s="1"/>
  <c r="AF50" i="1"/>
  <c r="AG50" i="1" s="1"/>
  <c r="AC50" i="1"/>
  <c r="AD50" i="1" s="1"/>
  <c r="AA50" i="1"/>
  <c r="Z50" i="1"/>
  <c r="W50" i="1"/>
  <c r="X50" i="1" s="1"/>
  <c r="T50" i="1"/>
  <c r="U50" i="1" s="1"/>
  <c r="O50" i="1"/>
  <c r="L50" i="1"/>
  <c r="I50" i="1"/>
  <c r="DO49" i="1"/>
  <c r="DP49" i="1" s="1"/>
  <c r="DL49" i="1"/>
  <c r="DM49" i="1" s="1"/>
  <c r="DI49" i="1"/>
  <c r="DJ49" i="1" s="1"/>
  <c r="DF49" i="1"/>
  <c r="DG49" i="1" s="1"/>
  <c r="DC49" i="1"/>
  <c r="DD49" i="1" s="1"/>
  <c r="CZ49" i="1"/>
  <c r="DA49" i="1" s="1"/>
  <c r="CW49" i="1"/>
  <c r="CX49" i="1" s="1"/>
  <c r="CT49" i="1"/>
  <c r="CU49" i="1" s="1"/>
  <c r="CQ49" i="1"/>
  <c r="CR49" i="1" s="1"/>
  <c r="CN49" i="1"/>
  <c r="CO49" i="1" s="1"/>
  <c r="CK49" i="1"/>
  <c r="CL49" i="1" s="1"/>
  <c r="CI49" i="1"/>
  <c r="CH49" i="1"/>
  <c r="CE49" i="1"/>
  <c r="CF49" i="1" s="1"/>
  <c r="CB49" i="1"/>
  <c r="CC49" i="1" s="1"/>
  <c r="BY49" i="1"/>
  <c r="BZ49" i="1" s="1"/>
  <c r="BV49" i="1"/>
  <c r="BW49" i="1" s="1"/>
  <c r="BS49" i="1"/>
  <c r="BT49" i="1" s="1"/>
  <c r="BP49" i="1"/>
  <c r="BQ49" i="1" s="1"/>
  <c r="BN49" i="1"/>
  <c r="BM49" i="1"/>
  <c r="BJ49" i="1"/>
  <c r="BK49" i="1" s="1"/>
  <c r="BG49" i="1"/>
  <c r="BH49" i="1" s="1"/>
  <c r="BD49" i="1"/>
  <c r="BE49" i="1" s="1"/>
  <c r="BA49" i="1"/>
  <c r="BB49" i="1" s="1"/>
  <c r="AX49" i="1"/>
  <c r="AY49" i="1" s="1"/>
  <c r="AU49" i="1"/>
  <c r="AV49" i="1" s="1"/>
  <c r="AR49" i="1"/>
  <c r="AS49" i="1" s="1"/>
  <c r="AO49" i="1"/>
  <c r="AP49" i="1" s="1"/>
  <c r="AL49" i="1"/>
  <c r="AM49" i="1" s="1"/>
  <c r="AI49" i="1"/>
  <c r="AJ49" i="1" s="1"/>
  <c r="AF49" i="1"/>
  <c r="AG49" i="1" s="1"/>
  <c r="AD49" i="1"/>
  <c r="AC49" i="1"/>
  <c r="Z49" i="1"/>
  <c r="AA49" i="1" s="1"/>
  <c r="W49" i="1"/>
  <c r="X49" i="1" s="1"/>
  <c r="T49" i="1"/>
  <c r="U49" i="1" s="1"/>
  <c r="O49" i="1"/>
  <c r="L49" i="1"/>
  <c r="I49" i="1"/>
  <c r="DO48" i="1"/>
  <c r="DP48" i="1" s="1"/>
  <c r="DL48" i="1"/>
  <c r="DM48" i="1" s="1"/>
  <c r="DI48" i="1"/>
  <c r="DJ48" i="1" s="1"/>
  <c r="DF48" i="1"/>
  <c r="DG48" i="1" s="1"/>
  <c r="DD48" i="1"/>
  <c r="DC48" i="1"/>
  <c r="CZ48" i="1"/>
  <c r="DA48" i="1" s="1"/>
  <c r="CW48" i="1"/>
  <c r="CX48" i="1" s="1"/>
  <c r="CT48" i="1"/>
  <c r="CU48" i="1" s="1"/>
  <c r="CR48" i="1"/>
  <c r="CQ48" i="1"/>
  <c r="CO48" i="1"/>
  <c r="CN48" i="1"/>
  <c r="CK48" i="1"/>
  <c r="CL48" i="1" s="1"/>
  <c r="CH48" i="1"/>
  <c r="CI48" i="1" s="1"/>
  <c r="CF48" i="1"/>
  <c r="CE48" i="1"/>
  <c r="CC48" i="1"/>
  <c r="CB48" i="1"/>
  <c r="BY48" i="1"/>
  <c r="BZ48" i="1" s="1"/>
  <c r="BV48" i="1"/>
  <c r="BW48" i="1" s="1"/>
  <c r="BS48" i="1"/>
  <c r="BT48" i="1" s="1"/>
  <c r="BP48" i="1"/>
  <c r="BQ48" i="1" s="1"/>
  <c r="BN48" i="1"/>
  <c r="BM48" i="1"/>
  <c r="BJ48" i="1"/>
  <c r="BK48" i="1" s="1"/>
  <c r="BG48" i="1"/>
  <c r="BH48" i="1" s="1"/>
  <c r="BD48" i="1"/>
  <c r="BE48" i="1" s="1"/>
  <c r="BA48" i="1"/>
  <c r="BB48" i="1" s="1"/>
  <c r="AX48" i="1"/>
  <c r="AY48" i="1" s="1"/>
  <c r="AV48" i="1"/>
  <c r="AU48" i="1"/>
  <c r="AR48" i="1"/>
  <c r="AS48" i="1" s="1"/>
  <c r="AO48" i="1"/>
  <c r="AP48" i="1" s="1"/>
  <c r="AL48" i="1"/>
  <c r="AM48" i="1" s="1"/>
  <c r="AI48" i="1"/>
  <c r="AJ48" i="1" s="1"/>
  <c r="AF48" i="1"/>
  <c r="AG48" i="1" s="1"/>
  <c r="AC48" i="1"/>
  <c r="AD48" i="1" s="1"/>
  <c r="Z48" i="1"/>
  <c r="AA48" i="1" s="1"/>
  <c r="W48" i="1"/>
  <c r="X48" i="1" s="1"/>
  <c r="U48" i="1"/>
  <c r="T48" i="1"/>
  <c r="R48" i="1"/>
  <c r="O48" i="1"/>
  <c r="L48" i="1"/>
  <c r="I48" i="1"/>
  <c r="DO47" i="1"/>
  <c r="DP47" i="1" s="1"/>
  <c r="DM47" i="1"/>
  <c r="DL47" i="1"/>
  <c r="DI47" i="1"/>
  <c r="DJ47" i="1" s="1"/>
  <c r="DF47" i="1"/>
  <c r="DG47" i="1" s="1"/>
  <c r="DD47" i="1"/>
  <c r="DC47" i="1"/>
  <c r="CZ47" i="1"/>
  <c r="DA47" i="1" s="1"/>
  <c r="CW47" i="1"/>
  <c r="CX47" i="1" s="1"/>
  <c r="CT47" i="1"/>
  <c r="CU47" i="1" s="1"/>
  <c r="CR47" i="1"/>
  <c r="CQ47" i="1"/>
  <c r="CO47" i="1"/>
  <c r="CN47" i="1"/>
  <c r="CL47" i="1"/>
  <c r="CK47" i="1"/>
  <c r="CH47" i="1"/>
  <c r="CI47" i="1" s="1"/>
  <c r="CE47" i="1"/>
  <c r="CF47" i="1" s="1"/>
  <c r="CC47" i="1"/>
  <c r="CB47" i="1"/>
  <c r="BZ47" i="1"/>
  <c r="BY47" i="1"/>
  <c r="BV47" i="1"/>
  <c r="BW47" i="1" s="1"/>
  <c r="BS47" i="1"/>
  <c r="BT47" i="1" s="1"/>
  <c r="BP47" i="1"/>
  <c r="BQ47" i="1" s="1"/>
  <c r="BN47" i="1"/>
  <c r="BM47" i="1"/>
  <c r="BJ47" i="1"/>
  <c r="BK47" i="1" s="1"/>
  <c r="BG47" i="1"/>
  <c r="BH47" i="1" s="1"/>
  <c r="BD47" i="1"/>
  <c r="BE47" i="1" s="1"/>
  <c r="BA47" i="1"/>
  <c r="BB47" i="1" s="1"/>
  <c r="AX47" i="1"/>
  <c r="AY47" i="1" s="1"/>
  <c r="AV47" i="1"/>
  <c r="AU47" i="1"/>
  <c r="AR47" i="1"/>
  <c r="AS47" i="1" s="1"/>
  <c r="AO47" i="1"/>
  <c r="AP47" i="1" s="1"/>
  <c r="AL47" i="1"/>
  <c r="AM47" i="1" s="1"/>
  <c r="AI47" i="1"/>
  <c r="AJ47" i="1" s="1"/>
  <c r="AF47" i="1"/>
  <c r="AG47" i="1" s="1"/>
  <c r="AC47" i="1"/>
  <c r="AD47" i="1" s="1"/>
  <c r="Z47" i="1"/>
  <c r="AA47" i="1" s="1"/>
  <c r="W47" i="1"/>
  <c r="X47" i="1" s="1"/>
  <c r="U47" i="1"/>
  <c r="T47" i="1"/>
  <c r="R47" i="1"/>
  <c r="O47" i="1"/>
  <c r="L47" i="1"/>
  <c r="I47" i="1"/>
  <c r="DO46" i="1"/>
  <c r="DP46" i="1" s="1"/>
  <c r="DM46" i="1"/>
  <c r="DL46" i="1"/>
  <c r="DI46" i="1"/>
  <c r="DJ46" i="1" s="1"/>
  <c r="DF46" i="1"/>
  <c r="DG46" i="1" s="1"/>
  <c r="DD46" i="1"/>
  <c r="DC46" i="1"/>
  <c r="CZ46" i="1"/>
  <c r="DA46" i="1" s="1"/>
  <c r="CW46" i="1"/>
  <c r="CX46" i="1" s="1"/>
  <c r="CT46" i="1"/>
  <c r="CU46" i="1" s="1"/>
  <c r="CQ46" i="1"/>
  <c r="CR46" i="1" s="1"/>
  <c r="CO46" i="1"/>
  <c r="CN46" i="1"/>
  <c r="CL46" i="1"/>
  <c r="CK46" i="1"/>
  <c r="CH46" i="1"/>
  <c r="CI46" i="1" s="1"/>
  <c r="CE46" i="1"/>
  <c r="CF46" i="1" s="1"/>
  <c r="CB46" i="1"/>
  <c r="CC46" i="1" s="1"/>
  <c r="BZ46" i="1"/>
  <c r="BY46" i="1"/>
  <c r="BV46" i="1"/>
  <c r="BW46" i="1" s="1"/>
  <c r="BS46" i="1"/>
  <c r="BT46" i="1" s="1"/>
  <c r="BP46" i="1"/>
  <c r="BQ46" i="1" s="1"/>
  <c r="BM46" i="1"/>
  <c r="BN46" i="1" s="1"/>
  <c r="BJ46" i="1"/>
  <c r="BK46" i="1" s="1"/>
  <c r="BG46" i="1"/>
  <c r="BH46" i="1" s="1"/>
  <c r="BD46" i="1"/>
  <c r="BE46" i="1" s="1"/>
  <c r="BA46" i="1"/>
  <c r="BB46" i="1" s="1"/>
  <c r="AX46" i="1"/>
  <c r="AY46" i="1" s="1"/>
  <c r="AV46" i="1"/>
  <c r="AU46" i="1"/>
  <c r="AR46" i="1"/>
  <c r="AS46" i="1" s="1"/>
  <c r="AP46" i="1"/>
  <c r="AO46" i="1"/>
  <c r="AL46" i="1"/>
  <c r="AM46" i="1" s="1"/>
  <c r="AI46" i="1"/>
  <c r="AJ46" i="1" s="1"/>
  <c r="AF46" i="1"/>
  <c r="AG46" i="1" s="1"/>
  <c r="AC46" i="1"/>
  <c r="AD46" i="1" s="1"/>
  <c r="Z46" i="1"/>
  <c r="AA46" i="1" s="1"/>
  <c r="X46" i="1"/>
  <c r="W46" i="1"/>
  <c r="U46" i="1"/>
  <c r="T46" i="1"/>
  <c r="R46" i="1"/>
  <c r="O46" i="1"/>
  <c r="L46" i="1"/>
  <c r="I46" i="1"/>
  <c r="DP45" i="1"/>
  <c r="DO45" i="1"/>
  <c r="DM45" i="1"/>
  <c r="DL45" i="1"/>
  <c r="DI45" i="1"/>
  <c r="DJ45" i="1" s="1"/>
  <c r="DF45" i="1"/>
  <c r="DG45" i="1" s="1"/>
  <c r="DD45" i="1"/>
  <c r="DC45" i="1"/>
  <c r="DA45" i="1"/>
  <c r="CZ45" i="1"/>
  <c r="CW45" i="1"/>
  <c r="CX45" i="1" s="1"/>
  <c r="CT45" i="1"/>
  <c r="CU45" i="1" s="1"/>
  <c r="CQ45" i="1"/>
  <c r="CR45" i="1" s="1"/>
  <c r="CO45" i="1"/>
  <c r="CN45" i="1"/>
  <c r="CL45" i="1"/>
  <c r="CK45" i="1"/>
  <c r="CH45" i="1"/>
  <c r="CI45" i="1" s="1"/>
  <c r="CE45" i="1"/>
  <c r="CF45" i="1" s="1"/>
  <c r="CB45" i="1"/>
  <c r="CC45" i="1" s="1"/>
  <c r="BZ45" i="1"/>
  <c r="BY45" i="1"/>
  <c r="BV45" i="1"/>
  <c r="BW45" i="1" s="1"/>
  <c r="BS45" i="1"/>
  <c r="BT45" i="1" s="1"/>
  <c r="BP45" i="1"/>
  <c r="BQ45" i="1" s="1"/>
  <c r="BM45" i="1"/>
  <c r="BN45" i="1" s="1"/>
  <c r="BJ45" i="1"/>
  <c r="BK45" i="1" s="1"/>
  <c r="BG45" i="1"/>
  <c r="BH45" i="1" s="1"/>
  <c r="BD45" i="1"/>
  <c r="BE45" i="1" s="1"/>
  <c r="BA45" i="1"/>
  <c r="BB45" i="1" s="1"/>
  <c r="AX45" i="1"/>
  <c r="AY45" i="1" s="1"/>
  <c r="AV45" i="1"/>
  <c r="AU45" i="1"/>
  <c r="AR45" i="1"/>
  <c r="AS45" i="1" s="1"/>
  <c r="AP45" i="1"/>
  <c r="AO45" i="1"/>
  <c r="AL45" i="1"/>
  <c r="AM45" i="1" s="1"/>
  <c r="AI45" i="1"/>
  <c r="AJ45" i="1" s="1"/>
  <c r="AF45" i="1"/>
  <c r="AG45" i="1" s="1"/>
  <c r="AC45" i="1"/>
  <c r="AD45" i="1" s="1"/>
  <c r="Z45" i="1"/>
  <c r="AA45" i="1" s="1"/>
  <c r="X45" i="1"/>
  <c r="W45" i="1"/>
  <c r="U45" i="1"/>
  <c r="T45" i="1"/>
  <c r="O45" i="1"/>
  <c r="L45" i="1"/>
  <c r="I45" i="1"/>
  <c r="DP44" i="1"/>
  <c r="DO44" i="1"/>
  <c r="DL44" i="1"/>
  <c r="DM44" i="1" s="1"/>
  <c r="DI44" i="1"/>
  <c r="DJ44" i="1" s="1"/>
  <c r="DF44" i="1"/>
  <c r="DG44" i="1" s="1"/>
  <c r="DC44" i="1"/>
  <c r="DD44" i="1" s="1"/>
  <c r="CZ44" i="1"/>
  <c r="DA44" i="1" s="1"/>
  <c r="CW44" i="1"/>
  <c r="CX44" i="1" s="1"/>
  <c r="CT44" i="1"/>
  <c r="CU44" i="1" s="1"/>
  <c r="CR44" i="1"/>
  <c r="CQ44" i="1"/>
  <c r="CN44" i="1"/>
  <c r="CO44" i="1" s="1"/>
  <c r="CK44" i="1"/>
  <c r="CL44" i="1" s="1"/>
  <c r="CH44" i="1"/>
  <c r="CI44" i="1" s="1"/>
  <c r="CE44" i="1"/>
  <c r="CF44" i="1" s="1"/>
  <c r="CB44" i="1"/>
  <c r="CC44" i="1" s="1"/>
  <c r="BY44" i="1"/>
  <c r="BZ44" i="1" s="1"/>
  <c r="BV44" i="1"/>
  <c r="BW44" i="1" s="1"/>
  <c r="BS44" i="1"/>
  <c r="BT44" i="1" s="1"/>
  <c r="BP44" i="1"/>
  <c r="BQ44" i="1" s="1"/>
  <c r="BM44" i="1"/>
  <c r="BN44" i="1" s="1"/>
  <c r="BJ44" i="1"/>
  <c r="BK44" i="1" s="1"/>
  <c r="BH44" i="1"/>
  <c r="BG44" i="1"/>
  <c r="BD44" i="1"/>
  <c r="BE44" i="1" s="1"/>
  <c r="BA44" i="1"/>
  <c r="BB44" i="1" s="1"/>
  <c r="AX44" i="1"/>
  <c r="AY44" i="1" s="1"/>
  <c r="AU44" i="1"/>
  <c r="AV44" i="1" s="1"/>
  <c r="AR44" i="1"/>
  <c r="AS44" i="1" s="1"/>
  <c r="AO44" i="1"/>
  <c r="AP44" i="1" s="1"/>
  <c r="AL44" i="1"/>
  <c r="AM44" i="1" s="1"/>
  <c r="AI44" i="1"/>
  <c r="AJ44" i="1" s="1"/>
  <c r="AF44" i="1"/>
  <c r="AG44" i="1" s="1"/>
  <c r="AC44" i="1"/>
  <c r="AD44" i="1" s="1"/>
  <c r="Z44" i="1"/>
  <c r="AA44" i="1" s="1"/>
  <c r="W44" i="1"/>
  <c r="X44" i="1" s="1"/>
  <c r="T44" i="1"/>
  <c r="U44" i="1" s="1"/>
  <c r="R44" i="1"/>
  <c r="O44" i="1"/>
  <c r="L44" i="1"/>
  <c r="I44" i="1"/>
  <c r="DP43" i="1"/>
  <c r="DO43" i="1"/>
  <c r="DL43" i="1"/>
  <c r="DM43" i="1" s="1"/>
  <c r="DI43" i="1"/>
  <c r="DJ43" i="1" s="1"/>
  <c r="DG43" i="1"/>
  <c r="DF43" i="1"/>
  <c r="DD43" i="1"/>
  <c r="DC43" i="1"/>
  <c r="CZ43" i="1"/>
  <c r="DA43" i="1" s="1"/>
  <c r="CW43" i="1"/>
  <c r="CX43" i="1" s="1"/>
  <c r="CT43" i="1"/>
  <c r="CU43" i="1" s="1"/>
  <c r="CQ43" i="1"/>
  <c r="CR43" i="1" s="1"/>
  <c r="CN43" i="1"/>
  <c r="CO43" i="1" s="1"/>
  <c r="CK43" i="1"/>
  <c r="CL43" i="1" s="1"/>
  <c r="CI43" i="1"/>
  <c r="CH43" i="1"/>
  <c r="CE43" i="1"/>
  <c r="CF43" i="1" s="1"/>
  <c r="CB43" i="1"/>
  <c r="CC43" i="1" s="1"/>
  <c r="BY43" i="1"/>
  <c r="BZ43" i="1" s="1"/>
  <c r="BV43" i="1"/>
  <c r="BW43" i="1" s="1"/>
  <c r="BT43" i="1"/>
  <c r="BS43" i="1"/>
  <c r="BP43" i="1"/>
  <c r="BQ43" i="1" s="1"/>
  <c r="BM43" i="1"/>
  <c r="BN43" i="1" s="1"/>
  <c r="BJ43" i="1"/>
  <c r="BK43" i="1" s="1"/>
  <c r="BG43" i="1"/>
  <c r="BH43" i="1" s="1"/>
  <c r="BD43" i="1"/>
  <c r="BE43" i="1" s="1"/>
  <c r="BA43" i="1"/>
  <c r="BB43" i="1" s="1"/>
  <c r="AX43" i="1"/>
  <c r="AY43" i="1" s="1"/>
  <c r="AU43" i="1"/>
  <c r="AV43" i="1" s="1"/>
  <c r="AR43" i="1"/>
  <c r="AS43" i="1" s="1"/>
  <c r="AO43" i="1"/>
  <c r="AP43" i="1" s="1"/>
  <c r="AL43" i="1"/>
  <c r="AM43" i="1" s="1"/>
  <c r="AI43" i="1"/>
  <c r="AJ43" i="1" s="1"/>
  <c r="AF43" i="1"/>
  <c r="AG43" i="1" s="1"/>
  <c r="AC43" i="1"/>
  <c r="AD43" i="1" s="1"/>
  <c r="Z43" i="1"/>
  <c r="AA43" i="1" s="1"/>
  <c r="W43" i="1"/>
  <c r="X43" i="1" s="1"/>
  <c r="T43" i="1"/>
  <c r="U43" i="1" s="1"/>
  <c r="R43" i="1"/>
  <c r="O43" i="1"/>
  <c r="I43" i="1"/>
  <c r="DO42" i="1"/>
  <c r="DP42" i="1" s="1"/>
  <c r="DL42" i="1"/>
  <c r="DM42" i="1" s="1"/>
  <c r="DI42" i="1"/>
  <c r="DJ42" i="1" s="1"/>
  <c r="DF42" i="1"/>
  <c r="DG42" i="1" s="1"/>
  <c r="DC42" i="1"/>
  <c r="DD42" i="1" s="1"/>
  <c r="DA42" i="1"/>
  <c r="CZ42" i="1"/>
  <c r="CW42" i="1"/>
  <c r="CX42" i="1" s="1"/>
  <c r="CU42" i="1"/>
  <c r="CT42" i="1"/>
  <c r="CQ42" i="1"/>
  <c r="CR42" i="1" s="1"/>
  <c r="CN42" i="1"/>
  <c r="CO42" i="1" s="1"/>
  <c r="CL42" i="1"/>
  <c r="CK42" i="1"/>
  <c r="CH42" i="1"/>
  <c r="CI42" i="1" s="1"/>
  <c r="CE42" i="1"/>
  <c r="CF42" i="1" s="1"/>
  <c r="CB42" i="1"/>
  <c r="CC42" i="1" s="1"/>
  <c r="BY42" i="1"/>
  <c r="BZ42" i="1" s="1"/>
  <c r="BW42" i="1"/>
  <c r="BV42" i="1"/>
  <c r="BS42" i="1"/>
  <c r="BT42" i="1" s="1"/>
  <c r="BP42" i="1"/>
  <c r="BQ42" i="1" s="1"/>
  <c r="BM42" i="1"/>
  <c r="BN42" i="1" s="1"/>
  <c r="BJ42" i="1"/>
  <c r="BK42" i="1" s="1"/>
  <c r="BG42" i="1"/>
  <c r="BH42" i="1" s="1"/>
  <c r="BE42" i="1"/>
  <c r="BD42" i="1"/>
  <c r="BA42" i="1"/>
  <c r="BB42" i="1" s="1"/>
  <c r="AX42" i="1"/>
  <c r="AY42" i="1" s="1"/>
  <c r="AU42" i="1"/>
  <c r="AV42" i="1" s="1"/>
  <c r="AR42" i="1"/>
  <c r="AS42" i="1" s="1"/>
  <c r="AO42" i="1"/>
  <c r="AP42" i="1" s="1"/>
  <c r="AL42" i="1"/>
  <c r="AM42" i="1" s="1"/>
  <c r="AI42" i="1"/>
  <c r="AJ42" i="1" s="1"/>
  <c r="AF42" i="1"/>
  <c r="AG42" i="1" s="1"/>
  <c r="AD42" i="1"/>
  <c r="AC42" i="1"/>
  <c r="Z42" i="1"/>
  <c r="AA42" i="1" s="1"/>
  <c r="W42" i="1"/>
  <c r="X42" i="1" s="1"/>
  <c r="U42" i="1"/>
  <c r="T42" i="1"/>
  <c r="O42" i="1"/>
  <c r="L42" i="1"/>
  <c r="I42" i="1"/>
  <c r="DO41" i="1"/>
  <c r="DP41" i="1" s="1"/>
  <c r="DL41" i="1"/>
  <c r="DM41" i="1" s="1"/>
  <c r="DI41" i="1"/>
  <c r="DJ41" i="1" s="1"/>
  <c r="DF41" i="1"/>
  <c r="DG41" i="1" s="1"/>
  <c r="DC41" i="1"/>
  <c r="DD41" i="1" s="1"/>
  <c r="CZ41" i="1"/>
  <c r="DA41" i="1" s="1"/>
  <c r="CW41" i="1"/>
  <c r="CX41" i="1" s="1"/>
  <c r="CT41" i="1"/>
  <c r="CU41" i="1" s="1"/>
  <c r="CQ41" i="1"/>
  <c r="CR41" i="1" s="1"/>
  <c r="CN41" i="1"/>
  <c r="CO41" i="1" s="1"/>
  <c r="CK41" i="1"/>
  <c r="CL41" i="1" s="1"/>
  <c r="CH41" i="1"/>
  <c r="CI41" i="1" s="1"/>
  <c r="CE41" i="1"/>
  <c r="CF41" i="1" s="1"/>
  <c r="CB41" i="1"/>
  <c r="CC41" i="1" s="1"/>
  <c r="BY41" i="1"/>
  <c r="BZ41" i="1" s="1"/>
  <c r="BV41" i="1"/>
  <c r="BW41" i="1" s="1"/>
  <c r="BS41" i="1"/>
  <c r="BT41" i="1" s="1"/>
  <c r="BQ41" i="1"/>
  <c r="BP41" i="1"/>
  <c r="BM41" i="1"/>
  <c r="BN41" i="1" s="1"/>
  <c r="BJ41" i="1"/>
  <c r="BK41" i="1" s="1"/>
  <c r="BG41" i="1"/>
  <c r="BH41" i="1" s="1"/>
  <c r="BD41" i="1"/>
  <c r="BE41" i="1" s="1"/>
  <c r="BA41" i="1"/>
  <c r="BB41" i="1" s="1"/>
  <c r="AX41" i="1"/>
  <c r="AY41" i="1" s="1"/>
  <c r="AV41" i="1"/>
  <c r="AU41" i="1"/>
  <c r="AR41" i="1"/>
  <c r="AS41" i="1" s="1"/>
  <c r="AO41" i="1"/>
  <c r="AP41" i="1" s="1"/>
  <c r="AL41" i="1"/>
  <c r="AM41" i="1" s="1"/>
  <c r="AI41" i="1"/>
  <c r="AJ41" i="1" s="1"/>
  <c r="AG41" i="1"/>
  <c r="AF41" i="1"/>
  <c r="AC41" i="1"/>
  <c r="AD41" i="1" s="1"/>
  <c r="Z41" i="1"/>
  <c r="AA41" i="1" s="1"/>
  <c r="W41" i="1"/>
  <c r="X41" i="1" s="1"/>
  <c r="T41" i="1"/>
  <c r="U41" i="1" s="1"/>
  <c r="R41" i="1"/>
  <c r="O41" i="1"/>
  <c r="L41" i="1"/>
  <c r="I41" i="1"/>
  <c r="DO40" i="1"/>
  <c r="DP40" i="1" s="1"/>
  <c r="DL40" i="1"/>
  <c r="DM40" i="1" s="1"/>
  <c r="DI40" i="1"/>
  <c r="DJ40" i="1" s="1"/>
  <c r="DF40" i="1"/>
  <c r="DG40" i="1" s="1"/>
  <c r="DC40" i="1"/>
  <c r="DD40" i="1" s="1"/>
  <c r="CZ40" i="1"/>
  <c r="DA40" i="1" s="1"/>
  <c r="CW40" i="1"/>
  <c r="CX40" i="1" s="1"/>
  <c r="CT40" i="1"/>
  <c r="CU40" i="1" s="1"/>
  <c r="CR40" i="1"/>
  <c r="CQ40" i="1"/>
  <c r="CN40" i="1"/>
  <c r="CO40" i="1" s="1"/>
  <c r="CK40" i="1"/>
  <c r="CL40" i="1" s="1"/>
  <c r="CH40" i="1"/>
  <c r="CI40" i="1" s="1"/>
  <c r="CE40" i="1"/>
  <c r="CF40" i="1" s="1"/>
  <c r="CC40" i="1"/>
  <c r="CB40" i="1"/>
  <c r="BY40" i="1"/>
  <c r="BZ40" i="1" s="1"/>
  <c r="BV40" i="1"/>
  <c r="BW40" i="1" s="1"/>
  <c r="BS40" i="1"/>
  <c r="BT40" i="1" s="1"/>
  <c r="BP40" i="1"/>
  <c r="BQ40" i="1" s="1"/>
  <c r="BM40" i="1"/>
  <c r="BN40" i="1" s="1"/>
  <c r="BJ40" i="1"/>
  <c r="BK40" i="1" s="1"/>
  <c r="BG40" i="1"/>
  <c r="BH40" i="1" s="1"/>
  <c r="BD40" i="1"/>
  <c r="BE40" i="1" s="1"/>
  <c r="BA40" i="1"/>
  <c r="BB40" i="1" s="1"/>
  <c r="AX40" i="1"/>
  <c r="AY40" i="1" s="1"/>
  <c r="AU40" i="1"/>
  <c r="AV40" i="1" s="1"/>
  <c r="AR40" i="1"/>
  <c r="AS40" i="1" s="1"/>
  <c r="AO40" i="1"/>
  <c r="AP40" i="1" s="1"/>
  <c r="AL40" i="1"/>
  <c r="AM40" i="1" s="1"/>
  <c r="AI40" i="1"/>
  <c r="AJ40" i="1" s="1"/>
  <c r="AF40" i="1"/>
  <c r="AG40" i="1" s="1"/>
  <c r="AC40" i="1"/>
  <c r="AD40" i="1" s="1"/>
  <c r="Z40" i="1"/>
  <c r="AA40" i="1" s="1"/>
  <c r="W40" i="1"/>
  <c r="X40" i="1" s="1"/>
  <c r="T40" i="1"/>
  <c r="U40" i="1" s="1"/>
  <c r="R40" i="1"/>
  <c r="O40" i="1"/>
  <c r="L40" i="1"/>
  <c r="I40" i="1"/>
  <c r="DO39" i="1"/>
  <c r="DP39" i="1" s="1"/>
  <c r="DL39" i="1"/>
  <c r="DM39" i="1" s="1"/>
  <c r="DI39" i="1"/>
  <c r="DJ39" i="1" s="1"/>
  <c r="DF39" i="1"/>
  <c r="DG39" i="1" s="1"/>
  <c r="DC39" i="1"/>
  <c r="DD39" i="1" s="1"/>
  <c r="CZ39" i="1"/>
  <c r="DA39" i="1" s="1"/>
  <c r="CW39" i="1"/>
  <c r="CX39" i="1" s="1"/>
  <c r="CT39" i="1"/>
  <c r="CU39" i="1" s="1"/>
  <c r="CQ39" i="1"/>
  <c r="CR39" i="1" s="1"/>
  <c r="CN39" i="1"/>
  <c r="CO39" i="1" s="1"/>
  <c r="CK39" i="1"/>
  <c r="CL39" i="1" s="1"/>
  <c r="CH39" i="1"/>
  <c r="CI39" i="1" s="1"/>
  <c r="CF39" i="1"/>
  <c r="CE39" i="1"/>
  <c r="CB39" i="1"/>
  <c r="CC39" i="1" s="1"/>
  <c r="BY39" i="1"/>
  <c r="BZ39" i="1" s="1"/>
  <c r="BV39" i="1"/>
  <c r="BW39" i="1" s="1"/>
  <c r="BS39" i="1"/>
  <c r="BT39" i="1" s="1"/>
  <c r="BQ39" i="1"/>
  <c r="BP39" i="1"/>
  <c r="BM39" i="1"/>
  <c r="BN39" i="1" s="1"/>
  <c r="BJ39" i="1"/>
  <c r="BK39" i="1" s="1"/>
  <c r="BG39" i="1"/>
  <c r="BH39" i="1" s="1"/>
  <c r="BD39" i="1"/>
  <c r="BE39" i="1" s="1"/>
  <c r="BA39" i="1"/>
  <c r="BB39" i="1" s="1"/>
  <c r="AX39" i="1"/>
  <c r="AY39" i="1" s="1"/>
  <c r="AV39" i="1"/>
  <c r="AU39" i="1"/>
  <c r="AR39" i="1"/>
  <c r="AS39" i="1" s="1"/>
  <c r="AO39" i="1"/>
  <c r="AP39" i="1" s="1"/>
  <c r="AL39" i="1"/>
  <c r="AM39" i="1" s="1"/>
  <c r="AI39" i="1"/>
  <c r="AJ39" i="1" s="1"/>
  <c r="AF39" i="1"/>
  <c r="AG39" i="1" s="1"/>
  <c r="AC39" i="1"/>
  <c r="AD39" i="1" s="1"/>
  <c r="Z39" i="1"/>
  <c r="AA39" i="1" s="1"/>
  <c r="W39" i="1"/>
  <c r="X39" i="1" s="1"/>
  <c r="T39" i="1"/>
  <c r="U39" i="1" s="1"/>
  <c r="R39" i="1"/>
  <c r="O39" i="1"/>
  <c r="L39" i="1"/>
  <c r="I39" i="1"/>
  <c r="DO38" i="1"/>
  <c r="DP38" i="1" s="1"/>
  <c r="DM38" i="1"/>
  <c r="DL38" i="1"/>
  <c r="DI38" i="1"/>
  <c r="DJ38" i="1" s="1"/>
  <c r="DF38" i="1"/>
  <c r="DG38" i="1" s="1"/>
  <c r="DC38" i="1"/>
  <c r="DD38" i="1" s="1"/>
  <c r="CZ38" i="1"/>
  <c r="DA38" i="1" s="1"/>
  <c r="CW38" i="1"/>
  <c r="CX38" i="1" s="1"/>
  <c r="CT38" i="1"/>
  <c r="CU38" i="1" s="1"/>
  <c r="CR38" i="1"/>
  <c r="CQ38" i="1"/>
  <c r="CN38" i="1"/>
  <c r="CO38" i="1" s="1"/>
  <c r="CK38" i="1"/>
  <c r="CL38" i="1" s="1"/>
  <c r="CH38" i="1"/>
  <c r="CI38" i="1" s="1"/>
  <c r="CE38" i="1"/>
  <c r="CF38" i="1" s="1"/>
  <c r="CC38" i="1"/>
  <c r="CB38" i="1"/>
  <c r="BY38" i="1"/>
  <c r="BZ38" i="1" s="1"/>
  <c r="BV38" i="1"/>
  <c r="BW38" i="1" s="1"/>
  <c r="BS38" i="1"/>
  <c r="BT38" i="1" s="1"/>
  <c r="BP38" i="1"/>
  <c r="BQ38" i="1" s="1"/>
  <c r="BM38" i="1"/>
  <c r="BN38" i="1" s="1"/>
  <c r="BJ38" i="1"/>
  <c r="BK38" i="1" s="1"/>
  <c r="BG38" i="1"/>
  <c r="BH38" i="1" s="1"/>
  <c r="BD38" i="1"/>
  <c r="BE38" i="1" s="1"/>
  <c r="BA38" i="1"/>
  <c r="BB38" i="1" s="1"/>
  <c r="AX38" i="1"/>
  <c r="AY38" i="1" s="1"/>
  <c r="AU38" i="1"/>
  <c r="AV38" i="1" s="1"/>
  <c r="AR38" i="1"/>
  <c r="AS38" i="1" s="1"/>
  <c r="AO38" i="1"/>
  <c r="AP38" i="1" s="1"/>
  <c r="AL38" i="1"/>
  <c r="AM38" i="1" s="1"/>
  <c r="AI38" i="1"/>
  <c r="AJ38" i="1" s="1"/>
  <c r="AF38" i="1"/>
  <c r="AG38" i="1" s="1"/>
  <c r="AC38" i="1"/>
  <c r="AD38" i="1" s="1"/>
  <c r="Z38" i="1"/>
  <c r="AA38" i="1" s="1"/>
  <c r="W38" i="1"/>
  <c r="X38" i="1" s="1"/>
  <c r="T38" i="1"/>
  <c r="U38" i="1" s="1"/>
  <c r="R38" i="1"/>
  <c r="O38" i="1"/>
  <c r="L38" i="1"/>
  <c r="I38" i="1"/>
  <c r="DO37" i="1"/>
  <c r="DP37" i="1" s="1"/>
  <c r="DL37" i="1"/>
  <c r="DM37" i="1" s="1"/>
  <c r="DI37" i="1"/>
  <c r="DJ37" i="1" s="1"/>
  <c r="DF37" i="1"/>
  <c r="DG37" i="1" s="1"/>
  <c r="DC37" i="1"/>
  <c r="DD37" i="1" s="1"/>
  <c r="CZ37" i="1"/>
  <c r="DA37" i="1" s="1"/>
  <c r="CW37" i="1"/>
  <c r="CX37" i="1" s="1"/>
  <c r="CT37" i="1"/>
  <c r="CU37" i="1" s="1"/>
  <c r="CQ37" i="1"/>
  <c r="CR37" i="1" s="1"/>
  <c r="CN37" i="1"/>
  <c r="CO37" i="1" s="1"/>
  <c r="CK37" i="1"/>
  <c r="CL37" i="1" s="1"/>
  <c r="CH37" i="1"/>
  <c r="CI37" i="1" s="1"/>
  <c r="CE37" i="1"/>
  <c r="CF37" i="1" s="1"/>
  <c r="CB37" i="1"/>
  <c r="CC37" i="1" s="1"/>
  <c r="BY37" i="1"/>
  <c r="BZ37" i="1" s="1"/>
  <c r="BV37" i="1"/>
  <c r="BW37" i="1" s="1"/>
  <c r="BS37" i="1"/>
  <c r="BT37" i="1" s="1"/>
  <c r="BQ37" i="1"/>
  <c r="BP37" i="1"/>
  <c r="BM37" i="1"/>
  <c r="BN37" i="1" s="1"/>
  <c r="BJ37" i="1"/>
  <c r="BK37" i="1" s="1"/>
  <c r="BG37" i="1"/>
  <c r="BH37" i="1" s="1"/>
  <c r="BD37" i="1"/>
  <c r="BE37" i="1" s="1"/>
  <c r="BA37" i="1"/>
  <c r="BB37" i="1" s="1"/>
  <c r="AX37" i="1"/>
  <c r="AY37" i="1" s="1"/>
  <c r="AV37" i="1"/>
  <c r="AU37" i="1"/>
  <c r="AR37" i="1"/>
  <c r="AS37" i="1" s="1"/>
  <c r="AO37" i="1"/>
  <c r="AP37" i="1" s="1"/>
  <c r="AL37" i="1"/>
  <c r="AM37" i="1" s="1"/>
  <c r="AI37" i="1"/>
  <c r="AJ37" i="1" s="1"/>
  <c r="AF37" i="1"/>
  <c r="AG37" i="1" s="1"/>
  <c r="AC37" i="1"/>
  <c r="AD37" i="1" s="1"/>
  <c r="Z37" i="1"/>
  <c r="AA37" i="1" s="1"/>
  <c r="W37" i="1"/>
  <c r="X37" i="1" s="1"/>
  <c r="T37" i="1"/>
  <c r="U37" i="1" s="1"/>
  <c r="R37" i="1"/>
  <c r="O37" i="1"/>
  <c r="L37" i="1"/>
  <c r="I37" i="1"/>
  <c r="DO36" i="1"/>
  <c r="DP36" i="1" s="1"/>
  <c r="DL36" i="1"/>
  <c r="DM36" i="1" s="1"/>
  <c r="DI36" i="1"/>
  <c r="DJ36" i="1" s="1"/>
  <c r="DF36" i="1"/>
  <c r="DG36" i="1" s="1"/>
  <c r="DC36" i="1"/>
  <c r="DD36" i="1" s="1"/>
  <c r="CZ36" i="1"/>
  <c r="DA36" i="1" s="1"/>
  <c r="CW36" i="1"/>
  <c r="CX36" i="1" s="1"/>
  <c r="CT36" i="1"/>
  <c r="CU36" i="1" s="1"/>
  <c r="CQ36" i="1"/>
  <c r="CR36" i="1" s="1"/>
  <c r="CN36" i="1"/>
  <c r="CO36" i="1" s="1"/>
  <c r="CK36" i="1"/>
  <c r="CL36" i="1" s="1"/>
  <c r="CH36" i="1"/>
  <c r="CI36" i="1" s="1"/>
  <c r="CE36" i="1"/>
  <c r="CF36" i="1" s="1"/>
  <c r="CC36" i="1"/>
  <c r="CB36" i="1"/>
  <c r="BY36" i="1"/>
  <c r="BZ36" i="1" s="1"/>
  <c r="BV36" i="1"/>
  <c r="BW36" i="1" s="1"/>
  <c r="BS36" i="1"/>
  <c r="BT36" i="1" s="1"/>
  <c r="BP36" i="1"/>
  <c r="BQ36" i="1" s="1"/>
  <c r="BM36" i="1"/>
  <c r="BN36" i="1" s="1"/>
  <c r="BJ36" i="1"/>
  <c r="BK36" i="1" s="1"/>
  <c r="BG36" i="1"/>
  <c r="BH36" i="1" s="1"/>
  <c r="BD36" i="1"/>
  <c r="BE36" i="1" s="1"/>
  <c r="BA36" i="1"/>
  <c r="BB36" i="1" s="1"/>
  <c r="AX36" i="1"/>
  <c r="AY36" i="1" s="1"/>
  <c r="AU36" i="1"/>
  <c r="AV36" i="1" s="1"/>
  <c r="AR36" i="1"/>
  <c r="AS36" i="1" s="1"/>
  <c r="AO36" i="1"/>
  <c r="AP36" i="1" s="1"/>
  <c r="AL36" i="1"/>
  <c r="AM36" i="1" s="1"/>
  <c r="AI36" i="1"/>
  <c r="AJ36" i="1" s="1"/>
  <c r="AF36" i="1"/>
  <c r="AG36" i="1" s="1"/>
  <c r="AC36" i="1"/>
  <c r="AD36" i="1" s="1"/>
  <c r="Z36" i="1"/>
  <c r="AA36" i="1" s="1"/>
  <c r="W36" i="1"/>
  <c r="X36" i="1" s="1"/>
  <c r="U36" i="1"/>
  <c r="T36" i="1"/>
  <c r="R36" i="1"/>
  <c r="O36" i="1"/>
  <c r="L36" i="1"/>
  <c r="I36" i="1"/>
  <c r="DO35" i="1"/>
  <c r="DP35" i="1" s="1"/>
  <c r="DM35" i="1"/>
  <c r="DL35" i="1"/>
  <c r="DI35" i="1"/>
  <c r="DJ35" i="1" s="1"/>
  <c r="DF35" i="1"/>
  <c r="DG35" i="1" s="1"/>
  <c r="DC35" i="1"/>
  <c r="DD35" i="1" s="1"/>
  <c r="CZ35" i="1"/>
  <c r="DA35" i="1" s="1"/>
  <c r="CW35" i="1"/>
  <c r="CX35" i="1" s="1"/>
  <c r="CT35" i="1"/>
  <c r="CU35" i="1" s="1"/>
  <c r="CR35" i="1"/>
  <c r="CQ35" i="1"/>
  <c r="CN35" i="1"/>
  <c r="CO35" i="1" s="1"/>
  <c r="CK35" i="1"/>
  <c r="CL35" i="1" s="1"/>
  <c r="CH35" i="1"/>
  <c r="CI35" i="1" s="1"/>
  <c r="CE35" i="1"/>
  <c r="CF35" i="1" s="1"/>
  <c r="CC35" i="1"/>
  <c r="CB35" i="1"/>
  <c r="BY35" i="1"/>
  <c r="BZ35" i="1" s="1"/>
  <c r="BV35" i="1"/>
  <c r="BW35" i="1" s="1"/>
  <c r="BS35" i="1"/>
  <c r="BT35" i="1" s="1"/>
  <c r="BP35" i="1"/>
  <c r="BQ35" i="1" s="1"/>
  <c r="BM35" i="1"/>
  <c r="BN35" i="1" s="1"/>
  <c r="BJ35" i="1"/>
  <c r="BK35" i="1" s="1"/>
  <c r="BG35" i="1"/>
  <c r="BH35" i="1" s="1"/>
  <c r="BD35" i="1"/>
  <c r="BE35" i="1" s="1"/>
  <c r="BA35" i="1"/>
  <c r="BB35" i="1" s="1"/>
  <c r="AX35" i="1"/>
  <c r="AY35" i="1" s="1"/>
  <c r="AU35" i="1"/>
  <c r="AV35" i="1" s="1"/>
  <c r="AR35" i="1"/>
  <c r="AS35" i="1" s="1"/>
  <c r="AO35" i="1"/>
  <c r="AP35" i="1" s="1"/>
  <c r="AL35" i="1"/>
  <c r="AM35" i="1" s="1"/>
  <c r="AI35" i="1"/>
  <c r="AJ35" i="1" s="1"/>
  <c r="AG35" i="1"/>
  <c r="AF35" i="1"/>
  <c r="AC35" i="1"/>
  <c r="AD35" i="1" s="1"/>
  <c r="Z35" i="1"/>
  <c r="AA35" i="1" s="1"/>
  <c r="W35" i="1"/>
  <c r="X35" i="1" s="1"/>
  <c r="U35" i="1"/>
  <c r="T35" i="1"/>
  <c r="R35" i="1"/>
  <c r="O35" i="1"/>
  <c r="L35" i="1"/>
  <c r="I35" i="1"/>
  <c r="DO34" i="1"/>
  <c r="DP34" i="1" s="1"/>
  <c r="DL34" i="1"/>
  <c r="DM34" i="1" s="1"/>
  <c r="DI34" i="1"/>
  <c r="DJ34" i="1" s="1"/>
  <c r="DF34" i="1"/>
  <c r="DG34" i="1" s="1"/>
  <c r="DC34" i="1"/>
  <c r="DD34" i="1" s="1"/>
  <c r="CZ34" i="1"/>
  <c r="DA34" i="1" s="1"/>
  <c r="CW34" i="1"/>
  <c r="CX34" i="1" s="1"/>
  <c r="CT34" i="1"/>
  <c r="CU34" i="1" s="1"/>
  <c r="CQ34" i="1"/>
  <c r="CR34" i="1" s="1"/>
  <c r="CN34" i="1"/>
  <c r="CO34" i="1" s="1"/>
  <c r="CK34" i="1"/>
  <c r="CL34" i="1" s="1"/>
  <c r="CH34" i="1"/>
  <c r="CI34" i="1" s="1"/>
  <c r="CE34" i="1"/>
  <c r="CF34" i="1" s="1"/>
  <c r="CB34" i="1"/>
  <c r="CC34" i="1" s="1"/>
  <c r="BY34" i="1"/>
  <c r="BZ34" i="1" s="1"/>
  <c r="BV34" i="1"/>
  <c r="BW34" i="1" s="1"/>
  <c r="BS34" i="1"/>
  <c r="BT34" i="1" s="1"/>
  <c r="BQ34" i="1"/>
  <c r="BP34" i="1"/>
  <c r="BM34" i="1"/>
  <c r="BN34" i="1" s="1"/>
  <c r="BJ34" i="1"/>
  <c r="BK34" i="1" s="1"/>
  <c r="BG34" i="1"/>
  <c r="BH34" i="1" s="1"/>
  <c r="BD34" i="1"/>
  <c r="BE34" i="1" s="1"/>
  <c r="BA34" i="1"/>
  <c r="BB34" i="1" s="1"/>
  <c r="AX34" i="1"/>
  <c r="AY34" i="1" s="1"/>
  <c r="AV34" i="1"/>
  <c r="AU34" i="1"/>
  <c r="AR34" i="1"/>
  <c r="AS34" i="1" s="1"/>
  <c r="AO34" i="1"/>
  <c r="AP34" i="1" s="1"/>
  <c r="AL34" i="1"/>
  <c r="AM34" i="1" s="1"/>
  <c r="AI34" i="1"/>
  <c r="AJ34" i="1" s="1"/>
  <c r="AF34" i="1"/>
  <c r="AG34" i="1" s="1"/>
  <c r="AC34" i="1"/>
  <c r="AD34" i="1" s="1"/>
  <c r="Z34" i="1"/>
  <c r="AA34" i="1" s="1"/>
  <c r="W34" i="1"/>
  <c r="X34" i="1" s="1"/>
  <c r="T34" i="1"/>
  <c r="U34" i="1" s="1"/>
  <c r="R34" i="1"/>
  <c r="O34" i="1"/>
  <c r="L34" i="1"/>
  <c r="I34" i="1"/>
  <c r="DO33" i="1"/>
  <c r="DP33" i="1" s="1"/>
  <c r="DL33" i="1"/>
  <c r="DM33" i="1" s="1"/>
  <c r="DI33" i="1"/>
  <c r="DJ33" i="1" s="1"/>
  <c r="DF33" i="1"/>
  <c r="DG33" i="1" s="1"/>
  <c r="DC33" i="1"/>
  <c r="DD33" i="1" s="1"/>
  <c r="CZ33" i="1"/>
  <c r="DA33" i="1" s="1"/>
  <c r="CW33" i="1"/>
  <c r="CX33" i="1" s="1"/>
  <c r="CT33" i="1"/>
  <c r="CU33" i="1" s="1"/>
  <c r="CR33" i="1"/>
  <c r="CQ33" i="1"/>
  <c r="CN33" i="1"/>
  <c r="CO33" i="1" s="1"/>
  <c r="CK33" i="1"/>
  <c r="CL33" i="1" s="1"/>
  <c r="CH33" i="1"/>
  <c r="CI33" i="1" s="1"/>
  <c r="CE33" i="1"/>
  <c r="CF33" i="1" s="1"/>
  <c r="CB33" i="1"/>
  <c r="CC33" i="1" s="1"/>
  <c r="BY33" i="1"/>
  <c r="BZ33" i="1" s="1"/>
  <c r="BV33" i="1"/>
  <c r="BW33" i="1" s="1"/>
  <c r="BS33" i="1"/>
  <c r="BT33" i="1" s="1"/>
  <c r="BQ33" i="1"/>
  <c r="BP33" i="1"/>
  <c r="BM33" i="1"/>
  <c r="BN33" i="1" s="1"/>
  <c r="BJ33" i="1"/>
  <c r="BK33" i="1" s="1"/>
  <c r="BG33" i="1"/>
  <c r="BH33" i="1" s="1"/>
  <c r="BD33" i="1"/>
  <c r="BE33" i="1" s="1"/>
  <c r="BA33" i="1"/>
  <c r="BB33" i="1" s="1"/>
  <c r="AX33" i="1"/>
  <c r="AY33" i="1" s="1"/>
  <c r="AV33" i="1"/>
  <c r="AU33" i="1"/>
  <c r="AR33" i="1"/>
  <c r="AS33" i="1" s="1"/>
  <c r="AO33" i="1"/>
  <c r="AP33" i="1" s="1"/>
  <c r="AL33" i="1"/>
  <c r="AM33" i="1" s="1"/>
  <c r="AJ33" i="1"/>
  <c r="AI33" i="1"/>
  <c r="AF33" i="1"/>
  <c r="AG33" i="1" s="1"/>
  <c r="AC33" i="1"/>
  <c r="AD33" i="1" s="1"/>
  <c r="Z33" i="1"/>
  <c r="AA33" i="1" s="1"/>
  <c r="W33" i="1"/>
  <c r="X33" i="1" s="1"/>
  <c r="U33" i="1"/>
  <c r="T33" i="1"/>
  <c r="R33" i="1"/>
  <c r="O33" i="1"/>
  <c r="L33" i="1"/>
  <c r="I33" i="1"/>
  <c r="DO32" i="1"/>
  <c r="DP32" i="1" s="1"/>
  <c r="DL32" i="1"/>
  <c r="DM32" i="1" s="1"/>
  <c r="DI32" i="1"/>
  <c r="DJ32" i="1" s="1"/>
  <c r="DF32" i="1"/>
  <c r="DG32" i="1" s="1"/>
  <c r="DC32" i="1"/>
  <c r="DD32" i="1" s="1"/>
  <c r="CZ32" i="1"/>
  <c r="DA32" i="1" s="1"/>
  <c r="CW32" i="1"/>
  <c r="CX32" i="1" s="1"/>
  <c r="CT32" i="1"/>
  <c r="CU32" i="1" s="1"/>
  <c r="CQ32" i="1"/>
  <c r="CR32" i="1" s="1"/>
  <c r="CN32" i="1"/>
  <c r="CO32" i="1" s="1"/>
  <c r="CK32" i="1"/>
  <c r="CL32" i="1" s="1"/>
  <c r="CH32" i="1"/>
  <c r="CI32" i="1" s="1"/>
  <c r="CE32" i="1"/>
  <c r="CF32" i="1" s="1"/>
  <c r="CB32" i="1"/>
  <c r="CC32" i="1" s="1"/>
  <c r="BY32" i="1"/>
  <c r="BZ32" i="1" s="1"/>
  <c r="BV32" i="1"/>
  <c r="BW32" i="1" s="1"/>
  <c r="BS32" i="1"/>
  <c r="BT32" i="1" s="1"/>
  <c r="BQ32" i="1"/>
  <c r="BP32" i="1"/>
  <c r="BM32" i="1"/>
  <c r="BN32" i="1" s="1"/>
  <c r="BJ32" i="1"/>
  <c r="BK32" i="1" s="1"/>
  <c r="BG32" i="1"/>
  <c r="BH32" i="1" s="1"/>
  <c r="BD32" i="1"/>
  <c r="BE32" i="1" s="1"/>
  <c r="BA32" i="1"/>
  <c r="BB32" i="1" s="1"/>
  <c r="AX32" i="1"/>
  <c r="AY32" i="1" s="1"/>
  <c r="AV32" i="1"/>
  <c r="AU32" i="1"/>
  <c r="AR32" i="1"/>
  <c r="AS32" i="1" s="1"/>
  <c r="AO32" i="1"/>
  <c r="AP32" i="1" s="1"/>
  <c r="AL32" i="1"/>
  <c r="AM32" i="1" s="1"/>
  <c r="AI32" i="1"/>
  <c r="AJ32" i="1" s="1"/>
  <c r="AG32" i="1"/>
  <c r="AF32" i="1"/>
  <c r="AC32" i="1"/>
  <c r="AD32" i="1" s="1"/>
  <c r="Z32" i="1"/>
  <c r="AA32" i="1" s="1"/>
  <c r="W32" i="1"/>
  <c r="X32" i="1" s="1"/>
  <c r="T32" i="1"/>
  <c r="U32" i="1" s="1"/>
  <c r="R32" i="1"/>
  <c r="O32" i="1"/>
  <c r="L32" i="1"/>
  <c r="I32" i="1"/>
  <c r="DO31" i="1"/>
  <c r="DP31" i="1" s="1"/>
  <c r="DL31" i="1"/>
  <c r="DM31" i="1" s="1"/>
  <c r="DI31" i="1"/>
  <c r="DJ31" i="1" s="1"/>
  <c r="DF31" i="1"/>
  <c r="DG31" i="1" s="1"/>
  <c r="DC31" i="1"/>
  <c r="DD31" i="1" s="1"/>
  <c r="CZ31" i="1"/>
  <c r="DA31" i="1" s="1"/>
  <c r="CW31" i="1"/>
  <c r="CX31" i="1" s="1"/>
  <c r="CT31" i="1"/>
  <c r="CU31" i="1" s="1"/>
  <c r="CR31" i="1"/>
  <c r="CQ31" i="1"/>
  <c r="CN31" i="1"/>
  <c r="CO31" i="1" s="1"/>
  <c r="CK31" i="1"/>
  <c r="CL31" i="1" s="1"/>
  <c r="CH31" i="1"/>
  <c r="CI31" i="1" s="1"/>
  <c r="CE31" i="1"/>
  <c r="CF31" i="1" s="1"/>
  <c r="CC31" i="1"/>
  <c r="CB31" i="1"/>
  <c r="BY31" i="1"/>
  <c r="BZ31" i="1" s="1"/>
  <c r="BV31" i="1"/>
  <c r="BW31" i="1" s="1"/>
  <c r="BS31" i="1"/>
  <c r="BT31" i="1" s="1"/>
  <c r="BP31" i="1"/>
  <c r="BQ31" i="1" s="1"/>
  <c r="BM31" i="1"/>
  <c r="BN31" i="1" s="1"/>
  <c r="BJ31" i="1"/>
  <c r="BK31" i="1" s="1"/>
  <c r="BG31" i="1"/>
  <c r="BH31" i="1" s="1"/>
  <c r="BD31" i="1"/>
  <c r="BE31" i="1" s="1"/>
  <c r="BA31" i="1"/>
  <c r="BB31" i="1" s="1"/>
  <c r="AX31" i="1"/>
  <c r="AY31" i="1" s="1"/>
  <c r="AU31" i="1"/>
  <c r="AV31" i="1" s="1"/>
  <c r="AR31" i="1"/>
  <c r="AS31" i="1" s="1"/>
  <c r="AO31" i="1"/>
  <c r="AP31" i="1" s="1"/>
  <c r="AL31" i="1"/>
  <c r="AM31" i="1" s="1"/>
  <c r="AI31" i="1"/>
  <c r="AJ31" i="1" s="1"/>
  <c r="AF31" i="1"/>
  <c r="AG31" i="1" s="1"/>
  <c r="AC31" i="1"/>
  <c r="AD31" i="1" s="1"/>
  <c r="Z31" i="1"/>
  <c r="AA31" i="1" s="1"/>
  <c r="W31" i="1"/>
  <c r="X31" i="1" s="1"/>
  <c r="T31" i="1"/>
  <c r="U31" i="1" s="1"/>
  <c r="R31" i="1"/>
  <c r="O31" i="1"/>
  <c r="L31" i="1"/>
  <c r="I31" i="1"/>
  <c r="DO30" i="1"/>
  <c r="DP30" i="1" s="1"/>
  <c r="DL30" i="1"/>
  <c r="DM30" i="1" s="1"/>
  <c r="DI30" i="1"/>
  <c r="DJ30" i="1" s="1"/>
  <c r="DF30" i="1"/>
  <c r="DG30" i="1" s="1"/>
  <c r="DC30" i="1"/>
  <c r="DD30" i="1" s="1"/>
  <c r="CZ30" i="1"/>
  <c r="DA30" i="1" s="1"/>
  <c r="CW30" i="1"/>
  <c r="CX30" i="1" s="1"/>
  <c r="CT30" i="1"/>
  <c r="CU30" i="1" s="1"/>
  <c r="CQ30" i="1"/>
  <c r="CR30" i="1" s="1"/>
  <c r="CN30" i="1"/>
  <c r="CO30" i="1" s="1"/>
  <c r="CK30" i="1"/>
  <c r="CL30" i="1" s="1"/>
  <c r="CH30" i="1"/>
  <c r="CI30" i="1" s="1"/>
  <c r="CE30" i="1"/>
  <c r="CF30" i="1" s="1"/>
  <c r="CB30" i="1"/>
  <c r="CC30" i="1" s="1"/>
  <c r="BY30" i="1"/>
  <c r="BZ30" i="1" s="1"/>
  <c r="BV30" i="1"/>
  <c r="BW30" i="1" s="1"/>
  <c r="BS30" i="1"/>
  <c r="BT30" i="1" s="1"/>
  <c r="BQ30" i="1"/>
  <c r="BP30" i="1"/>
  <c r="BM30" i="1"/>
  <c r="BN30" i="1" s="1"/>
  <c r="BJ30" i="1"/>
  <c r="BK30" i="1" s="1"/>
  <c r="BG30" i="1"/>
  <c r="BH30" i="1" s="1"/>
  <c r="BD30" i="1"/>
  <c r="BE30" i="1" s="1"/>
  <c r="BA30" i="1"/>
  <c r="BB30" i="1" s="1"/>
  <c r="AX30" i="1"/>
  <c r="AY30" i="1" s="1"/>
  <c r="AV30" i="1"/>
  <c r="AU30" i="1"/>
  <c r="AR30" i="1"/>
  <c r="AS30" i="1" s="1"/>
  <c r="AO30" i="1"/>
  <c r="AP30" i="1" s="1"/>
  <c r="AL30" i="1"/>
  <c r="AM30" i="1" s="1"/>
  <c r="AI30" i="1"/>
  <c r="AJ30" i="1" s="1"/>
  <c r="AF30" i="1"/>
  <c r="AG30" i="1" s="1"/>
  <c r="AC30" i="1"/>
  <c r="AD30" i="1" s="1"/>
  <c r="Z30" i="1"/>
  <c r="AA30" i="1" s="1"/>
  <c r="W30" i="1"/>
  <c r="X30" i="1" s="1"/>
  <c r="T30" i="1"/>
  <c r="U30" i="1" s="1"/>
  <c r="R30" i="1"/>
  <c r="O30" i="1"/>
  <c r="L30" i="1"/>
  <c r="I30" i="1"/>
  <c r="DP29" i="1"/>
  <c r="DO29" i="1"/>
  <c r="DL29" i="1"/>
  <c r="DM29" i="1" s="1"/>
  <c r="DI29" i="1"/>
  <c r="DJ29" i="1" s="1"/>
  <c r="DF29" i="1"/>
  <c r="DG29" i="1" s="1"/>
  <c r="DC29" i="1"/>
  <c r="DD29" i="1" s="1"/>
  <c r="DA29" i="1"/>
  <c r="CZ29" i="1"/>
  <c r="CW29" i="1"/>
  <c r="CX29" i="1" s="1"/>
  <c r="CT29" i="1"/>
  <c r="CU29" i="1" s="1"/>
  <c r="CQ29" i="1"/>
  <c r="CR29" i="1" s="1"/>
  <c r="CN29" i="1"/>
  <c r="CO29" i="1" s="1"/>
  <c r="CK29" i="1"/>
  <c r="CL29" i="1" s="1"/>
  <c r="CI29" i="1"/>
  <c r="CH29" i="1"/>
  <c r="CE29" i="1"/>
  <c r="CF29" i="1" s="1"/>
  <c r="CB29" i="1"/>
  <c r="CC29" i="1" s="1"/>
  <c r="BY29" i="1"/>
  <c r="BZ29" i="1" s="1"/>
  <c r="BV29" i="1"/>
  <c r="BW29" i="1" s="1"/>
  <c r="BS29" i="1"/>
  <c r="BT29" i="1" s="1"/>
  <c r="BQ29" i="1"/>
  <c r="BP29" i="1"/>
  <c r="BM29" i="1"/>
  <c r="BN29" i="1" s="1"/>
  <c r="BJ29" i="1"/>
  <c r="BK29" i="1" s="1"/>
  <c r="BG29" i="1"/>
  <c r="BH29" i="1" s="1"/>
  <c r="BD29" i="1"/>
  <c r="BE29" i="1" s="1"/>
  <c r="BA29" i="1"/>
  <c r="BB29" i="1" s="1"/>
  <c r="AX29" i="1"/>
  <c r="AY29" i="1" s="1"/>
  <c r="AU29" i="1"/>
  <c r="AV29" i="1" s="1"/>
  <c r="AR29" i="1"/>
  <c r="AS29" i="1" s="1"/>
  <c r="AO29" i="1"/>
  <c r="AP29" i="1" s="1"/>
  <c r="AL29" i="1"/>
  <c r="AM29" i="1" s="1"/>
  <c r="AI29" i="1"/>
  <c r="AJ29" i="1" s="1"/>
  <c r="AG29" i="1"/>
  <c r="AF29" i="1"/>
  <c r="AC29" i="1"/>
  <c r="AD29" i="1" s="1"/>
  <c r="Z29" i="1"/>
  <c r="AA29" i="1" s="1"/>
  <c r="W29" i="1"/>
  <c r="X29" i="1" s="1"/>
  <c r="T29" i="1"/>
  <c r="U29" i="1" s="1"/>
  <c r="R29" i="1"/>
  <c r="O29" i="1"/>
  <c r="L29" i="1"/>
  <c r="I29" i="1"/>
  <c r="DO28" i="1"/>
  <c r="DP28" i="1" s="1"/>
  <c r="DM28" i="1"/>
  <c r="DL28" i="1"/>
  <c r="DI28" i="1"/>
  <c r="DJ28" i="1" s="1"/>
  <c r="DF28" i="1"/>
  <c r="DG28" i="1" s="1"/>
  <c r="DC28" i="1"/>
  <c r="DD28" i="1" s="1"/>
  <c r="CZ28" i="1"/>
  <c r="DA28" i="1" s="1"/>
  <c r="CW28" i="1"/>
  <c r="CX28" i="1" s="1"/>
  <c r="CT28" i="1"/>
  <c r="CU28" i="1" s="1"/>
  <c r="CQ28" i="1"/>
  <c r="CR28" i="1" s="1"/>
  <c r="CO28" i="1"/>
  <c r="CN28" i="1"/>
  <c r="CK28" i="1"/>
  <c r="CL28" i="1" s="1"/>
  <c r="CH28" i="1"/>
  <c r="CI28" i="1" s="1"/>
  <c r="CE28" i="1"/>
  <c r="CF28" i="1" s="1"/>
  <c r="CB28" i="1"/>
  <c r="CC28" i="1" s="1"/>
  <c r="BY28" i="1"/>
  <c r="BZ28" i="1" s="1"/>
  <c r="BW28" i="1"/>
  <c r="BV28" i="1"/>
  <c r="BT28" i="1"/>
  <c r="BS28" i="1"/>
  <c r="BP28" i="1"/>
  <c r="BQ28" i="1" s="1"/>
  <c r="BM28" i="1"/>
  <c r="BN28" i="1" s="1"/>
  <c r="BJ28" i="1"/>
  <c r="BK28" i="1" s="1"/>
  <c r="BH28" i="1"/>
  <c r="BG28" i="1"/>
  <c r="BD28" i="1"/>
  <c r="BE28" i="1" s="1"/>
  <c r="BA28" i="1"/>
  <c r="BB28" i="1" s="1"/>
  <c r="AY28" i="1"/>
  <c r="AX28" i="1"/>
  <c r="AU28" i="1"/>
  <c r="AV28" i="1" s="1"/>
  <c r="AS28" i="1"/>
  <c r="AR28" i="1"/>
  <c r="AO28" i="1"/>
  <c r="AP28" i="1" s="1"/>
  <c r="AL28" i="1"/>
  <c r="AM28" i="1" s="1"/>
  <c r="AJ28" i="1"/>
  <c r="AI28" i="1"/>
  <c r="AF28" i="1"/>
  <c r="AG28" i="1" s="1"/>
  <c r="AC28" i="1"/>
  <c r="AD28" i="1" s="1"/>
  <c r="AA28" i="1"/>
  <c r="Z28" i="1"/>
  <c r="W28" i="1"/>
  <c r="X28" i="1" s="1"/>
  <c r="T28" i="1"/>
  <c r="U28" i="1" s="1"/>
  <c r="R28" i="1"/>
  <c r="O28" i="1"/>
  <c r="L28" i="1"/>
  <c r="I28" i="1"/>
  <c r="DO27" i="1"/>
  <c r="DP27" i="1" s="1"/>
  <c r="DL27" i="1"/>
  <c r="DM27" i="1" s="1"/>
  <c r="DI27" i="1"/>
  <c r="DJ27" i="1" s="1"/>
  <c r="DF27" i="1"/>
  <c r="DG27" i="1" s="1"/>
  <c r="DC27" i="1"/>
  <c r="DD27" i="1" s="1"/>
  <c r="CZ27" i="1"/>
  <c r="DA27" i="1" s="1"/>
  <c r="CW27" i="1"/>
  <c r="CX27" i="1" s="1"/>
  <c r="CU27" i="1"/>
  <c r="CT27" i="1"/>
  <c r="CQ27" i="1"/>
  <c r="CR27" i="1" s="1"/>
  <c r="CN27" i="1"/>
  <c r="CO27" i="1" s="1"/>
  <c r="CK27" i="1"/>
  <c r="CL27" i="1" s="1"/>
  <c r="CI27" i="1"/>
  <c r="CH27" i="1"/>
  <c r="CE27" i="1"/>
  <c r="CF27" i="1" s="1"/>
  <c r="CB27" i="1"/>
  <c r="CC27" i="1" s="1"/>
  <c r="BY27" i="1"/>
  <c r="BZ27" i="1" s="1"/>
  <c r="BV27" i="1"/>
  <c r="BW27" i="1" s="1"/>
  <c r="BS27" i="1"/>
  <c r="BT27" i="1" s="1"/>
  <c r="BQ27" i="1"/>
  <c r="BP27" i="1"/>
  <c r="BM27" i="1"/>
  <c r="BN27" i="1" s="1"/>
  <c r="BJ27" i="1"/>
  <c r="BK27" i="1" s="1"/>
  <c r="BG27" i="1"/>
  <c r="BH27" i="1" s="1"/>
  <c r="BD27" i="1"/>
  <c r="BE27" i="1" s="1"/>
  <c r="BA27" i="1"/>
  <c r="BB27" i="1" s="1"/>
  <c r="AY27" i="1"/>
  <c r="AX27" i="1"/>
  <c r="AU27" i="1"/>
  <c r="AV27" i="1" s="1"/>
  <c r="AR27" i="1"/>
  <c r="AS27" i="1" s="1"/>
  <c r="AO27" i="1"/>
  <c r="AP27" i="1" s="1"/>
  <c r="AL27" i="1"/>
  <c r="AM27" i="1" s="1"/>
  <c r="AI27" i="1"/>
  <c r="AJ27" i="1" s="1"/>
  <c r="AG27" i="1"/>
  <c r="AF27" i="1"/>
  <c r="AC27" i="1"/>
  <c r="AD27" i="1" s="1"/>
  <c r="Z27" i="1"/>
  <c r="AA27" i="1" s="1"/>
  <c r="W27" i="1"/>
  <c r="X27" i="1" s="1"/>
  <c r="U27" i="1"/>
  <c r="T27" i="1"/>
  <c r="R27" i="1"/>
  <c r="O27" i="1"/>
  <c r="L27" i="1"/>
  <c r="I27" i="1"/>
  <c r="DO26" i="1"/>
  <c r="DP26" i="1" s="1"/>
  <c r="DM26" i="1"/>
  <c r="DL26" i="1"/>
  <c r="DI26" i="1"/>
  <c r="DJ26" i="1" s="1"/>
  <c r="DF26" i="1"/>
  <c r="DG26" i="1" s="1"/>
  <c r="DC26" i="1"/>
  <c r="DD26" i="1" s="1"/>
  <c r="CZ26" i="1"/>
  <c r="DA26" i="1" s="1"/>
  <c r="CW26" i="1"/>
  <c r="CX26" i="1" s="1"/>
  <c r="CU26" i="1"/>
  <c r="CT26" i="1"/>
  <c r="CR26" i="1"/>
  <c r="CQ26" i="1"/>
  <c r="CN26" i="1"/>
  <c r="CO26" i="1" s="1"/>
  <c r="CK26" i="1"/>
  <c r="CL26" i="1" s="1"/>
  <c r="CH26" i="1"/>
  <c r="CI26" i="1" s="1"/>
  <c r="CE26" i="1"/>
  <c r="CF26" i="1" s="1"/>
  <c r="CB26" i="1"/>
  <c r="CC26" i="1" s="1"/>
  <c r="BY26" i="1"/>
  <c r="BZ26" i="1" s="1"/>
  <c r="BV26" i="1"/>
  <c r="BW26" i="1" s="1"/>
  <c r="BS26" i="1"/>
  <c r="BT26" i="1" s="1"/>
  <c r="BQ26" i="1"/>
  <c r="BP26" i="1"/>
  <c r="BM26" i="1"/>
  <c r="BN26" i="1" s="1"/>
  <c r="BJ26" i="1"/>
  <c r="BK26" i="1" s="1"/>
  <c r="BG26" i="1"/>
  <c r="BH26" i="1" s="1"/>
  <c r="BD26" i="1"/>
  <c r="BE26" i="1" s="1"/>
  <c r="BA26" i="1"/>
  <c r="BB26" i="1" s="1"/>
  <c r="AX26" i="1"/>
  <c r="AY26" i="1" s="1"/>
  <c r="AU26" i="1"/>
  <c r="AV26" i="1" s="1"/>
  <c r="AR26" i="1"/>
  <c r="AS26" i="1" s="1"/>
  <c r="AO26" i="1"/>
  <c r="AP26" i="1" s="1"/>
  <c r="AL26" i="1"/>
  <c r="AM26" i="1" s="1"/>
  <c r="AI26" i="1"/>
  <c r="AJ26" i="1" s="1"/>
  <c r="AF26" i="1"/>
  <c r="AG26" i="1" s="1"/>
  <c r="AC26" i="1"/>
  <c r="AD26" i="1" s="1"/>
  <c r="Z26" i="1"/>
  <c r="AA26" i="1" s="1"/>
  <c r="X26" i="1"/>
  <c r="W26" i="1"/>
  <c r="T26" i="1"/>
  <c r="U26" i="1" s="1"/>
  <c r="L26" i="1"/>
  <c r="I26" i="1"/>
  <c r="DP25" i="1"/>
  <c r="DO25" i="1"/>
  <c r="DM25" i="1"/>
  <c r="DL25" i="1"/>
  <c r="DI25" i="1"/>
  <c r="DJ25" i="1" s="1"/>
  <c r="DF25" i="1"/>
  <c r="DG25" i="1" s="1"/>
  <c r="DC25" i="1"/>
  <c r="DD25" i="1" s="1"/>
  <c r="CZ25" i="1"/>
  <c r="DA25" i="1" s="1"/>
  <c r="CX25" i="1"/>
  <c r="CW25" i="1"/>
  <c r="CT25" i="1"/>
  <c r="CU25" i="1" s="1"/>
  <c r="CR25" i="1"/>
  <c r="CQ25" i="1"/>
  <c r="CN25" i="1"/>
  <c r="CO25" i="1" s="1"/>
  <c r="CK25" i="1"/>
  <c r="CL25" i="1" s="1"/>
  <c r="CH25" i="1"/>
  <c r="CI25" i="1" s="1"/>
  <c r="CF25" i="1"/>
  <c r="CE25" i="1"/>
  <c r="CB25" i="1"/>
  <c r="CC25" i="1" s="1"/>
  <c r="BY25" i="1"/>
  <c r="BZ25" i="1" s="1"/>
  <c r="BV25" i="1"/>
  <c r="BW25" i="1" s="1"/>
  <c r="BS25" i="1"/>
  <c r="BT25" i="1" s="1"/>
  <c r="BP25" i="1"/>
  <c r="BQ25" i="1" s="1"/>
  <c r="BN25" i="1"/>
  <c r="BM25" i="1"/>
  <c r="BJ25" i="1"/>
  <c r="BK25" i="1" s="1"/>
  <c r="BG25" i="1"/>
  <c r="BH25" i="1" s="1"/>
  <c r="BE25" i="1"/>
  <c r="BD25" i="1"/>
  <c r="BA25" i="1"/>
  <c r="BB25" i="1" s="1"/>
  <c r="AX25" i="1"/>
  <c r="AY25" i="1" s="1"/>
  <c r="AU25" i="1"/>
  <c r="AV25" i="1" s="1"/>
  <c r="AR25" i="1"/>
  <c r="AS25" i="1" s="1"/>
  <c r="AO25" i="1"/>
  <c r="AP25" i="1" s="1"/>
  <c r="AL25" i="1"/>
  <c r="AM25" i="1" s="1"/>
  <c r="AI25" i="1"/>
  <c r="AJ25" i="1" s="1"/>
  <c r="AF25" i="1"/>
  <c r="AG25" i="1" s="1"/>
  <c r="AD25" i="1"/>
  <c r="AC25" i="1"/>
  <c r="Z25" i="1"/>
  <c r="AA25" i="1" s="1"/>
  <c r="W25" i="1"/>
  <c r="X25" i="1" s="1"/>
  <c r="T25" i="1"/>
  <c r="U25" i="1" s="1"/>
  <c r="R25" i="1"/>
  <c r="O25" i="1"/>
  <c r="L25" i="1"/>
  <c r="I25" i="1"/>
  <c r="DO24" i="1"/>
  <c r="DP24" i="1" s="1"/>
  <c r="DL24" i="1"/>
  <c r="DM24" i="1" s="1"/>
  <c r="DI24" i="1"/>
  <c r="DJ24" i="1" s="1"/>
  <c r="DF24" i="1"/>
  <c r="DG24" i="1" s="1"/>
  <c r="DC24" i="1"/>
  <c r="DD24" i="1" s="1"/>
  <c r="CZ24" i="1"/>
  <c r="DA24" i="1" s="1"/>
  <c r="CW24" i="1"/>
  <c r="CX24" i="1" s="1"/>
  <c r="CT24" i="1"/>
  <c r="CU24" i="1" s="1"/>
  <c r="CR24" i="1"/>
  <c r="CQ24" i="1"/>
  <c r="CN24" i="1"/>
  <c r="CO24" i="1" s="1"/>
  <c r="CL24" i="1"/>
  <c r="CK24" i="1"/>
  <c r="CH24" i="1"/>
  <c r="CI24" i="1" s="1"/>
  <c r="CE24" i="1"/>
  <c r="CF24" i="1" s="1"/>
  <c r="CB24" i="1"/>
  <c r="CC24" i="1" s="1"/>
  <c r="BY24" i="1"/>
  <c r="BZ24" i="1" s="1"/>
  <c r="BV24" i="1"/>
  <c r="BW24" i="1" s="1"/>
  <c r="BT24" i="1"/>
  <c r="BS24" i="1"/>
  <c r="BP24" i="1"/>
  <c r="BQ24" i="1" s="1"/>
  <c r="BN24" i="1"/>
  <c r="BM24" i="1"/>
  <c r="BJ24" i="1"/>
  <c r="BK24" i="1" s="1"/>
  <c r="BH24" i="1"/>
  <c r="BG24" i="1"/>
  <c r="BE24" i="1"/>
  <c r="BD24" i="1"/>
  <c r="BA24" i="1"/>
  <c r="BB24" i="1" s="1"/>
  <c r="AX24" i="1"/>
  <c r="AY24" i="1" s="1"/>
  <c r="AU24" i="1"/>
  <c r="AV24" i="1" s="1"/>
  <c r="AR24" i="1"/>
  <c r="AS24" i="1" s="1"/>
  <c r="AP24" i="1"/>
  <c r="AO24" i="1"/>
  <c r="AL24" i="1"/>
  <c r="AM24" i="1" s="1"/>
  <c r="AI24" i="1"/>
  <c r="AJ24" i="1" s="1"/>
  <c r="AF24" i="1"/>
  <c r="AG24" i="1" s="1"/>
  <c r="AC24" i="1"/>
  <c r="AD24" i="1" s="1"/>
  <c r="Z24" i="1"/>
  <c r="AA24" i="1" s="1"/>
  <c r="X24" i="1"/>
  <c r="W24" i="1"/>
  <c r="U24" i="1"/>
  <c r="T24" i="1"/>
  <c r="R24" i="1"/>
  <c r="O24" i="1"/>
  <c r="L24" i="1"/>
  <c r="I24" i="1"/>
  <c r="DP23" i="1"/>
  <c r="DO23" i="1"/>
  <c r="DM23" i="1"/>
  <c r="DL23" i="1"/>
  <c r="DI23" i="1"/>
  <c r="DJ23" i="1" s="1"/>
  <c r="DF23" i="1"/>
  <c r="DG23" i="1" s="1"/>
  <c r="DC23" i="1"/>
  <c r="DD23" i="1" s="1"/>
  <c r="CZ23" i="1"/>
  <c r="DA23" i="1" s="1"/>
  <c r="CW23" i="1"/>
  <c r="CX23" i="1" s="1"/>
  <c r="CT23" i="1"/>
  <c r="CU23" i="1" s="1"/>
  <c r="CQ23" i="1"/>
  <c r="CR23" i="1" s="1"/>
  <c r="CN23" i="1"/>
  <c r="CO23" i="1" s="1"/>
  <c r="CK23" i="1"/>
  <c r="CL23" i="1" s="1"/>
  <c r="CH23" i="1"/>
  <c r="CI23" i="1" s="1"/>
  <c r="CF23" i="1"/>
  <c r="CE23" i="1"/>
  <c r="CB23" i="1"/>
  <c r="CC23" i="1" s="1"/>
  <c r="BY23" i="1"/>
  <c r="BZ23" i="1" s="1"/>
  <c r="BV23" i="1"/>
  <c r="BW23" i="1" s="1"/>
  <c r="BS23" i="1"/>
  <c r="BT23" i="1" s="1"/>
  <c r="BP23" i="1"/>
  <c r="BQ23" i="1" s="1"/>
  <c r="BN23" i="1"/>
  <c r="BM23" i="1"/>
  <c r="BJ23" i="1"/>
  <c r="BK23" i="1" s="1"/>
  <c r="BG23" i="1"/>
  <c r="BH23" i="1" s="1"/>
  <c r="BD23" i="1"/>
  <c r="BE23" i="1" s="1"/>
  <c r="BA23" i="1"/>
  <c r="BB23" i="1" s="1"/>
  <c r="AX23" i="1"/>
  <c r="AY23" i="1" s="1"/>
  <c r="AV23" i="1"/>
  <c r="AU23" i="1"/>
  <c r="AR23" i="1"/>
  <c r="AS23" i="1" s="1"/>
  <c r="AO23" i="1"/>
  <c r="AP23" i="1" s="1"/>
  <c r="AL23" i="1"/>
  <c r="AM23" i="1" s="1"/>
  <c r="AI23" i="1"/>
  <c r="AJ23" i="1" s="1"/>
  <c r="AG23" i="1"/>
  <c r="AF23" i="1"/>
  <c r="AD23" i="1"/>
  <c r="AC23" i="1"/>
  <c r="Z23" i="1"/>
  <c r="AA23" i="1" s="1"/>
  <c r="W23" i="1"/>
  <c r="X23" i="1" s="1"/>
  <c r="T23" i="1"/>
  <c r="U23" i="1" s="1"/>
  <c r="R23" i="1"/>
  <c r="O23" i="1"/>
  <c r="L23" i="1"/>
  <c r="I23" i="1"/>
  <c r="DO22" i="1"/>
  <c r="DP22" i="1" s="1"/>
  <c r="DL22" i="1"/>
  <c r="DM22" i="1" s="1"/>
  <c r="DJ22" i="1"/>
  <c r="DI22" i="1"/>
  <c r="DF22" i="1"/>
  <c r="DG22" i="1" s="1"/>
  <c r="DC22" i="1"/>
  <c r="DD22" i="1" s="1"/>
  <c r="CZ22" i="1"/>
  <c r="DA22" i="1" s="1"/>
  <c r="CW22" i="1"/>
  <c r="CX22" i="1" s="1"/>
  <c r="CT22" i="1"/>
  <c r="CU22" i="1" s="1"/>
  <c r="CR22" i="1"/>
  <c r="CQ22" i="1"/>
  <c r="CO22" i="1"/>
  <c r="CN22" i="1"/>
  <c r="CK22" i="1"/>
  <c r="CL22" i="1" s="1"/>
  <c r="CH22" i="1"/>
  <c r="CI22" i="1" s="1"/>
  <c r="CE22" i="1"/>
  <c r="CF22" i="1" s="1"/>
  <c r="CB22" i="1"/>
  <c r="CC22" i="1" s="1"/>
  <c r="BY22" i="1"/>
  <c r="BZ22" i="1" s="1"/>
  <c r="BV22" i="1"/>
  <c r="BW22" i="1" s="1"/>
  <c r="BS22" i="1"/>
  <c r="BT22" i="1" s="1"/>
  <c r="BP22" i="1"/>
  <c r="BQ22" i="1" s="1"/>
  <c r="BN22" i="1"/>
  <c r="BM22" i="1"/>
  <c r="BJ22" i="1"/>
  <c r="BK22" i="1" s="1"/>
  <c r="BG22" i="1"/>
  <c r="BH22" i="1" s="1"/>
  <c r="BD22" i="1"/>
  <c r="BE22" i="1" s="1"/>
  <c r="BA22" i="1"/>
  <c r="BB22" i="1" s="1"/>
  <c r="AX22" i="1"/>
  <c r="AY22" i="1" s="1"/>
  <c r="AU22" i="1"/>
  <c r="AV22" i="1" s="1"/>
  <c r="AR22" i="1"/>
  <c r="AS22" i="1" s="1"/>
  <c r="AP22" i="1"/>
  <c r="AO22" i="1"/>
  <c r="AL22" i="1"/>
  <c r="AM22" i="1" s="1"/>
  <c r="AI22" i="1"/>
  <c r="AJ22" i="1" s="1"/>
  <c r="AF22" i="1"/>
  <c r="AG22" i="1" s="1"/>
  <c r="AC22" i="1"/>
  <c r="AD22" i="1" s="1"/>
  <c r="Z22" i="1"/>
  <c r="AA22" i="1" s="1"/>
  <c r="X22" i="1"/>
  <c r="W22" i="1"/>
  <c r="T22" i="1"/>
  <c r="U22" i="1" s="1"/>
  <c r="R22" i="1"/>
  <c r="O22" i="1"/>
  <c r="L22" i="1"/>
  <c r="I22" i="1"/>
  <c r="DP21" i="1"/>
  <c r="DO21" i="1"/>
  <c r="DL21" i="1"/>
  <c r="DM21" i="1" s="1"/>
  <c r="DI21" i="1"/>
  <c r="DJ21" i="1" s="1"/>
  <c r="DF21" i="1"/>
  <c r="DG21" i="1" s="1"/>
  <c r="DC21" i="1"/>
  <c r="DD21" i="1" s="1"/>
  <c r="CZ21" i="1"/>
  <c r="DA21" i="1" s="1"/>
  <c r="CX21" i="1"/>
  <c r="CW21" i="1"/>
  <c r="CT21" i="1"/>
  <c r="CU21" i="1" s="1"/>
  <c r="CQ21" i="1"/>
  <c r="CR21" i="1" s="1"/>
  <c r="CN21" i="1"/>
  <c r="CO21" i="1" s="1"/>
  <c r="CL21" i="1"/>
  <c r="CK21" i="1"/>
  <c r="CH21" i="1"/>
  <c r="CI21" i="1" s="1"/>
  <c r="CE21" i="1"/>
  <c r="CF21" i="1" s="1"/>
  <c r="CB21" i="1"/>
  <c r="CC21" i="1" s="1"/>
  <c r="BY21" i="1"/>
  <c r="BZ21" i="1" s="1"/>
  <c r="BV21" i="1"/>
  <c r="BW21" i="1" s="1"/>
  <c r="BT21" i="1"/>
  <c r="BS21" i="1"/>
  <c r="BP21" i="1"/>
  <c r="BQ21" i="1" s="1"/>
  <c r="BM21" i="1"/>
  <c r="BN21" i="1" s="1"/>
  <c r="BJ21" i="1"/>
  <c r="BK21" i="1" s="1"/>
  <c r="BG21" i="1"/>
  <c r="BH21" i="1" s="1"/>
  <c r="BE21" i="1"/>
  <c r="BD21" i="1"/>
  <c r="BA21" i="1"/>
  <c r="BB21" i="1" s="1"/>
  <c r="AX21" i="1"/>
  <c r="AY21" i="1" s="1"/>
  <c r="AU21" i="1"/>
  <c r="AV21" i="1" s="1"/>
  <c r="AR21" i="1"/>
  <c r="AS21" i="1" s="1"/>
  <c r="AO21" i="1"/>
  <c r="AP21" i="1" s="1"/>
  <c r="AL21" i="1"/>
  <c r="AM21" i="1" s="1"/>
  <c r="AI21" i="1"/>
  <c r="AJ21" i="1" s="1"/>
  <c r="AF21" i="1"/>
  <c r="AG21" i="1" s="1"/>
  <c r="AC21" i="1"/>
  <c r="AD21" i="1" s="1"/>
  <c r="Z21" i="1"/>
  <c r="AA21" i="1" s="1"/>
  <c r="W21" i="1"/>
  <c r="X21" i="1" s="1"/>
  <c r="T21" i="1"/>
  <c r="U21" i="1" s="1"/>
  <c r="R21" i="1"/>
  <c r="O21" i="1"/>
  <c r="L21" i="1"/>
  <c r="I21" i="1"/>
  <c r="DO20" i="1"/>
  <c r="DP20" i="1" s="1"/>
  <c r="DL20" i="1"/>
  <c r="DM20" i="1" s="1"/>
  <c r="DJ20" i="1"/>
  <c r="DI20" i="1"/>
  <c r="DF20" i="1"/>
  <c r="DG20" i="1" s="1"/>
  <c r="DC20" i="1"/>
  <c r="DD20" i="1" s="1"/>
  <c r="CZ20" i="1"/>
  <c r="DA20" i="1" s="1"/>
  <c r="CW20" i="1"/>
  <c r="CX20" i="1" s="1"/>
  <c r="CT20" i="1"/>
  <c r="CU20" i="1" s="1"/>
  <c r="CR20" i="1"/>
  <c r="CQ20" i="1"/>
  <c r="CN20" i="1"/>
  <c r="CO20" i="1" s="1"/>
  <c r="CK20" i="1"/>
  <c r="CL20" i="1" s="1"/>
  <c r="CH20" i="1"/>
  <c r="CI20" i="1" s="1"/>
  <c r="CE20" i="1"/>
  <c r="CF20" i="1" s="1"/>
  <c r="CB20" i="1"/>
  <c r="CC20" i="1" s="1"/>
  <c r="BY20" i="1"/>
  <c r="BZ20" i="1" s="1"/>
  <c r="BV20" i="1"/>
  <c r="BW20" i="1" s="1"/>
  <c r="BS20" i="1"/>
  <c r="BT20" i="1" s="1"/>
  <c r="BP20" i="1"/>
  <c r="BQ20" i="1" s="1"/>
  <c r="BM20" i="1"/>
  <c r="BN20" i="1" s="1"/>
  <c r="BJ20" i="1"/>
  <c r="BK20" i="1" s="1"/>
  <c r="BH20" i="1"/>
  <c r="BG20" i="1"/>
  <c r="BD20" i="1"/>
  <c r="BE20" i="1" s="1"/>
  <c r="BA20" i="1"/>
  <c r="BB20" i="1" s="1"/>
  <c r="AX20" i="1"/>
  <c r="AY20" i="1" s="1"/>
  <c r="AV20" i="1"/>
  <c r="AU20" i="1"/>
  <c r="AS20" i="1"/>
  <c r="AR20" i="1"/>
  <c r="AO20" i="1"/>
  <c r="AP20" i="1" s="1"/>
  <c r="AL20" i="1"/>
  <c r="AM20" i="1" s="1"/>
  <c r="AI20" i="1"/>
  <c r="AJ20" i="1" s="1"/>
  <c r="AG20" i="1"/>
  <c r="AF20" i="1"/>
  <c r="AD20" i="1"/>
  <c r="AC20" i="1"/>
  <c r="Z20" i="1"/>
  <c r="AA20" i="1" s="1"/>
  <c r="W20" i="1"/>
  <c r="X20" i="1" s="1"/>
  <c r="T20" i="1"/>
  <c r="U20" i="1" s="1"/>
  <c r="R20" i="1"/>
  <c r="O20" i="1"/>
  <c r="L20" i="1"/>
  <c r="I20" i="1"/>
  <c r="DO19" i="1"/>
  <c r="DP19" i="1" s="1"/>
  <c r="DL19" i="1"/>
  <c r="DM19" i="1" s="1"/>
  <c r="DI19" i="1"/>
  <c r="DJ19" i="1" s="1"/>
  <c r="DF19" i="1"/>
  <c r="DG19" i="1" s="1"/>
  <c r="DC19" i="1"/>
  <c r="DD19" i="1" s="1"/>
  <c r="CZ19" i="1"/>
  <c r="DA19" i="1" s="1"/>
  <c r="CW19" i="1"/>
  <c r="CX19" i="1" s="1"/>
  <c r="CT19" i="1"/>
  <c r="CU19" i="1" s="1"/>
  <c r="CR19" i="1"/>
  <c r="CQ19" i="1"/>
  <c r="CO19" i="1"/>
  <c r="CN19" i="1"/>
  <c r="CK19" i="1"/>
  <c r="CL19" i="1" s="1"/>
  <c r="CH19" i="1"/>
  <c r="CI19" i="1" s="1"/>
  <c r="CE19" i="1"/>
  <c r="CF19" i="1" s="1"/>
  <c r="CB19" i="1"/>
  <c r="CC19" i="1" s="1"/>
  <c r="BY19" i="1"/>
  <c r="BZ19" i="1" s="1"/>
  <c r="BV19" i="1"/>
  <c r="BW19" i="1" s="1"/>
  <c r="BS19" i="1"/>
  <c r="BT19" i="1" s="1"/>
  <c r="BP19" i="1"/>
  <c r="BQ19" i="1" s="1"/>
  <c r="BM19" i="1"/>
  <c r="BN19" i="1" s="1"/>
  <c r="BJ19" i="1"/>
  <c r="BK19" i="1" s="1"/>
  <c r="BG19" i="1"/>
  <c r="BH19" i="1" s="1"/>
  <c r="BE19" i="1"/>
  <c r="BD19" i="1"/>
  <c r="BA19" i="1"/>
  <c r="BB19" i="1" s="1"/>
  <c r="AX19" i="1"/>
  <c r="AY19" i="1" s="1"/>
  <c r="AU19" i="1"/>
  <c r="AV19" i="1" s="1"/>
  <c r="AR19" i="1"/>
  <c r="AS19" i="1" s="1"/>
  <c r="AO19" i="1"/>
  <c r="AP19" i="1" s="1"/>
  <c r="AL19" i="1"/>
  <c r="AM19" i="1" s="1"/>
  <c r="AI19" i="1"/>
  <c r="AJ19" i="1" s="1"/>
  <c r="AF19" i="1"/>
  <c r="AG19" i="1" s="1"/>
  <c r="AC19" i="1"/>
  <c r="AD19" i="1" s="1"/>
  <c r="Z19" i="1"/>
  <c r="AA19" i="1" s="1"/>
  <c r="X19" i="1"/>
  <c r="W19" i="1"/>
  <c r="U19" i="1"/>
  <c r="T19" i="1"/>
  <c r="R19" i="1"/>
  <c r="O19" i="1"/>
  <c r="L19" i="1"/>
  <c r="I19" i="1"/>
  <c r="DP18" i="1"/>
  <c r="DO18" i="1"/>
  <c r="DM18" i="1"/>
  <c r="DL18" i="1"/>
  <c r="DI18" i="1"/>
  <c r="DJ18" i="1" s="1"/>
  <c r="DF18" i="1"/>
  <c r="DG18" i="1" s="1"/>
  <c r="DC18" i="1"/>
  <c r="DD18" i="1" s="1"/>
  <c r="CZ18" i="1"/>
  <c r="DA18" i="1" s="1"/>
  <c r="CX18" i="1"/>
  <c r="CW18" i="1"/>
  <c r="CT18" i="1"/>
  <c r="CU18" i="1" s="1"/>
  <c r="CQ18" i="1"/>
  <c r="CR18" i="1" s="1"/>
  <c r="CO18" i="1"/>
  <c r="CN18" i="1"/>
  <c r="CL18" i="1"/>
  <c r="CK18" i="1"/>
  <c r="CH18" i="1"/>
  <c r="CI18" i="1" s="1"/>
  <c r="CE18" i="1"/>
  <c r="CF18" i="1" s="1"/>
  <c r="CB18" i="1"/>
  <c r="CC18" i="1" s="1"/>
  <c r="BY18" i="1"/>
  <c r="BZ18" i="1" s="1"/>
  <c r="BV18" i="1"/>
  <c r="BW18" i="1" s="1"/>
  <c r="BT18" i="1"/>
  <c r="BS18" i="1"/>
  <c r="BQ18" i="1"/>
  <c r="BP18" i="1"/>
  <c r="BM18" i="1"/>
  <c r="BN18" i="1" s="1"/>
  <c r="BJ18" i="1"/>
  <c r="BK18" i="1" s="1"/>
  <c r="BG18" i="1"/>
  <c r="BH18" i="1" s="1"/>
  <c r="BE18" i="1"/>
  <c r="BD18" i="1"/>
  <c r="BA18" i="1"/>
  <c r="BB18" i="1" s="1"/>
  <c r="AX18" i="1"/>
  <c r="AY18" i="1" s="1"/>
  <c r="AU18" i="1"/>
  <c r="AV18" i="1" s="1"/>
  <c r="AR18" i="1"/>
  <c r="AS18" i="1" s="1"/>
  <c r="AP18" i="1"/>
  <c r="AO18" i="1"/>
  <c r="AL18" i="1"/>
  <c r="AM18" i="1" s="1"/>
  <c r="AI18" i="1"/>
  <c r="AJ18" i="1" s="1"/>
  <c r="AF18" i="1"/>
  <c r="AG18" i="1" s="1"/>
  <c r="AC18" i="1"/>
  <c r="AD18" i="1" s="1"/>
  <c r="Z18" i="1"/>
  <c r="AA18" i="1" s="1"/>
  <c r="X18" i="1"/>
  <c r="W18" i="1"/>
  <c r="U18" i="1"/>
  <c r="T18" i="1"/>
  <c r="R18" i="1"/>
  <c r="O18" i="1"/>
  <c r="L18" i="1"/>
  <c r="I18" i="1"/>
  <c r="DP17" i="1"/>
  <c r="DO17" i="1"/>
  <c r="DM17" i="1"/>
  <c r="DL17" i="1"/>
  <c r="DI17" i="1"/>
  <c r="DJ17" i="1" s="1"/>
  <c r="DF17" i="1"/>
  <c r="DG17" i="1" s="1"/>
  <c r="DC17" i="1"/>
  <c r="DD17" i="1" s="1"/>
  <c r="CZ17" i="1"/>
  <c r="DA17" i="1" s="1"/>
  <c r="CX17" i="1"/>
  <c r="CW17" i="1"/>
  <c r="CT17" i="1"/>
  <c r="CU17" i="1" s="1"/>
  <c r="CR17" i="1"/>
  <c r="CQ17" i="1"/>
  <c r="CN17" i="1"/>
  <c r="CO17" i="1" s="1"/>
  <c r="CK17" i="1"/>
  <c r="CL17" i="1" s="1"/>
  <c r="CH17" i="1"/>
  <c r="CI17" i="1" s="1"/>
  <c r="CF17" i="1"/>
  <c r="CE17" i="1"/>
  <c r="CB17" i="1"/>
  <c r="CC17" i="1" s="1"/>
  <c r="BY17" i="1"/>
  <c r="BZ17" i="1" s="1"/>
  <c r="BV17" i="1"/>
  <c r="BW17" i="1" s="1"/>
  <c r="BS17" i="1"/>
  <c r="BT17" i="1" s="1"/>
  <c r="BP17" i="1"/>
  <c r="BQ17" i="1" s="1"/>
  <c r="BN17" i="1"/>
  <c r="BM17" i="1"/>
  <c r="BJ17" i="1"/>
  <c r="BK17" i="1" s="1"/>
  <c r="BG17" i="1"/>
  <c r="BH17" i="1" s="1"/>
  <c r="BE17" i="1"/>
  <c r="BD17" i="1"/>
  <c r="BA17" i="1"/>
  <c r="BB17" i="1" s="1"/>
  <c r="AX17" i="1"/>
  <c r="AY17" i="1" s="1"/>
  <c r="AU17" i="1"/>
  <c r="AV17" i="1" s="1"/>
  <c r="AS17" i="1"/>
  <c r="AR17" i="1"/>
  <c r="AO17" i="1"/>
  <c r="AP17" i="1" s="1"/>
  <c r="AL17" i="1"/>
  <c r="AM17" i="1" s="1"/>
  <c r="AI17" i="1"/>
  <c r="AJ17" i="1" s="1"/>
  <c r="AF17" i="1"/>
  <c r="AG17" i="1" s="1"/>
  <c r="AD17" i="1"/>
  <c r="AC17" i="1"/>
  <c r="Z17" i="1"/>
  <c r="AA17" i="1" s="1"/>
  <c r="W17" i="1"/>
  <c r="X17" i="1" s="1"/>
  <c r="T17" i="1"/>
  <c r="U17" i="1" s="1"/>
  <c r="R17" i="1"/>
  <c r="O17" i="1"/>
  <c r="L17" i="1"/>
  <c r="I17" i="1"/>
  <c r="DO16" i="1"/>
  <c r="DP16" i="1" s="1"/>
  <c r="DL16" i="1"/>
  <c r="DM16" i="1" s="1"/>
  <c r="DI16" i="1"/>
  <c r="DJ16" i="1" s="1"/>
  <c r="DF16" i="1"/>
  <c r="DG16" i="1" s="1"/>
  <c r="DC16" i="1"/>
  <c r="DD16" i="1" s="1"/>
  <c r="CZ16" i="1"/>
  <c r="DA16" i="1" s="1"/>
  <c r="CW16" i="1"/>
  <c r="CX16" i="1" s="1"/>
  <c r="CT16" i="1"/>
  <c r="CU16" i="1" s="1"/>
  <c r="CR16" i="1"/>
  <c r="CQ16" i="1"/>
  <c r="CN16" i="1"/>
  <c r="CO16" i="1" s="1"/>
  <c r="CK16" i="1"/>
  <c r="CL16" i="1" s="1"/>
  <c r="CH16" i="1"/>
  <c r="CI16" i="1" s="1"/>
  <c r="CE16" i="1"/>
  <c r="CF16" i="1" s="1"/>
  <c r="CB16" i="1"/>
  <c r="CC16" i="1" s="1"/>
  <c r="BY16" i="1"/>
  <c r="BZ16" i="1" s="1"/>
  <c r="BV16" i="1"/>
  <c r="BW16" i="1" s="1"/>
  <c r="BS16" i="1"/>
  <c r="BT16" i="1" s="1"/>
  <c r="BQ16" i="1"/>
  <c r="BP16" i="1"/>
  <c r="BN16" i="1"/>
  <c r="BM16" i="1"/>
  <c r="BJ16" i="1"/>
  <c r="BK16" i="1" s="1"/>
  <c r="BG16" i="1"/>
  <c r="BH16" i="1" s="1"/>
  <c r="BE16" i="1"/>
  <c r="BD16" i="1"/>
  <c r="BA16" i="1"/>
  <c r="BB16" i="1" s="1"/>
  <c r="AX16" i="1"/>
  <c r="AY16" i="1" s="1"/>
  <c r="AU16" i="1"/>
  <c r="AV16" i="1" s="1"/>
  <c r="AR16" i="1"/>
  <c r="AS16" i="1" s="1"/>
  <c r="AO16" i="1"/>
  <c r="AP16" i="1" s="1"/>
  <c r="AL16" i="1"/>
  <c r="AM16" i="1" s="1"/>
  <c r="AI16" i="1"/>
  <c r="AJ16" i="1" s="1"/>
  <c r="AF16" i="1"/>
  <c r="AG16" i="1" s="1"/>
  <c r="AC16" i="1"/>
  <c r="AD16" i="1" s="1"/>
  <c r="Z16" i="1"/>
  <c r="AA16" i="1" s="1"/>
  <c r="W16" i="1"/>
  <c r="X16" i="1" s="1"/>
  <c r="U16" i="1"/>
  <c r="T16" i="1"/>
  <c r="R16" i="1"/>
  <c r="O16" i="1"/>
  <c r="L16" i="1"/>
  <c r="I16" i="1"/>
  <c r="DO15" i="1"/>
  <c r="DP15" i="1" s="1"/>
  <c r="DM15" i="1"/>
  <c r="DL15" i="1"/>
  <c r="DI15" i="1"/>
  <c r="DJ15" i="1" s="1"/>
  <c r="DF15" i="1"/>
  <c r="DG15" i="1" s="1"/>
  <c r="DC15" i="1"/>
  <c r="DD15" i="1" s="1"/>
  <c r="CZ15" i="1"/>
  <c r="DA15" i="1" s="1"/>
  <c r="CW15" i="1"/>
  <c r="CX15" i="1" s="1"/>
  <c r="CT15" i="1"/>
  <c r="CU15" i="1" s="1"/>
  <c r="CQ15" i="1"/>
  <c r="CR15" i="1" s="1"/>
  <c r="CN15" i="1"/>
  <c r="CO15" i="1" s="1"/>
  <c r="CK15" i="1"/>
  <c r="CL15" i="1" s="1"/>
  <c r="CH15" i="1"/>
  <c r="CI15" i="1" s="1"/>
  <c r="CF15" i="1"/>
  <c r="CE15" i="1"/>
  <c r="CB15" i="1"/>
  <c r="CC15" i="1" s="1"/>
  <c r="BY15" i="1"/>
  <c r="BZ15" i="1" s="1"/>
  <c r="BV15" i="1"/>
  <c r="BW15" i="1" s="1"/>
  <c r="BS15" i="1"/>
  <c r="BT15" i="1" s="1"/>
  <c r="BP15" i="1"/>
  <c r="BQ15" i="1" s="1"/>
  <c r="BN15" i="1"/>
  <c r="BM15" i="1"/>
  <c r="BJ15" i="1"/>
  <c r="BK15" i="1" s="1"/>
  <c r="BG15" i="1"/>
  <c r="BH15" i="1" s="1"/>
  <c r="BD15" i="1"/>
  <c r="BE15" i="1" s="1"/>
  <c r="BA15" i="1"/>
  <c r="BB15" i="1" s="1"/>
  <c r="AX15" i="1"/>
  <c r="AY15" i="1" s="1"/>
  <c r="AV15" i="1"/>
  <c r="AU15" i="1"/>
  <c r="AR15" i="1"/>
  <c r="AS15" i="1" s="1"/>
  <c r="AO15" i="1"/>
  <c r="AP15" i="1" s="1"/>
  <c r="AL15" i="1"/>
  <c r="AM15" i="1" s="1"/>
  <c r="AI15" i="1"/>
  <c r="AJ15" i="1" s="1"/>
  <c r="AF15" i="1"/>
  <c r="AG15" i="1" s="1"/>
  <c r="AD15" i="1"/>
  <c r="AC15" i="1"/>
  <c r="Z15" i="1"/>
  <c r="AA15" i="1" s="1"/>
  <c r="W15" i="1"/>
  <c r="X15" i="1" s="1"/>
  <c r="T15" i="1"/>
  <c r="U15" i="1" s="1"/>
  <c r="R15" i="1"/>
  <c r="O15" i="1"/>
  <c r="L15" i="1"/>
  <c r="I15" i="1"/>
  <c r="DO14" i="1"/>
  <c r="DP14" i="1" s="1"/>
  <c r="DL14" i="1"/>
  <c r="DM14" i="1" s="1"/>
  <c r="DJ14" i="1"/>
  <c r="DI14" i="1"/>
  <c r="DF14" i="1"/>
  <c r="DG14" i="1" s="1"/>
  <c r="DC14" i="1"/>
  <c r="DD14" i="1" s="1"/>
  <c r="CZ14" i="1"/>
  <c r="DA14" i="1" s="1"/>
  <c r="CW14" i="1"/>
  <c r="CX14" i="1" s="1"/>
  <c r="CT14" i="1"/>
  <c r="CU14" i="1" s="1"/>
  <c r="CR14" i="1"/>
  <c r="CQ14" i="1"/>
  <c r="CN14" i="1"/>
  <c r="CO14" i="1" s="1"/>
  <c r="CK14" i="1"/>
  <c r="CL14" i="1" s="1"/>
  <c r="CH14" i="1"/>
  <c r="CI14" i="1" s="1"/>
  <c r="CE14" i="1"/>
  <c r="CF14" i="1" s="1"/>
  <c r="CB14" i="1"/>
  <c r="CC14" i="1" s="1"/>
  <c r="BY14" i="1"/>
  <c r="BZ14" i="1" s="1"/>
  <c r="BV14" i="1"/>
  <c r="BW14" i="1" s="1"/>
  <c r="BS14" i="1"/>
  <c r="BT14" i="1" s="1"/>
  <c r="BP14" i="1"/>
  <c r="BQ14" i="1" s="1"/>
  <c r="BN14" i="1"/>
  <c r="BM14" i="1"/>
  <c r="BJ14" i="1"/>
  <c r="BK14" i="1" s="1"/>
  <c r="BG14" i="1"/>
  <c r="BH14" i="1" s="1"/>
  <c r="BD14" i="1"/>
  <c r="BE14" i="1" s="1"/>
  <c r="BA14" i="1"/>
  <c r="BB14" i="1" s="1"/>
  <c r="AX14" i="1"/>
  <c r="AY14" i="1" s="1"/>
  <c r="AU14" i="1"/>
  <c r="AV14" i="1" s="1"/>
  <c r="AR14" i="1"/>
  <c r="AS14" i="1" s="1"/>
  <c r="AO14" i="1"/>
  <c r="AP14" i="1" s="1"/>
  <c r="AL14" i="1"/>
  <c r="AM14" i="1" s="1"/>
  <c r="AI14" i="1"/>
  <c r="AJ14" i="1" s="1"/>
  <c r="AF14" i="1"/>
  <c r="AG14" i="1" s="1"/>
  <c r="AC14" i="1"/>
  <c r="AD14" i="1" s="1"/>
  <c r="Z14" i="1"/>
  <c r="AA14" i="1" s="1"/>
  <c r="W14" i="1"/>
  <c r="X14" i="1" s="1"/>
  <c r="T14" i="1"/>
  <c r="U14" i="1" s="1"/>
  <c r="R14" i="1"/>
  <c r="O14" i="1"/>
  <c r="L14" i="1"/>
  <c r="I14" i="1"/>
  <c r="DO13" i="1"/>
  <c r="DP13" i="1" s="1"/>
  <c r="DL13" i="1"/>
  <c r="DM13" i="1" s="1"/>
  <c r="DI13" i="1"/>
  <c r="DJ13" i="1" s="1"/>
  <c r="DF13" i="1"/>
  <c r="DG13" i="1" s="1"/>
  <c r="DC13" i="1"/>
  <c r="DD13" i="1" s="1"/>
  <c r="CZ13" i="1"/>
  <c r="DA13" i="1" s="1"/>
  <c r="CW13" i="1"/>
  <c r="CX13" i="1" s="1"/>
  <c r="CT13" i="1"/>
  <c r="CU13" i="1" s="1"/>
  <c r="CQ13" i="1"/>
  <c r="CR13" i="1" s="1"/>
  <c r="CN13" i="1"/>
  <c r="CO13" i="1" s="1"/>
  <c r="CL13" i="1"/>
  <c r="CK13" i="1"/>
  <c r="CH13" i="1"/>
  <c r="CI13" i="1" s="1"/>
  <c r="CE13" i="1"/>
  <c r="CF13" i="1" s="1"/>
  <c r="CB13" i="1"/>
  <c r="CC13" i="1" s="1"/>
  <c r="BY13" i="1"/>
  <c r="BZ13" i="1" s="1"/>
  <c r="BV13" i="1"/>
  <c r="BW13" i="1" s="1"/>
  <c r="BT13" i="1"/>
  <c r="BS13" i="1"/>
  <c r="BP13" i="1"/>
  <c r="BQ13" i="1" s="1"/>
  <c r="BM13" i="1"/>
  <c r="BN13" i="1" s="1"/>
  <c r="BJ13" i="1"/>
  <c r="BK13" i="1" s="1"/>
  <c r="BH13" i="1"/>
  <c r="BG13" i="1"/>
  <c r="BD13" i="1"/>
  <c r="BE13" i="1" s="1"/>
  <c r="BA13" i="1"/>
  <c r="BB13" i="1" s="1"/>
  <c r="AX13" i="1"/>
  <c r="AY13" i="1" s="1"/>
  <c r="AU13" i="1"/>
  <c r="AV13" i="1" s="1"/>
  <c r="AR13" i="1"/>
  <c r="AS13" i="1" s="1"/>
  <c r="AP13" i="1"/>
  <c r="AO13" i="1"/>
  <c r="AL13" i="1"/>
  <c r="AM13" i="1" s="1"/>
  <c r="AI13" i="1"/>
  <c r="AJ13" i="1" s="1"/>
  <c r="AF13" i="1"/>
  <c r="AG13" i="1" s="1"/>
  <c r="AC13" i="1"/>
  <c r="AD13" i="1" s="1"/>
  <c r="Z13" i="1"/>
  <c r="AA13" i="1" s="1"/>
  <c r="X13" i="1"/>
  <c r="W13" i="1"/>
  <c r="T13" i="1"/>
  <c r="U13" i="1" s="1"/>
  <c r="R13" i="1"/>
  <c r="O13" i="1"/>
  <c r="L13" i="1"/>
  <c r="I13" i="1"/>
  <c r="DP12" i="1"/>
  <c r="DO12" i="1"/>
  <c r="DL12" i="1"/>
  <c r="DM12" i="1" s="1"/>
  <c r="DI12" i="1"/>
  <c r="DJ12" i="1" s="1"/>
  <c r="DF12" i="1"/>
  <c r="DG12" i="1" s="1"/>
  <c r="DC12" i="1"/>
  <c r="DD12" i="1" s="1"/>
  <c r="CZ12" i="1"/>
  <c r="DA12" i="1" s="1"/>
  <c r="CW12" i="1"/>
  <c r="CX12" i="1" s="1"/>
  <c r="CT12" i="1"/>
  <c r="CU12" i="1" s="1"/>
  <c r="CQ12" i="1"/>
  <c r="CR12" i="1" s="1"/>
  <c r="CN12" i="1"/>
  <c r="CO12" i="1" s="1"/>
  <c r="CK12" i="1"/>
  <c r="CL12" i="1" s="1"/>
  <c r="CH12" i="1"/>
  <c r="CI12" i="1" s="1"/>
  <c r="CF12" i="1"/>
  <c r="CE12" i="1"/>
  <c r="CB12" i="1"/>
  <c r="CC12" i="1" s="1"/>
  <c r="BY12" i="1"/>
  <c r="BZ12" i="1" s="1"/>
  <c r="BV12" i="1"/>
  <c r="BW12" i="1" s="1"/>
  <c r="BS12" i="1"/>
  <c r="BT12" i="1" s="1"/>
  <c r="BQ12" i="1"/>
  <c r="BP12" i="1"/>
  <c r="BM12" i="1"/>
  <c r="BN12" i="1" s="1"/>
  <c r="BJ12" i="1"/>
  <c r="BK12" i="1" s="1"/>
  <c r="BG12" i="1"/>
  <c r="BH12" i="1" s="1"/>
  <c r="BD12" i="1"/>
  <c r="BE12" i="1" s="1"/>
  <c r="BA12" i="1"/>
  <c r="BB12" i="1" s="1"/>
  <c r="AX12" i="1"/>
  <c r="AY12" i="1" s="1"/>
  <c r="AU12" i="1"/>
  <c r="AV12" i="1" s="1"/>
  <c r="AR12" i="1"/>
  <c r="AS12" i="1" s="1"/>
  <c r="AO12" i="1"/>
  <c r="AP12" i="1" s="1"/>
  <c r="AL12" i="1"/>
  <c r="AM12" i="1" s="1"/>
  <c r="AI12" i="1"/>
  <c r="AJ12" i="1" s="1"/>
  <c r="AF12" i="1"/>
  <c r="AG12" i="1" s="1"/>
  <c r="AC12" i="1"/>
  <c r="AD12" i="1" s="1"/>
  <c r="Z12" i="1"/>
  <c r="AA12" i="1" s="1"/>
  <c r="X12" i="1"/>
  <c r="W12" i="1"/>
  <c r="T12" i="1"/>
  <c r="U12" i="1" s="1"/>
  <c r="R12" i="1"/>
  <c r="O12" i="1"/>
  <c r="L12" i="1"/>
  <c r="I12" i="1"/>
  <c r="DP11" i="1"/>
  <c r="DO11" i="1"/>
  <c r="DL11" i="1"/>
  <c r="DM11" i="1" s="1"/>
  <c r="DI11" i="1"/>
  <c r="DJ11" i="1" s="1"/>
  <c r="DF11" i="1"/>
  <c r="DG11" i="1" s="1"/>
  <c r="DC11" i="1"/>
  <c r="DD11" i="1" s="1"/>
  <c r="CZ11" i="1"/>
  <c r="DA11" i="1" s="1"/>
  <c r="CW11" i="1"/>
  <c r="CX11" i="1" s="1"/>
  <c r="CT11" i="1"/>
  <c r="CU11" i="1" s="1"/>
  <c r="CQ11" i="1"/>
  <c r="CR11" i="1" s="1"/>
  <c r="CN11" i="1"/>
  <c r="CO11" i="1" s="1"/>
  <c r="CK11" i="1"/>
  <c r="CL11" i="1" s="1"/>
  <c r="CH11" i="1"/>
  <c r="CI11" i="1" s="1"/>
  <c r="CF11" i="1"/>
  <c r="CE11" i="1"/>
  <c r="CB11" i="1"/>
  <c r="CC11" i="1" s="1"/>
  <c r="BY11" i="1"/>
  <c r="BZ11" i="1" s="1"/>
  <c r="BV11" i="1"/>
  <c r="BW11" i="1" s="1"/>
  <c r="BS11" i="1"/>
  <c r="BT11" i="1" s="1"/>
  <c r="BP11" i="1"/>
  <c r="BQ11" i="1" s="1"/>
  <c r="BN11" i="1"/>
  <c r="BM11" i="1"/>
  <c r="BJ11" i="1"/>
  <c r="BK11" i="1" s="1"/>
  <c r="BG11" i="1"/>
  <c r="BH11" i="1" s="1"/>
  <c r="BD11" i="1"/>
  <c r="BE11" i="1" s="1"/>
  <c r="BA11" i="1"/>
  <c r="BB11" i="1" s="1"/>
  <c r="AX11" i="1"/>
  <c r="AY11" i="1" s="1"/>
  <c r="AV11" i="1"/>
  <c r="AU11" i="1"/>
  <c r="AR11" i="1"/>
  <c r="AS11" i="1" s="1"/>
  <c r="AO11" i="1"/>
  <c r="AP11" i="1" s="1"/>
  <c r="AL11" i="1"/>
  <c r="AM11" i="1" s="1"/>
  <c r="AI11" i="1"/>
  <c r="AJ11" i="1" s="1"/>
  <c r="AG11" i="1"/>
  <c r="AF11" i="1"/>
  <c r="AC11" i="1"/>
  <c r="AD11" i="1" s="1"/>
  <c r="Z11" i="1"/>
  <c r="AA11" i="1" s="1"/>
  <c r="W11" i="1"/>
  <c r="X11" i="1" s="1"/>
  <c r="T11" i="1"/>
  <c r="U11" i="1" s="1"/>
  <c r="R11" i="1"/>
  <c r="O11" i="1"/>
  <c r="L11" i="1"/>
  <c r="I11" i="1"/>
  <c r="DO10" i="1"/>
  <c r="DP10" i="1" s="1"/>
  <c r="DL10" i="1"/>
  <c r="DM10" i="1" s="1"/>
  <c r="DJ10" i="1"/>
  <c r="DI10" i="1"/>
  <c r="DF10" i="1"/>
  <c r="DG10" i="1" s="1"/>
  <c r="DC10" i="1"/>
  <c r="DD10" i="1" s="1"/>
  <c r="CZ10" i="1"/>
  <c r="DA10" i="1" s="1"/>
  <c r="CW10" i="1"/>
  <c r="CX10" i="1" s="1"/>
  <c r="CT10" i="1"/>
  <c r="CU10" i="1" s="1"/>
  <c r="CR10" i="1"/>
  <c r="CQ10" i="1"/>
  <c r="CN10" i="1"/>
  <c r="CO10" i="1" s="1"/>
  <c r="CK10" i="1"/>
  <c r="CL10" i="1" s="1"/>
  <c r="CH10" i="1"/>
  <c r="CI10" i="1" s="1"/>
  <c r="CF10" i="1"/>
  <c r="CE10" i="1"/>
  <c r="CB10" i="1"/>
  <c r="CC10" i="1" s="1"/>
  <c r="BY10" i="1"/>
  <c r="BZ10" i="1" s="1"/>
  <c r="BV10" i="1"/>
  <c r="BW10" i="1" s="1"/>
  <c r="BS10" i="1"/>
  <c r="BT10" i="1" s="1"/>
  <c r="BP10" i="1"/>
  <c r="BQ10" i="1" s="1"/>
  <c r="BN10" i="1"/>
  <c r="BM10" i="1"/>
  <c r="BJ10" i="1"/>
  <c r="BK10" i="1" s="1"/>
  <c r="BG10" i="1"/>
  <c r="BH10" i="1" s="1"/>
  <c r="BD10" i="1"/>
  <c r="BE10" i="1" s="1"/>
  <c r="BA10" i="1"/>
  <c r="BB10" i="1" s="1"/>
  <c r="AX10" i="1"/>
  <c r="AY10" i="1" s="1"/>
  <c r="AU10" i="1"/>
  <c r="AV10" i="1" s="1"/>
  <c r="AR10" i="1"/>
  <c r="AS10" i="1" s="1"/>
  <c r="AO10" i="1"/>
  <c r="AP10" i="1" s="1"/>
  <c r="AL10" i="1"/>
  <c r="AM10" i="1" s="1"/>
  <c r="AI10" i="1"/>
  <c r="AJ10" i="1" s="1"/>
  <c r="AF10" i="1"/>
  <c r="AG10" i="1" s="1"/>
  <c r="AD10" i="1"/>
  <c r="AC10" i="1"/>
  <c r="Z10" i="1"/>
  <c r="AA10" i="1" s="1"/>
  <c r="W10" i="1"/>
  <c r="X10" i="1" s="1"/>
  <c r="T10" i="1"/>
  <c r="U10" i="1" s="1"/>
  <c r="R10" i="1"/>
  <c r="O10" i="1"/>
  <c r="L10" i="1"/>
  <c r="I10" i="1"/>
  <c r="DO9" i="1"/>
  <c r="DP9" i="1" s="1"/>
  <c r="DL9" i="1"/>
  <c r="DM9" i="1" s="1"/>
  <c r="DI9" i="1"/>
  <c r="DJ9" i="1" s="1"/>
  <c r="DF9" i="1"/>
  <c r="DG9" i="1" s="1"/>
  <c r="DC9" i="1"/>
  <c r="DD9" i="1" s="1"/>
  <c r="CZ9" i="1"/>
  <c r="DA9" i="1" s="1"/>
  <c r="CW9" i="1"/>
  <c r="CX9" i="1" s="1"/>
  <c r="CT9" i="1"/>
  <c r="CU9" i="1" s="1"/>
  <c r="CQ9" i="1"/>
  <c r="CR9" i="1" s="1"/>
  <c r="CO9" i="1"/>
  <c r="CN9" i="1"/>
  <c r="CK9" i="1"/>
  <c r="CL9" i="1" s="1"/>
  <c r="CH9" i="1"/>
  <c r="CI9" i="1" s="1"/>
  <c r="CE9" i="1"/>
  <c r="CF9" i="1" s="1"/>
  <c r="CB9" i="1"/>
  <c r="CC9" i="1" s="1"/>
  <c r="BY9" i="1"/>
  <c r="BZ9" i="1" s="1"/>
  <c r="BV9" i="1"/>
  <c r="BW9" i="1" s="1"/>
  <c r="BS9" i="1"/>
  <c r="BT9" i="1" s="1"/>
  <c r="BP9" i="1"/>
  <c r="BQ9" i="1" s="1"/>
  <c r="BM9" i="1"/>
  <c r="BN9" i="1" s="1"/>
  <c r="BJ9" i="1"/>
  <c r="BK9" i="1" s="1"/>
  <c r="BH9" i="1"/>
  <c r="BG9" i="1"/>
  <c r="BD9" i="1"/>
  <c r="BE9" i="1" s="1"/>
  <c r="BA9" i="1"/>
  <c r="BB9" i="1" s="1"/>
  <c r="AX9" i="1"/>
  <c r="AY9" i="1" s="1"/>
  <c r="AU9" i="1"/>
  <c r="AV9" i="1" s="1"/>
  <c r="AS9" i="1"/>
  <c r="AR9" i="1"/>
  <c r="AO9" i="1"/>
  <c r="AP9" i="1" s="1"/>
  <c r="AL9" i="1"/>
  <c r="AM9" i="1" s="1"/>
  <c r="AI9" i="1"/>
  <c r="AJ9" i="1" s="1"/>
  <c r="AF9" i="1"/>
  <c r="AG9" i="1" s="1"/>
  <c r="AC9" i="1"/>
  <c r="AD9" i="1" s="1"/>
  <c r="Z9" i="1"/>
  <c r="AA9" i="1" s="1"/>
  <c r="X9" i="1"/>
  <c r="W9" i="1"/>
  <c r="T9" i="1"/>
  <c r="U9" i="1" s="1"/>
  <c r="R9" i="1"/>
  <c r="O9" i="1"/>
  <c r="L9" i="1"/>
  <c r="I9" i="1"/>
  <c r="DP8" i="1"/>
  <c r="DO8" i="1"/>
  <c r="DL8" i="1"/>
  <c r="DM8" i="1" s="1"/>
  <c r="DI8" i="1"/>
  <c r="DJ8" i="1" s="1"/>
  <c r="DF8" i="1"/>
  <c r="DG8" i="1" s="1"/>
  <c r="DC8" i="1"/>
  <c r="DD8" i="1" s="1"/>
  <c r="DA8" i="1"/>
  <c r="CZ8" i="1"/>
  <c r="CW8" i="1"/>
  <c r="CX8" i="1" s="1"/>
  <c r="CT8" i="1"/>
  <c r="CU8" i="1" s="1"/>
  <c r="CQ8" i="1"/>
  <c r="CR8" i="1" s="1"/>
  <c r="CN8" i="1"/>
  <c r="CO8" i="1" s="1"/>
  <c r="CK8" i="1"/>
  <c r="CL8" i="1" s="1"/>
  <c r="CH8" i="1"/>
  <c r="CI8" i="1" s="1"/>
  <c r="CE8" i="1"/>
  <c r="CF8" i="1" s="1"/>
  <c r="CB8" i="1"/>
  <c r="CC8" i="1" s="1"/>
  <c r="BY8" i="1"/>
  <c r="BZ8" i="1" s="1"/>
  <c r="BV8" i="1"/>
  <c r="BW8" i="1" s="1"/>
  <c r="BS8" i="1"/>
  <c r="BT8" i="1" s="1"/>
  <c r="BQ8" i="1"/>
  <c r="BP8" i="1"/>
  <c r="BM8" i="1"/>
  <c r="BN8" i="1" s="1"/>
  <c r="BJ8" i="1"/>
  <c r="BK8" i="1" s="1"/>
  <c r="BG8" i="1"/>
  <c r="BH8" i="1" s="1"/>
  <c r="BD8" i="1"/>
  <c r="BE8" i="1" s="1"/>
  <c r="BA8" i="1"/>
  <c r="BB8" i="1" s="1"/>
  <c r="AX8" i="1"/>
  <c r="AY8" i="1" s="1"/>
  <c r="AU8" i="1"/>
  <c r="AV8" i="1" s="1"/>
  <c r="AR8" i="1"/>
  <c r="AS8" i="1" s="1"/>
  <c r="AO8" i="1"/>
  <c r="AP8" i="1" s="1"/>
  <c r="AL8" i="1"/>
  <c r="AM8" i="1" s="1"/>
  <c r="AI8" i="1"/>
  <c r="AJ8" i="1" s="1"/>
  <c r="AG8" i="1"/>
  <c r="AF8" i="1"/>
  <c r="AC8" i="1"/>
  <c r="AD8" i="1" s="1"/>
  <c r="Z8" i="1"/>
  <c r="AA8" i="1" s="1"/>
  <c r="W8" i="1"/>
  <c r="X8" i="1" s="1"/>
  <c r="T8" i="1"/>
  <c r="U8" i="1" s="1"/>
  <c r="L8" i="1"/>
  <c r="I8" i="1"/>
  <c r="DO7" i="1"/>
  <c r="DP7" i="1" s="1"/>
  <c r="DL7" i="1"/>
  <c r="DM7" i="1" s="1"/>
  <c r="DI7" i="1"/>
  <c r="DJ7" i="1" s="1"/>
  <c r="DF7" i="1"/>
  <c r="DG7" i="1" s="1"/>
  <c r="DC7" i="1"/>
  <c r="DD7" i="1" s="1"/>
  <c r="CZ7" i="1"/>
  <c r="DA7" i="1" s="1"/>
  <c r="CW7" i="1"/>
  <c r="CX7" i="1" s="1"/>
  <c r="CT7" i="1"/>
  <c r="CU7" i="1" s="1"/>
  <c r="CQ7" i="1"/>
  <c r="CR7" i="1" s="1"/>
  <c r="CN7" i="1"/>
  <c r="CO7" i="1" s="1"/>
  <c r="CL7" i="1"/>
  <c r="CK7" i="1"/>
  <c r="CH7" i="1"/>
  <c r="CI7" i="1" s="1"/>
  <c r="CE7" i="1"/>
  <c r="CF7" i="1" s="1"/>
  <c r="CB7" i="1"/>
  <c r="CC7" i="1" s="1"/>
  <c r="BY7" i="1"/>
  <c r="BZ7" i="1" s="1"/>
  <c r="BV7" i="1"/>
  <c r="BW7" i="1" s="1"/>
  <c r="BS7" i="1"/>
  <c r="BT7" i="1" s="1"/>
  <c r="BP7" i="1"/>
  <c r="BQ7" i="1" s="1"/>
  <c r="BM7" i="1"/>
  <c r="BN7" i="1" s="1"/>
  <c r="BJ7" i="1"/>
  <c r="BK7" i="1" s="1"/>
  <c r="BG7" i="1"/>
  <c r="BH7" i="1" s="1"/>
  <c r="BE7" i="1"/>
  <c r="BD7" i="1"/>
  <c r="BA7" i="1"/>
  <c r="BB7" i="1" s="1"/>
  <c r="AX7" i="1"/>
  <c r="AY7" i="1" s="1"/>
  <c r="AU7" i="1"/>
  <c r="AV7" i="1" s="1"/>
  <c r="AR7" i="1"/>
  <c r="AS7" i="1" s="1"/>
  <c r="AP7" i="1"/>
  <c r="AO7" i="1"/>
  <c r="AL7" i="1"/>
  <c r="AM7" i="1" s="1"/>
  <c r="AI7" i="1"/>
  <c r="AJ7" i="1" s="1"/>
  <c r="AF7" i="1"/>
  <c r="AG7" i="1" s="1"/>
  <c r="AC7" i="1"/>
  <c r="AD7" i="1" s="1"/>
  <c r="Z7" i="1"/>
  <c r="AA7" i="1" s="1"/>
  <c r="W7" i="1"/>
  <c r="X7" i="1" s="1"/>
  <c r="T7" i="1"/>
  <c r="U7" i="1" s="1"/>
  <c r="R7" i="1"/>
  <c r="O7" i="1"/>
  <c r="L7" i="1"/>
  <c r="I7" i="1"/>
  <c r="DO6" i="1"/>
  <c r="DP6" i="1" s="1"/>
  <c r="DM6" i="1"/>
  <c r="DL6" i="1"/>
  <c r="DI6" i="1"/>
  <c r="DJ6" i="1" s="1"/>
  <c r="DF6" i="1"/>
  <c r="DG6" i="1" s="1"/>
  <c r="DC6" i="1"/>
  <c r="DD6" i="1" s="1"/>
  <c r="CZ6" i="1"/>
  <c r="DA6" i="1" s="1"/>
  <c r="CX6" i="1"/>
  <c r="CW6" i="1"/>
  <c r="CT6" i="1"/>
  <c r="CU6" i="1" s="1"/>
  <c r="CQ6" i="1"/>
  <c r="CR6" i="1" s="1"/>
  <c r="CN6" i="1"/>
  <c r="CO6" i="1" s="1"/>
  <c r="CK6" i="1"/>
  <c r="CL6" i="1" s="1"/>
  <c r="CH6" i="1"/>
  <c r="CI6" i="1" s="1"/>
  <c r="CE6" i="1"/>
  <c r="CF6" i="1" s="1"/>
  <c r="CC6" i="1"/>
  <c r="CB6" i="1"/>
  <c r="BY6" i="1"/>
  <c r="BZ6" i="1" s="1"/>
  <c r="BV6" i="1"/>
  <c r="BW6" i="1" s="1"/>
  <c r="BS6" i="1"/>
  <c r="BT6" i="1" s="1"/>
  <c r="BP6" i="1"/>
  <c r="BQ6" i="1" s="1"/>
  <c r="BN6" i="1"/>
  <c r="BM6" i="1"/>
  <c r="BJ6" i="1"/>
  <c r="BK6" i="1" s="1"/>
  <c r="BG6" i="1"/>
  <c r="BH6" i="1" s="1"/>
  <c r="BD6" i="1"/>
  <c r="BE6" i="1" s="1"/>
  <c r="BA6" i="1"/>
  <c r="BB6" i="1" s="1"/>
  <c r="AX6" i="1"/>
  <c r="AY6" i="1" s="1"/>
  <c r="AU6" i="1"/>
  <c r="AV6" i="1" s="1"/>
  <c r="AR6" i="1"/>
  <c r="AS6" i="1" s="1"/>
  <c r="AO6" i="1"/>
  <c r="AP6" i="1" s="1"/>
  <c r="AL6" i="1"/>
  <c r="AM6" i="1" s="1"/>
  <c r="AI6" i="1"/>
  <c r="AJ6" i="1" s="1"/>
  <c r="AF6" i="1"/>
  <c r="AG6" i="1" s="1"/>
  <c r="AD6" i="1"/>
  <c r="AC6" i="1"/>
  <c r="Z6" i="1"/>
  <c r="AA6" i="1" s="1"/>
  <c r="W6" i="1"/>
  <c r="X6" i="1" s="1"/>
  <c r="T6" i="1"/>
  <c r="U6" i="1" s="1"/>
  <c r="R6" i="1"/>
  <c r="O6" i="1"/>
  <c r="L6" i="1"/>
  <c r="I6" i="1"/>
  <c r="DO5" i="1"/>
  <c r="DP5" i="1" s="1"/>
  <c r="DL5" i="1"/>
  <c r="DM5" i="1" s="1"/>
  <c r="DI5" i="1"/>
  <c r="DJ5" i="1" s="1"/>
  <c r="DF5" i="1"/>
  <c r="DG5" i="1" s="1"/>
  <c r="DC5" i="1"/>
  <c r="DD5" i="1" s="1"/>
  <c r="CZ5" i="1"/>
  <c r="DA5" i="1" s="1"/>
  <c r="CW5" i="1"/>
  <c r="CX5" i="1" s="1"/>
  <c r="CT5" i="1"/>
  <c r="CU5" i="1" s="1"/>
  <c r="CQ5" i="1"/>
  <c r="CR5" i="1" s="1"/>
  <c r="CN5" i="1"/>
  <c r="CO5" i="1" s="1"/>
  <c r="CL5" i="1"/>
  <c r="CK5" i="1"/>
  <c r="CH5" i="1"/>
  <c r="CI5" i="1" s="1"/>
  <c r="CE5" i="1"/>
  <c r="CF5" i="1" s="1"/>
  <c r="CB5" i="1"/>
  <c r="CC5" i="1" s="1"/>
  <c r="BY5" i="1"/>
  <c r="BZ5" i="1" s="1"/>
  <c r="BV5" i="1"/>
  <c r="BW5" i="1" s="1"/>
  <c r="BS5" i="1"/>
  <c r="BT5" i="1" s="1"/>
  <c r="BP5" i="1"/>
  <c r="BQ5" i="1" s="1"/>
  <c r="BM5" i="1"/>
  <c r="BN5" i="1" s="1"/>
  <c r="BJ5" i="1"/>
  <c r="BK5" i="1" s="1"/>
  <c r="BG5" i="1"/>
  <c r="BH5" i="1" s="1"/>
  <c r="BD5" i="1"/>
  <c r="BE5" i="1" s="1"/>
  <c r="BA5" i="1"/>
  <c r="BB5" i="1" s="1"/>
  <c r="AX5" i="1"/>
  <c r="AY5" i="1" s="1"/>
  <c r="AU5" i="1"/>
  <c r="AV5" i="1" s="1"/>
  <c r="AR5" i="1"/>
  <c r="AS5" i="1" s="1"/>
  <c r="AP5" i="1"/>
  <c r="AO5" i="1"/>
  <c r="AL5" i="1"/>
  <c r="AM5" i="1" s="1"/>
  <c r="AI5" i="1"/>
  <c r="AJ5" i="1" s="1"/>
  <c r="AF5" i="1"/>
  <c r="AG5" i="1" s="1"/>
  <c r="AC5" i="1"/>
  <c r="AD5" i="1" s="1"/>
  <c r="Z5" i="1"/>
  <c r="AA5" i="1" s="1"/>
  <c r="W5" i="1"/>
  <c r="X5" i="1" s="1"/>
  <c r="T5" i="1"/>
  <c r="U5" i="1" s="1"/>
  <c r="O5" i="1"/>
  <c r="L5" i="1"/>
  <c r="I5" i="1"/>
  <c r="DO4" i="1"/>
  <c r="DP4" i="1" s="1"/>
  <c r="DL4" i="1"/>
  <c r="DM4" i="1" s="1"/>
  <c r="DI4" i="1"/>
  <c r="DJ4" i="1" s="1"/>
  <c r="DF4" i="1"/>
  <c r="DG4" i="1" s="1"/>
  <c r="DC4" i="1"/>
  <c r="DD4" i="1" s="1"/>
  <c r="CZ4" i="1"/>
  <c r="DA4" i="1" s="1"/>
  <c r="CX4" i="1"/>
  <c r="CW4" i="1"/>
  <c r="CT4" i="1"/>
  <c r="CU4" i="1" s="1"/>
  <c r="CQ4" i="1"/>
  <c r="CR4" i="1" s="1"/>
  <c r="CN4" i="1"/>
  <c r="CO4" i="1" s="1"/>
  <c r="CL4" i="1"/>
  <c r="CK4" i="1"/>
  <c r="CH4" i="1"/>
  <c r="CI4" i="1" s="1"/>
  <c r="CE4" i="1"/>
  <c r="CF4" i="1" s="1"/>
  <c r="CB4" i="1"/>
  <c r="CC4" i="1" s="1"/>
  <c r="BY4" i="1"/>
  <c r="BZ4" i="1" s="1"/>
  <c r="BW4" i="1"/>
  <c r="BV4" i="1"/>
  <c r="BS4" i="1"/>
  <c r="BT4" i="1" s="1"/>
  <c r="BP4" i="1"/>
  <c r="BQ4" i="1" s="1"/>
  <c r="BM4" i="1"/>
  <c r="BN4" i="1" s="1"/>
  <c r="BK4" i="1"/>
  <c r="BJ4" i="1"/>
  <c r="BG4" i="1"/>
  <c r="BH4" i="1" s="1"/>
  <c r="BD4" i="1"/>
  <c r="BE4" i="1" s="1"/>
  <c r="BA4" i="1"/>
  <c r="BB4" i="1" s="1"/>
  <c r="AX4" i="1"/>
  <c r="AY4" i="1" s="1"/>
  <c r="AV4" i="1"/>
  <c r="AU4" i="1"/>
  <c r="AR4" i="1"/>
  <c r="AS4" i="1" s="1"/>
  <c r="AO4" i="1"/>
  <c r="AP4" i="1" s="1"/>
  <c r="AL4" i="1"/>
  <c r="AM4" i="1" s="1"/>
  <c r="AJ4" i="1"/>
  <c r="AI4" i="1"/>
  <c r="AF4" i="1"/>
  <c r="AG4" i="1" s="1"/>
  <c r="AC4" i="1"/>
  <c r="AD4" i="1" s="1"/>
  <c r="Z4" i="1"/>
  <c r="AA4" i="1" s="1"/>
  <c r="W4" i="1"/>
  <c r="X4" i="1" s="1"/>
  <c r="T4" i="1"/>
  <c r="U4" i="1" s="1"/>
  <c r="R4" i="1"/>
  <c r="O4" i="1"/>
  <c r="L4" i="1"/>
  <c r="I4" i="1"/>
  <c r="DO3" i="1"/>
  <c r="DP3" i="1" s="1"/>
  <c r="DL3" i="1"/>
  <c r="DM3" i="1" s="1"/>
  <c r="DJ3" i="1"/>
  <c r="DI3" i="1"/>
  <c r="DF3" i="1"/>
  <c r="DG3" i="1" s="1"/>
  <c r="DC3" i="1"/>
  <c r="DD3" i="1" s="1"/>
  <c r="CZ3" i="1"/>
  <c r="DA3" i="1" s="1"/>
  <c r="CX3" i="1"/>
  <c r="CW3" i="1"/>
  <c r="CT3" i="1"/>
  <c r="CU3" i="1" s="1"/>
  <c r="CQ3" i="1"/>
  <c r="CR3" i="1" s="1"/>
  <c r="CN3" i="1"/>
  <c r="CO3" i="1" s="1"/>
  <c r="CK3" i="1"/>
  <c r="CL3" i="1" s="1"/>
  <c r="CI3" i="1"/>
  <c r="CH3" i="1"/>
  <c r="CE3" i="1"/>
  <c r="CF3" i="1" s="1"/>
  <c r="CB3" i="1"/>
  <c r="CC3" i="1" s="1"/>
  <c r="BY3" i="1"/>
  <c r="BZ3" i="1" s="1"/>
  <c r="BW3" i="1"/>
  <c r="BV3" i="1"/>
  <c r="BS3" i="1"/>
  <c r="BT3" i="1" s="1"/>
  <c r="BP3" i="1"/>
  <c r="BQ3" i="1" s="1"/>
  <c r="BM3" i="1"/>
  <c r="BN3" i="1" s="1"/>
  <c r="BJ3" i="1"/>
  <c r="BK3" i="1" s="1"/>
  <c r="BH3" i="1"/>
  <c r="BG3" i="1"/>
  <c r="BD3" i="1"/>
  <c r="BE3" i="1" s="1"/>
  <c r="BA3" i="1"/>
  <c r="BB3" i="1" s="1"/>
  <c r="AX3" i="1"/>
  <c r="AY3" i="1" s="1"/>
  <c r="AV3" i="1"/>
  <c r="AU3" i="1"/>
  <c r="AR3" i="1"/>
  <c r="AS3" i="1" s="1"/>
  <c r="AO3" i="1"/>
  <c r="AP3" i="1" s="1"/>
  <c r="AL3" i="1"/>
  <c r="AM3" i="1" s="1"/>
  <c r="AI3" i="1"/>
  <c r="AJ3" i="1" s="1"/>
  <c r="AF3" i="1"/>
  <c r="AG3" i="1" s="1"/>
  <c r="AC3" i="1"/>
  <c r="AD3" i="1" s="1"/>
  <c r="Z3" i="1"/>
  <c r="AA3" i="1" s="1"/>
  <c r="W3" i="1"/>
  <c r="X3" i="1" s="1"/>
  <c r="T3" i="1"/>
  <c r="U3" i="1" s="1"/>
  <c r="O3" i="1"/>
  <c r="L3" i="1"/>
  <c r="I3" i="1"/>
  <c r="DO2" i="1"/>
  <c r="DL2" i="1"/>
  <c r="DI2" i="1"/>
  <c r="DF2" i="1"/>
  <c r="DG2" i="1" s="1"/>
  <c r="DC2" i="1"/>
  <c r="CZ2" i="1"/>
  <c r="CW2" i="1"/>
  <c r="CX2" i="1" s="1"/>
  <c r="CT2" i="1"/>
  <c r="CU2" i="1" s="1"/>
  <c r="CQ2" i="1"/>
  <c r="CN2" i="1"/>
  <c r="CL2" i="1"/>
  <c r="CK2" i="1"/>
  <c r="CH2" i="1"/>
  <c r="CI2" i="1" s="1"/>
  <c r="CE2" i="1"/>
  <c r="CB2" i="1"/>
  <c r="BY2" i="1"/>
  <c r="BY392" i="1" s="1"/>
  <c r="BW2" i="1"/>
  <c r="BV2" i="1"/>
  <c r="BS2" i="1"/>
  <c r="BP2" i="1"/>
  <c r="BM2" i="1"/>
  <c r="BJ2" i="1"/>
  <c r="BK2" i="1" s="1"/>
  <c r="BG2" i="1"/>
  <c r="BD2" i="1"/>
  <c r="BA2" i="1"/>
  <c r="BB2" i="1" s="1"/>
  <c r="AX2" i="1"/>
  <c r="AY2" i="1" s="1"/>
  <c r="AU2" i="1"/>
  <c r="AR2" i="1"/>
  <c r="AP2" i="1"/>
  <c r="AO2" i="1"/>
  <c r="AL2" i="1"/>
  <c r="AM2" i="1" s="1"/>
  <c r="AI2" i="1"/>
  <c r="AF2" i="1"/>
  <c r="AC2" i="1"/>
  <c r="AA2" i="1"/>
  <c r="Z2" i="1"/>
  <c r="W2" i="1"/>
  <c r="T2" i="1"/>
  <c r="R2" i="1"/>
  <c r="O2" i="1"/>
  <c r="L2" i="1"/>
  <c r="I2" i="1"/>
  <c r="DI392" i="1" l="1"/>
  <c r="L392" i="1"/>
  <c r="BM392" i="1"/>
  <c r="BZ2" i="1"/>
  <c r="BZ392" i="1" s="1"/>
  <c r="AC392" i="1"/>
  <c r="AD2" i="1"/>
  <c r="AD392" i="1" s="1"/>
  <c r="AO392" i="1"/>
  <c r="BD392" i="1"/>
  <c r="BE2" i="1"/>
  <c r="BE392" i="1" s="1"/>
  <c r="CK392" i="1"/>
  <c r="CZ392" i="1"/>
  <c r="DA2" i="1"/>
  <c r="DA392" i="1" s="1"/>
  <c r="AA392" i="1"/>
  <c r="AP392" i="1"/>
  <c r="BW392" i="1"/>
  <c r="CL392" i="1"/>
  <c r="AR392" i="1"/>
  <c r="AS2" i="1"/>
  <c r="AS392" i="1" s="1"/>
  <c r="CN392" i="1"/>
  <c r="CO2" i="1"/>
  <c r="CO392" i="1" s="1"/>
  <c r="BK392" i="1"/>
  <c r="DG392" i="1"/>
  <c r="O392" i="1"/>
  <c r="R392" i="1"/>
  <c r="AY392" i="1"/>
  <c r="BN2" i="1"/>
  <c r="BN392" i="1" s="1"/>
  <c r="CU392" i="1"/>
  <c r="DJ2" i="1"/>
  <c r="DJ392" i="1" s="1"/>
  <c r="AF392" i="1"/>
  <c r="AG2" i="1"/>
  <c r="AG392" i="1" s="1"/>
  <c r="CB392" i="1"/>
  <c r="CC2" i="1"/>
  <c r="CC392" i="1" s="1"/>
  <c r="T392" i="1"/>
  <c r="U2" i="1"/>
  <c r="U392" i="1" s="1"/>
  <c r="BA392" i="1"/>
  <c r="BP392" i="1"/>
  <c r="BQ2" i="1"/>
  <c r="BQ392" i="1" s="1"/>
  <c r="CW392" i="1"/>
  <c r="DL392" i="1"/>
  <c r="DM2" i="1"/>
  <c r="DM392" i="1" s="1"/>
  <c r="AM392" i="1"/>
  <c r="BB392" i="1"/>
  <c r="CI392" i="1"/>
  <c r="CX392" i="1"/>
  <c r="I392" i="1"/>
  <c r="Z392" i="1"/>
  <c r="AL392" i="1"/>
  <c r="AX392" i="1"/>
  <c r="BJ392" i="1"/>
  <c r="BV392" i="1"/>
  <c r="CH392" i="1"/>
  <c r="CT392" i="1"/>
  <c r="DF392" i="1"/>
  <c r="W392" i="1"/>
  <c r="AI392" i="1"/>
  <c r="AU392" i="1"/>
  <c r="BG392" i="1"/>
  <c r="BS392" i="1"/>
  <c r="CE392" i="1"/>
  <c r="CQ392" i="1"/>
  <c r="DC392" i="1"/>
  <c r="DO392" i="1"/>
  <c r="X2" i="1"/>
  <c r="X392" i="1" s="1"/>
  <c r="AJ2" i="1"/>
  <c r="AJ392" i="1" s="1"/>
  <c r="AV2" i="1"/>
  <c r="AV392" i="1" s="1"/>
  <c r="BH2" i="1"/>
  <c r="BH392" i="1" s="1"/>
  <c r="BT2" i="1"/>
  <c r="BT392" i="1" s="1"/>
  <c r="CF2" i="1"/>
  <c r="CF392" i="1" s="1"/>
  <c r="CR2" i="1"/>
  <c r="CR392" i="1" s="1"/>
  <c r="DD2" i="1"/>
  <c r="DD392" i="1" s="1"/>
  <c r="DP2" i="1"/>
  <c r="DP392" i="1" s="1"/>
  <c r="AP264" i="4"/>
  <c r="AP322" i="2"/>
  <c r="AP277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H1" authorId="0" shapeId="0" xr:uid="{00000000-0006-0000-0000-000001000000}">
      <text>
        <r>
          <rPr>
            <sz val="10"/>
            <rFont val="Arial"/>
            <family val="2"/>
          </rPr>
          <t>Fuente: Produccion_23-24-25_OIL.xlsx (suma mensual del campo en 2023). Producción Dia = Producción Bls / 365.</t>
        </r>
      </text>
    </comment>
    <comment ref="K1" authorId="0" shapeId="0" xr:uid="{00000000-0006-0000-0000-000002000000}">
      <text>
        <r>
          <rPr>
            <sz val="10"/>
            <color rgb="FF000000"/>
            <rFont val="Arial"/>
            <family val="2"/>
          </rPr>
          <t>Fuente: PRODUCCION_2024-2026_diligenciado. Producción Dia = Producción Bls / 366 (año bisiesto), igual que en ese archivo.</t>
        </r>
      </text>
    </comment>
    <comment ref="N1" authorId="0" shapeId="0" xr:uid="{00000000-0006-0000-0000-000003000000}">
      <text>
        <r>
          <rPr>
            <sz val="10"/>
            <rFont val="Arial"/>
            <family val="2"/>
          </rPr>
          <t>Fuente: PRODUCCION_2024-2026_diligenciado. Producción Dia = Producción Bls / 365.</t>
        </r>
      </text>
    </comment>
    <comment ref="Q1" authorId="0" shapeId="0" xr:uid="{00000000-0006-0000-0000-000004000000}">
      <text>
        <r>
          <rPr>
            <sz val="10"/>
            <rFont val="Arial"/>
            <family val="2"/>
          </rPr>
          <t>Fuente: PRODUCCION_2024-2026_diligenciado. PARCIAL: enero a junio de 2026. Producción Dia = Producción Bls / 181 días, igual que en ese archivo.</t>
        </r>
      </text>
    </comment>
    <comment ref="T1" authorId="0" shapeId="0" xr:uid="{00000000-0006-0000-0000-000005000000}">
      <text>
        <r>
          <rPr>
            <sz val="10"/>
            <rFont val="Arial"/>
            <family val="2"/>
          </rPr>
          <t>Desde 2027: Producción Bls = Reservas 1P (bl) del mismo año; Producción Dia = Producción Bls / 365. En blanco si la celda de reservas está en blanco.</t>
        </r>
      </text>
    </comment>
  </commentList>
</comments>
</file>

<file path=xl/sharedStrings.xml><?xml version="1.0" encoding="utf-8"?>
<sst xmlns="http://schemas.openxmlformats.org/spreadsheetml/2006/main" count="5215" uniqueCount="752">
  <si>
    <t>CAMPO</t>
  </si>
  <si>
    <t>Producción Bls
2023</t>
  </si>
  <si>
    <t>Producción Dia Bls
2023</t>
  </si>
  <si>
    <t>Reservas 1P (bl)
2024</t>
  </si>
  <si>
    <t>Producción Bls
2024</t>
  </si>
  <si>
    <t>Producción Dia Bls
2024</t>
  </si>
  <si>
    <t>Reservas 1P (bl)
2025</t>
  </si>
  <si>
    <t>Producción Bls
2025</t>
  </si>
  <si>
    <t>Producción Dia Bls
2025</t>
  </si>
  <si>
    <t>Reservas 1P (bl)
2026</t>
  </si>
  <si>
    <t>Producción Bls
2026</t>
  </si>
  <si>
    <t>Producción Dia Bls
2026</t>
  </si>
  <si>
    <t>Reservas 1P (bl)
2027</t>
  </si>
  <si>
    <t>Producción Bls
2027</t>
  </si>
  <si>
    <t>Producción Dia Bls
2027</t>
  </si>
  <si>
    <t>Reservas 1P (bl)
2028</t>
  </si>
  <si>
    <t>Producción Bls
2028</t>
  </si>
  <si>
    <t>Producción Dia Bls
2028</t>
  </si>
  <si>
    <t>Reservas 1P (bl)
2029</t>
  </si>
  <si>
    <t>Producción Bls
2029</t>
  </si>
  <si>
    <t>Producción Dia Bls
2029</t>
  </si>
  <si>
    <t>Reservas 1P (bl)
2030</t>
  </si>
  <si>
    <t>Producción Bls
2030</t>
  </si>
  <si>
    <t>Producción Dia Bls
2030</t>
  </si>
  <si>
    <t>Reservas 1P (bl)
2031</t>
  </si>
  <si>
    <t>Producción Bls
2031</t>
  </si>
  <si>
    <t>Producción Dia Bls
2031</t>
  </si>
  <si>
    <t>Reservas 1P (bl)
2032</t>
  </si>
  <si>
    <t>Producción Bls
2032</t>
  </si>
  <si>
    <t>Producción Dia Bls
2032</t>
  </si>
  <si>
    <t>Reservas 1P (bl)
2033</t>
  </si>
  <si>
    <t>Producción Bls
2033</t>
  </si>
  <si>
    <t>Producción Dia Bls
2033</t>
  </si>
  <si>
    <t>Reservas 1P (bl)
2034</t>
  </si>
  <si>
    <t>Producción Bls
2034</t>
  </si>
  <si>
    <t>Producción Dia Bls
2034</t>
  </si>
  <si>
    <t>Reservas 1P (bl)
2035</t>
  </si>
  <si>
    <t>Producción Bls
2035</t>
  </si>
  <si>
    <t>Producción Dia Bls
2035</t>
  </si>
  <si>
    <t>Reservas 1P (bl)
2036</t>
  </si>
  <si>
    <t>Producción Bls
2036</t>
  </si>
  <si>
    <t>Producción Dia Bls
2036</t>
  </si>
  <si>
    <t>Reservas 1P (bl)
2037</t>
  </si>
  <si>
    <t>Producción Bls
2037</t>
  </si>
  <si>
    <t>Producción Dia Bls
2037</t>
  </si>
  <si>
    <t>Reservas 1P (bl)
2038</t>
  </si>
  <si>
    <t>Producción Bls
2038</t>
  </si>
  <si>
    <t>Producción Dia Bls
2038</t>
  </si>
  <si>
    <t>Reservas 1P (bl)
2039</t>
  </si>
  <si>
    <t>Producción Bls
2039</t>
  </si>
  <si>
    <t>Producción Dia Bls
2039</t>
  </si>
  <si>
    <t>Reservas 1P (bl)
2040</t>
  </si>
  <si>
    <t>Producción Bls
2040</t>
  </si>
  <si>
    <t>Producción Dia Bls
2040</t>
  </si>
  <si>
    <t>Reservas 1P (bl)
2041</t>
  </si>
  <si>
    <t>Producción Bls
2041</t>
  </si>
  <si>
    <t>Producción Dia Bls
2041</t>
  </si>
  <si>
    <t>Reservas 1P (bl)
2042</t>
  </si>
  <si>
    <t>Producción Bls
2042</t>
  </si>
  <si>
    <t>Producción Dia Bls
2042</t>
  </si>
  <si>
    <t>Reservas 1P (bl)
2043</t>
  </si>
  <si>
    <t>Producción Bls
2043</t>
  </si>
  <si>
    <t>Producción Dia Bls
2043</t>
  </si>
  <si>
    <t>Reservas 1P (bl)
2044</t>
  </si>
  <si>
    <t>Producción Bls
2044</t>
  </si>
  <si>
    <t>Producción Dia Bls
2044</t>
  </si>
  <si>
    <t>Reservas 1P (bl)
2045</t>
  </si>
  <si>
    <t>Producción Bls
2045</t>
  </si>
  <si>
    <t>Producción Dia Bls
2045</t>
  </si>
  <si>
    <t>Reservas 1P (bl)
2046</t>
  </si>
  <si>
    <t>Producción Bls
2046</t>
  </si>
  <si>
    <t>Producción Dia Bls
2046</t>
  </si>
  <si>
    <t>Reservas 1P (bl)
2047</t>
  </si>
  <si>
    <t>Producción Bls
2047</t>
  </si>
  <si>
    <t>Producción Dia Bls
2047</t>
  </si>
  <si>
    <t>Reservas 1P (bl)
2048</t>
  </si>
  <si>
    <t>Producción Bls
2048</t>
  </si>
  <si>
    <t>Producción Dia Bls
2048</t>
  </si>
  <si>
    <t>Reservas 1P (bl)
2049</t>
  </si>
  <si>
    <t>Producción Bls
2049</t>
  </si>
  <si>
    <t>Producción Dia Bls
2049</t>
  </si>
  <si>
    <t>Reservas 1P (bl)
2050</t>
  </si>
  <si>
    <t>Producción Bls
2050</t>
  </si>
  <si>
    <t>Producción Dia Bls
2050</t>
  </si>
  <si>
    <t>Reservas 1P (bl)
2051</t>
  </si>
  <si>
    <t>Producción Bls
2051</t>
  </si>
  <si>
    <t>Producción Dia Bls
2051</t>
  </si>
  <si>
    <t>Reservas 1P (bl)
2052</t>
  </si>
  <si>
    <t>Producción Bls
2052</t>
  </si>
  <si>
    <t>Producción Dia Bls
2052</t>
  </si>
  <si>
    <t>Reservas 1P (bl)
2053</t>
  </si>
  <si>
    <t>Producción Bls
2053</t>
  </si>
  <si>
    <t>Producción Dia Bls
2053</t>
  </si>
  <si>
    <t>Reservas 1P (bl)
2054</t>
  </si>
  <si>
    <t>Producción Bls
2054</t>
  </si>
  <si>
    <t>Producción Dia Bls
2054</t>
  </si>
  <si>
    <t>Reservas 1P (bl)
2055</t>
  </si>
  <si>
    <t>Producción Bls
2055</t>
  </si>
  <si>
    <t>Producción Dia Bls
2055</t>
  </si>
  <si>
    <t>Reservas 1P (bl)
2056</t>
  </si>
  <si>
    <t>Producción Bls
2056</t>
  </si>
  <si>
    <t>Producción Dia Bls
2056</t>
  </si>
  <si>
    <t>Reservas 1P (bl)
2057</t>
  </si>
  <si>
    <t>Producción Bls
2057</t>
  </si>
  <si>
    <t>Producción Dia Bls
2057</t>
  </si>
  <si>
    <t>Reservas 1P (bl)
2058</t>
  </si>
  <si>
    <t>Producción Bls
2058</t>
  </si>
  <si>
    <t>Producción Dia Bls
2058</t>
  </si>
  <si>
    <t>Reservas 1P (bl)
2059</t>
  </si>
  <si>
    <t>Producción Bls
2059</t>
  </si>
  <si>
    <t>Producción Dia Bls
2059</t>
  </si>
  <si>
    <t>Reservas 1P (bl)
2060</t>
  </si>
  <si>
    <t>Producción Bls
2060</t>
  </si>
  <si>
    <t>Producción Dia Bls
2060</t>
  </si>
  <si>
    <t>ABANICO</t>
  </si>
  <si>
    <t>ABARCO</t>
  </si>
  <si>
    <t>ABEJAS</t>
  </si>
  <si>
    <t>ACAE SAN MIGUEL</t>
  </si>
  <si>
    <t>ACORDIONERO</t>
  </si>
  <si>
    <t>ADALIA</t>
  </si>
  <si>
    <t>AGAVE</t>
  </si>
  <si>
    <t>AGUAS BLANCAS</t>
  </si>
  <si>
    <t>AKACIAS</t>
  </si>
  <si>
    <t>AKIRA</t>
  </si>
  <si>
    <t>ALEPE</t>
  </si>
  <si>
    <t>ALQAMARI</t>
  </si>
  <si>
    <t>ALVA SUR</t>
  </si>
  <si>
    <t>AMBROSIA</t>
  </si>
  <si>
    <t>ANDALUZ</t>
  </si>
  <si>
    <t>ANDINA</t>
  </si>
  <si>
    <t>APIAY</t>
  </si>
  <si>
    <t>ARAGUATO</t>
  </si>
  <si>
    <t>ARAUCA</t>
  </si>
  <si>
    <t>AREA TECA-COCORNA</t>
  </si>
  <si>
    <t>ARRAYAN</t>
  </si>
  <si>
    <t>AULLADOR</t>
  </si>
  <si>
    <t>AZAFRAN</t>
  </si>
  <si>
    <t>AZOGUE</t>
  </si>
  <si>
    <t>AZOR</t>
  </si>
  <si>
    <t>BACANO</t>
  </si>
  <si>
    <t>BALCON</t>
  </si>
  <si>
    <t>BARQUEREÑA</t>
  </si>
  <si>
    <t>BASTIDAS</t>
  </si>
  <si>
    <t>BAYONERO</t>
  </si>
  <si>
    <t>BEGONIA</t>
  </si>
  <si>
    <t>BOLIVAR</t>
  </si>
  <si>
    <t>BONANZA</t>
  </si>
  <si>
    <t>BONGA</t>
  </si>
  <si>
    <t>BORAL</t>
  </si>
  <si>
    <t>BORANDA</t>
  </si>
  <si>
    <t>BRISAS</t>
  </si>
  <si>
    <t>CABIONA</t>
  </si>
  <si>
    <t>CAIPAL</t>
  </si>
  <si>
    <t>CAJUA</t>
  </si>
  <si>
    <t>CALONA</t>
  </si>
  <si>
    <t>CAMPO RICO</t>
  </si>
  <si>
    <t>CANACABARE</t>
  </si>
  <si>
    <t>CANAGUAY</t>
  </si>
  <si>
    <t>CANAGUEY</t>
  </si>
  <si>
    <t>CANDELILLA</t>
  </si>
  <si>
    <t>CAÑO GANDUL</t>
  </si>
  <si>
    <t>CAÑO GARZA</t>
  </si>
  <si>
    <t>CAÑO GARZA ESTE</t>
  </si>
  <si>
    <t>CAÑO GARZA NORTE</t>
  </si>
  <si>
    <t>CAÑO LIMON</t>
  </si>
  <si>
    <t>CAÑO RONDON</t>
  </si>
  <si>
    <t>CAÑO SUR ESTE</t>
  </si>
  <si>
    <t>CAÑO YARUMAL</t>
  </si>
  <si>
    <t>CAPACHOS</t>
  </si>
  <si>
    <t>CAPACHOS SUR</t>
  </si>
  <si>
    <t>CAPELLA</t>
  </si>
  <si>
    <t>CARACARA SUR A</t>
  </si>
  <si>
    <t>CARACARA SUR B Y C</t>
  </si>
  <si>
    <t>CARETO</t>
  </si>
  <si>
    <t>CARIBE</t>
  </si>
  <si>
    <t>CARICARE</t>
  </si>
  <si>
    <t>CARMENTEA</t>
  </si>
  <si>
    <t>CARRIZALES</t>
  </si>
  <si>
    <t>CARRIZALES NORTE</t>
  </si>
  <si>
    <t>CARUPANA</t>
  </si>
  <si>
    <t>CARUTO</t>
  </si>
  <si>
    <t>CASABE</t>
  </si>
  <si>
    <t>CASABE SUR</t>
  </si>
  <si>
    <t>CASTILLA</t>
  </si>
  <si>
    <t>CASTILLA ESTE</t>
  </si>
  <si>
    <t>CASTILLA NORTE</t>
  </si>
  <si>
    <t>CEDRILLO</t>
  </si>
  <si>
    <t>CEIBO</t>
  </si>
  <si>
    <t>CENTAURO SUR</t>
  </si>
  <si>
    <t>CERNICALO</t>
  </si>
  <si>
    <t>CHAMAN</t>
  </si>
  <si>
    <t>CHAPARRITO</t>
  </si>
  <si>
    <t>CHENCHE</t>
  </si>
  <si>
    <t>CHICHIMENE</t>
  </si>
  <si>
    <t>CHICHIMENE SW</t>
  </si>
  <si>
    <t>CHIPIRON</t>
  </si>
  <si>
    <t>CHIRICOCA</t>
  </si>
  <si>
    <t>CHUIRA</t>
  </si>
  <si>
    <t>CICUCO</t>
  </si>
  <si>
    <t>CIRIGUELO</t>
  </si>
  <si>
    <t>COBRA</t>
  </si>
  <si>
    <t>COHEMBI</t>
  </si>
  <si>
    <t>COLON</t>
  </si>
  <si>
    <t>COPA UNIFICADO</t>
  </si>
  <si>
    <t>CORAZON</t>
  </si>
  <si>
    <t>CORAZON WEST</t>
  </si>
  <si>
    <t>CORCEL A</t>
  </si>
  <si>
    <t>CORCEL C</t>
  </si>
  <si>
    <t>CORCEL D</t>
  </si>
  <si>
    <t>CORCEL E</t>
  </si>
  <si>
    <t>COREN</t>
  </si>
  <si>
    <t>COROCORA</t>
  </si>
  <si>
    <t>COROCORA SUR</t>
  </si>
  <si>
    <t>CORRALES</t>
  </si>
  <si>
    <t>COSTAYACO</t>
  </si>
  <si>
    <t>CRAVO ESTE</t>
  </si>
  <si>
    <t>CRISTALINA</t>
  </si>
  <si>
    <t>CUERVA NORESTE</t>
  </si>
  <si>
    <t>CUERVA OESTE</t>
  </si>
  <si>
    <t>CUERVA SUR</t>
  </si>
  <si>
    <t>CUMPLIDOR</t>
  </si>
  <si>
    <t>CUPIAGUA</t>
  </si>
  <si>
    <t>CUPIAGUA RECETOR</t>
  </si>
  <si>
    <t>CUPIAGUA SUR</t>
  </si>
  <si>
    <t>CURITO</t>
  </si>
  <si>
    <t>CUSIANA</t>
  </si>
  <si>
    <t>DANES</t>
  </si>
  <si>
    <t>DINA CRETACEO</t>
  </si>
  <si>
    <t>DINA NORTE</t>
  </si>
  <si>
    <t>DINA TERCIARIO</t>
  </si>
  <si>
    <t>DOROTEA B</t>
  </si>
  <si>
    <t>DOROTEA E</t>
  </si>
  <si>
    <t>EL DIFICIL</t>
  </si>
  <si>
    <t>EL NIÑO</t>
  </si>
  <si>
    <t>ELIZITA</t>
  </si>
  <si>
    <t>ENTRERRIOS</t>
  </si>
  <si>
    <t>ESPINO</t>
  </si>
  <si>
    <t>ESTERO</t>
  </si>
  <si>
    <t>FINN</t>
  </si>
  <si>
    <t>FLAMENCOS</t>
  </si>
  <si>
    <t>FLOREÑA</t>
  </si>
  <si>
    <t>FLOREÑA MIRADOR</t>
  </si>
  <si>
    <t>FRANKMAVE</t>
  </si>
  <si>
    <t>GALEMBO</t>
  </si>
  <si>
    <t>GARZAS</t>
  </si>
  <si>
    <t>GIBRALTAR</t>
  </si>
  <si>
    <t>GIRASOL</t>
  </si>
  <si>
    <t>GRETA OTO</t>
  </si>
  <si>
    <t>GUACHARACA</t>
  </si>
  <si>
    <t>GUACO</t>
  </si>
  <si>
    <t>GUANAPALO</t>
  </si>
  <si>
    <t>GUANDO</t>
  </si>
  <si>
    <t>GUANDO SW</t>
  </si>
  <si>
    <t>GUARILAQUE</t>
  </si>
  <si>
    <t>GUARIMENA</t>
  </si>
  <si>
    <t>GUARROJO</t>
  </si>
  <si>
    <t>GUASAR</t>
  </si>
  <si>
    <t>GUAYUYACO</t>
  </si>
  <si>
    <t>HAMACA</t>
  </si>
  <si>
    <t>HOATZIN</t>
  </si>
  <si>
    <t>HOATZIN NORTE</t>
  </si>
  <si>
    <t>HORMIGA</t>
  </si>
  <si>
    <t>IBAMACA</t>
  </si>
  <si>
    <t>INDICO</t>
  </si>
  <si>
    <t>INFANTAS</t>
  </si>
  <si>
    <t>JACAMAR</t>
  </si>
  <si>
    <t>JACANA</t>
  </si>
  <si>
    <t>JAZMIN</t>
  </si>
  <si>
    <t>JIBA UNIFICADO</t>
  </si>
  <si>
    <t>JORCAN</t>
  </si>
  <si>
    <t>JORDAN</t>
  </si>
  <si>
    <t>JUANAMBU</t>
  </si>
  <si>
    <t>JUGLAR</t>
  </si>
  <si>
    <t>KANANASKIS</t>
  </si>
  <si>
    <t>KITARO</t>
  </si>
  <si>
    <t>LA BELLEZA</t>
  </si>
  <si>
    <t>LA CAÑADA NORTE</t>
  </si>
  <si>
    <t>LA CIRA</t>
  </si>
  <si>
    <t>LA FLORA</t>
  </si>
  <si>
    <t>LA GLORIA</t>
  </si>
  <si>
    <t>LA GLORIA NORTE</t>
  </si>
  <si>
    <t>LA HOCHA</t>
  </si>
  <si>
    <t>LA JAGUA</t>
  </si>
  <si>
    <t>LA PLUMA</t>
  </si>
  <si>
    <t>LA PUNTA</t>
  </si>
  <si>
    <t>LA SALINA</t>
  </si>
  <si>
    <t>LABRADOR</t>
  </si>
  <si>
    <t>LAS MARACAS</t>
  </si>
  <si>
    <t>LEONA C</t>
  </si>
  <si>
    <t>LEONO</t>
  </si>
  <si>
    <t>LIBERTAD</t>
  </si>
  <si>
    <t>LIBERTAD NORTE</t>
  </si>
  <si>
    <t>LILIA - ANGIE UNIFICADO</t>
  </si>
  <si>
    <t>LISAMA</t>
  </si>
  <si>
    <t>LLANITO UNIFICADO</t>
  </si>
  <si>
    <t>LLANOS 58-4</t>
  </si>
  <si>
    <t>LOMA LARGA</t>
  </si>
  <si>
    <t>LORO</t>
  </si>
  <si>
    <t>LOS ACEITES</t>
  </si>
  <si>
    <t>LOS ANGELES</t>
  </si>
  <si>
    <t>LOS HATOS</t>
  </si>
  <si>
    <t>LOS POTROS</t>
  </si>
  <si>
    <t>MACANA</t>
  </si>
  <si>
    <t>MAMEY</t>
  </si>
  <si>
    <t>MANA</t>
  </si>
  <si>
    <t>MANSOYA</t>
  </si>
  <si>
    <t>MANTIS</t>
  </si>
  <si>
    <t>MARIPOSA</t>
  </si>
  <si>
    <t>MARY</t>
  </si>
  <si>
    <t>MATACHIN NORTE</t>
  </si>
  <si>
    <t>MATACHIN SUR</t>
  </si>
  <si>
    <t>MATEMARRANO</t>
  </si>
  <si>
    <t>MAURITIA ESTE</t>
  </si>
  <si>
    <t>MAURITIA NORTE</t>
  </si>
  <si>
    <t>MAX</t>
  </si>
  <si>
    <t>MIRTO-AGAPANTO UNIFICADO</t>
  </si>
  <si>
    <t>MONO ARAÑA</t>
  </si>
  <si>
    <t>MOQUETA</t>
  </si>
  <si>
    <t>MORICHAL</t>
  </si>
  <si>
    <t>MORICHE</t>
  </si>
  <si>
    <t>MORROCOY</t>
  </si>
  <si>
    <t>NANCY</t>
  </si>
  <si>
    <t>NARE</t>
  </si>
  <si>
    <t>NASHIRA NORTE</t>
  </si>
  <si>
    <t>NUTRIA</t>
  </si>
  <si>
    <t>OCELOTE</t>
  </si>
  <si>
    <t>OJO DE TIGRE</t>
  </si>
  <si>
    <t>OLINI</t>
  </si>
  <si>
    <t>OMI</t>
  </si>
  <si>
    <t>ORITO</t>
  </si>
  <si>
    <t>OROPENDOLA</t>
  </si>
  <si>
    <t>ORTEGA</t>
  </si>
  <si>
    <t>OSO PARDO</t>
  </si>
  <si>
    <t>PACANDE</t>
  </si>
  <si>
    <t>PACHAQUIARO</t>
  </si>
  <si>
    <t>PALAGUA</t>
  </si>
  <si>
    <t>PALERMO - SANTA CLARA UNIFICADO</t>
  </si>
  <si>
    <t>PALMARITO</t>
  </si>
  <si>
    <t>PALOGRANDE UNIFICADO</t>
  </si>
  <si>
    <t>PARAVARE</t>
  </si>
  <si>
    <t>PAUTO SUR</t>
  </si>
  <si>
    <t>PAUTO SUR RECETOR</t>
  </si>
  <si>
    <t>PAYOA</t>
  </si>
  <si>
    <t>PAYOA WEST</t>
  </si>
  <si>
    <t>PEGUITA</t>
  </si>
  <si>
    <t>PEGUITA II</t>
  </si>
  <si>
    <t>PEGUITA III</t>
  </si>
  <si>
    <t>PEGUITA SW</t>
  </si>
  <si>
    <t>PENDARE</t>
  </si>
  <si>
    <t>PENDARE NORTE</t>
  </si>
  <si>
    <t>PEÑAS BLANCAS</t>
  </si>
  <si>
    <t>PETIRROJO UNIFICADO</t>
  </si>
  <si>
    <t>PINTADO</t>
  </si>
  <si>
    <t>PIRITO</t>
  </si>
  <si>
    <t>PISINGO</t>
  </si>
  <si>
    <t>PLATANILLO</t>
  </si>
  <si>
    <t>PRIMAVERA</t>
  </si>
  <si>
    <t>PROVINCIA</t>
  </si>
  <si>
    <t>PUMARA</t>
  </si>
  <si>
    <t>PURIFICACION</t>
  </si>
  <si>
    <t>QUERUBIN</t>
  </si>
  <si>
    <t>QUIFA SUROESTE</t>
  </si>
  <si>
    <t>QUILLACINGA</t>
  </si>
  <si>
    <t>QUINDE</t>
  </si>
  <si>
    <t>QURIYANA</t>
  </si>
  <si>
    <t>RAMIRIQUI</t>
  </si>
  <si>
    <t>RANCHO HERMOSO</t>
  </si>
  <si>
    <t>RANCHO QUEMADO</t>
  </si>
  <si>
    <t>RECETOR WEST</t>
  </si>
  <si>
    <t>REDONDO</t>
  </si>
  <si>
    <t>REDONDO ESTE</t>
  </si>
  <si>
    <t>REMACHE NORTE</t>
  </si>
  <si>
    <t>REMACHE SUR</t>
  </si>
  <si>
    <t>REX</t>
  </si>
  <si>
    <t>REX NE</t>
  </si>
  <si>
    <t>RIO CEIBAS</t>
  </si>
  <si>
    <t>RIO CRAVO ESTE</t>
  </si>
  <si>
    <t>RIO OPIA</t>
  </si>
  <si>
    <t>RIO SALDAÑA</t>
  </si>
  <si>
    <t>RIO ZULIA</t>
  </si>
  <si>
    <t>RUBIALES</t>
  </si>
  <si>
    <t>RUMBA</t>
  </si>
  <si>
    <t>SABANERO</t>
  </si>
  <si>
    <t>SAIMIRI</t>
  </si>
  <si>
    <t>SAN ANTONIO</t>
  </si>
  <si>
    <t>SAN FRANCISCO</t>
  </si>
  <si>
    <t>SAN ROQUE</t>
  </si>
  <si>
    <t>SANTA LUCIA</t>
  </si>
  <si>
    <t>SANTIAGO</t>
  </si>
  <si>
    <t>SANTO DOMINGO UNIFICADO</t>
  </si>
  <si>
    <t>SARDINAS</t>
  </si>
  <si>
    <t>SARDINATA</t>
  </si>
  <si>
    <t>SEJE</t>
  </si>
  <si>
    <t>SUCIO</t>
  </si>
  <si>
    <t>SURIA</t>
  </si>
  <si>
    <t>TELLO</t>
  </si>
  <si>
    <t>TEMPRANILLO UNIFICADO</t>
  </si>
  <si>
    <t>TENAY</t>
  </si>
  <si>
    <t>TERECAY</t>
  </si>
  <si>
    <t>TESORO</t>
  </si>
  <si>
    <t>TIBU</t>
  </si>
  <si>
    <t>TIGANA</t>
  </si>
  <si>
    <t>TIJERETO</t>
  </si>
  <si>
    <t>TILO</t>
  </si>
  <si>
    <t>TILODIRAN</t>
  </si>
  <si>
    <t>TISQUIRAMA</t>
  </si>
  <si>
    <t>TOCARIA</t>
  </si>
  <si>
    <t>TOLDADO</t>
  </si>
  <si>
    <t>TOQUI TOQUI</t>
  </si>
  <si>
    <t>TORO SENTADO</t>
  </si>
  <si>
    <t>TORO SENTADO NORTE</t>
  </si>
  <si>
    <t>TORO SENTADO WEST</t>
  </si>
  <si>
    <t>TOROYACO</t>
  </si>
  <si>
    <t>TOTARE</t>
  </si>
  <si>
    <t>TOY</t>
  </si>
  <si>
    <t>TUA</t>
  </si>
  <si>
    <t>TULIPAN</t>
  </si>
  <si>
    <t>TURPIAL</t>
  </si>
  <si>
    <t>UNDERRIVER</t>
  </si>
  <si>
    <t>UNUMA</t>
  </si>
  <si>
    <t>VALDIVIA ALMAGRO</t>
  </si>
  <si>
    <t>VELASQUEZ</t>
  </si>
  <si>
    <t>VENUS</t>
  </si>
  <si>
    <t>VIGIA</t>
  </si>
  <si>
    <t>VIGIA SUR</t>
  </si>
  <si>
    <t>VIKINGO</t>
  </si>
  <si>
    <t>VIREO</t>
  </si>
  <si>
    <t>YAGUARA</t>
  </si>
  <si>
    <t>YAGUAZO</t>
  </si>
  <si>
    <t>YAMU</t>
  </si>
  <si>
    <t>YARIGUI-CANTAGALLO</t>
  </si>
  <si>
    <t>YATAY</t>
  </si>
  <si>
    <t>YENAC</t>
  </si>
  <si>
    <t>ZOPILOTE</t>
  </si>
  <si>
    <t>TORITOS</t>
  </si>
  <si>
    <t>SALTADOR</t>
  </si>
  <si>
    <t>CUPIAGUA LIRIA</t>
  </si>
  <si>
    <t>GAVAN</t>
  </si>
  <si>
    <t>GUATIQUIA</t>
  </si>
  <si>
    <t>LORITO</t>
  </si>
  <si>
    <t>MATEGUAFA</t>
  </si>
  <si>
    <t>NAMERO</t>
  </si>
  <si>
    <t>APIAY ESTE</t>
  </si>
  <si>
    <t>SURIA SUR</t>
  </si>
  <si>
    <t>HALCON</t>
  </si>
  <si>
    <t>UNIFICADO RIO CEIBAS</t>
  </si>
  <si>
    <t>YAGUARUNDI</t>
  </si>
  <si>
    <t>TINAMU</t>
  </si>
  <si>
    <t>KIMBO</t>
  </si>
  <si>
    <t>ALBERTA</t>
  </si>
  <si>
    <t>LISAMA UNIFICADO</t>
  </si>
  <si>
    <t>UNIFICADO LORO  ACAE</t>
  </si>
  <si>
    <t>GIGANTE</t>
  </si>
  <si>
    <t>SAURIO</t>
  </si>
  <si>
    <t>ZORZAL</t>
  </si>
  <si>
    <t>MAUTE</t>
  </si>
  <si>
    <t>AUSTRAL</t>
  </si>
  <si>
    <t>NARE SUR</t>
  </si>
  <si>
    <t>CAPYBARA</t>
  </si>
  <si>
    <t>ESPIGUERO</t>
  </si>
  <si>
    <t>LA CAÑADA NORTE PUE</t>
  </si>
  <si>
    <t>CAMPECHANA</t>
  </si>
  <si>
    <t>BULLERENGUE</t>
  </si>
  <si>
    <t>CORSUR</t>
  </si>
  <si>
    <t>BARNETT</t>
  </si>
  <si>
    <t>CUSIANA NORTE</t>
  </si>
  <si>
    <t>Marota</t>
  </si>
  <si>
    <t>MATANEGRA OESTE</t>
  </si>
  <si>
    <t>SUCUMBIOS</t>
  </si>
  <si>
    <t>ROSE</t>
  </si>
  <si>
    <t>POMPEYA</t>
  </si>
  <si>
    <t>TARO TARO</t>
  </si>
  <si>
    <t>ICACO</t>
  </si>
  <si>
    <t>PROGRE3</t>
  </si>
  <si>
    <t>CANDALAY</t>
  </si>
  <si>
    <t>LEONA B</t>
  </si>
  <si>
    <t>GUAYURIBA</t>
  </si>
  <si>
    <t>LA HOCHA - PUE</t>
  </si>
  <si>
    <t>CHURUYACO</t>
  </si>
  <si>
    <t>ISTANBUL</t>
  </si>
  <si>
    <t>COSECHA-A</t>
  </si>
  <si>
    <t>ZARANDA</t>
  </si>
  <si>
    <t>LA URRACA</t>
  </si>
  <si>
    <t>JASPE</t>
  </si>
  <si>
    <t>ANGIE</t>
  </si>
  <si>
    <t>BIENPARADO SUR</t>
  </si>
  <si>
    <t>CHIMELA</t>
  </si>
  <si>
    <t>OPON</t>
  </si>
  <si>
    <t>PANTRO</t>
  </si>
  <si>
    <t>MEDINA</t>
  </si>
  <si>
    <t>CAÑO DUYA</t>
  </si>
  <si>
    <t>PAVAS CACHIRA</t>
  </si>
  <si>
    <t>BARQUE4</t>
  </si>
  <si>
    <t>CHACHALACA</t>
  </si>
  <si>
    <t>CERRO GORDO</t>
  </si>
  <si>
    <t>ARRECIFE</t>
  </si>
  <si>
    <t>ZOE</t>
  </si>
  <si>
    <t>GAITERO</t>
  </si>
  <si>
    <t>TRONOS</t>
  </si>
  <si>
    <t>KIMERA</t>
  </si>
  <si>
    <t>TIGRO</t>
  </si>
  <si>
    <t>TOCA</t>
  </si>
  <si>
    <t>MAGICO EXPLORATORIO</t>
  </si>
  <si>
    <t>TIERRA BLANCA</t>
  </si>
  <si>
    <t>Nota: las filas 322 a 391 (fondo amarillo) son campos con producción reportada en PRODUCCION_2024-2026_diligenciado que no están en PRON OIL; no tienen reservas 1P, por lo que solo se diligencia la producción 2023-2026.</t>
  </si>
  <si>
    <t>Fuente reservas: Reservas Probadas (1P) con base en IRR a 31-dic-2023 (archivo 1. ML OIL). Desde 2027, Producción Bls = Reservas 1P (bl) del año y Producción Dia Bls = Producción Bls / 365.</t>
  </si>
  <si>
    <t>OPERADOR</t>
  </si>
  <si>
    <t>CONTRATO</t>
  </si>
  <si>
    <t>ACTIVIDAD</t>
  </si>
  <si>
    <t>TOTAL</t>
  </si>
  <si>
    <t>AMERISUR EXPLORACION COLOMBIA LIMITADA</t>
  </si>
  <si>
    <t>1P</t>
  </si>
  <si>
    <t>CANACOL ENERGY COLOMBIA SAS</t>
  </si>
  <si>
    <t>CARRAO ENERGY S.A. SUCURSAL COLOMBIA</t>
  </si>
  <si>
    <t>SANTA ISABEL</t>
  </si>
  <si>
    <t>CEPSA COLOMBIA S.A.</t>
  </si>
  <si>
    <t>CARACARA</t>
  </si>
  <si>
    <t>LLA 22</t>
  </si>
  <si>
    <t>COLOMBIA ENERGY DEVELOPMENT CO</t>
  </si>
  <si>
    <t>ALCARAVAN</t>
  </si>
  <si>
    <t>LLA 23</t>
  </si>
  <si>
    <t>RIO VERDE</t>
  </si>
  <si>
    <t>ECOPETROL S.A.</t>
  </si>
  <si>
    <t>AREA OCCIDENTAL</t>
  </si>
  <si>
    <t>AREA SUR</t>
  </si>
  <si>
    <t>BOQUERON</t>
  </si>
  <si>
    <t>CAGUAN</t>
  </si>
  <si>
    <t>CAMPOS TELLO Y LA JAGUA</t>
  </si>
  <si>
    <t>CAÑO SUR</t>
  </si>
  <si>
    <t>CPO 9</t>
  </si>
  <si>
    <t>CUBARRAL</t>
  </si>
  <si>
    <t>HOBO</t>
  </si>
  <si>
    <t>LA CIRA INFANTAS</t>
  </si>
  <si>
    <t>LISAMA-NUTRIA</t>
  </si>
  <si>
    <t>MAGDALENA MEDIO</t>
  </si>
  <si>
    <t>NORORIENTE</t>
  </si>
  <si>
    <t>PALERMO</t>
  </si>
  <si>
    <t>PIEDEMONTE</t>
  </si>
  <si>
    <t>PIJAO-POTRERILLO</t>
  </si>
  <si>
    <t>PLAYON</t>
  </si>
  <si>
    <t>PROVINCIA P NORTE</t>
  </si>
  <si>
    <t>PROVINCIA P SUR</t>
  </si>
  <si>
    <t>FRONTERA ENERGY COLOMBIA CORP., SUCURSAL COLOMBIA</t>
  </si>
  <si>
    <t>QUIFA</t>
  </si>
  <si>
    <t>RECETOR</t>
  </si>
  <si>
    <t>SANTA CLARA</t>
  </si>
  <si>
    <t>SANTIAGO DE LAS ATALAYAS</t>
  </si>
  <si>
    <t>SDLA-TAURAMENA-RIO CHITAMENA</t>
  </si>
  <si>
    <t>SIRIRI</t>
  </si>
  <si>
    <t>SURORIENTE</t>
  </si>
  <si>
    <t>TECA COCORNA</t>
  </si>
  <si>
    <t>EMERALD ENERGY PLC SUCURSAL COLOMBIA</t>
  </si>
  <si>
    <t>MARANTA</t>
  </si>
  <si>
    <t>OMBU</t>
  </si>
  <si>
    <t>ARRENDAJO</t>
  </si>
  <si>
    <t>CACHICAMO</t>
  </si>
  <si>
    <t>CANAGUARO</t>
  </si>
  <si>
    <t>CASIMENA</t>
  </si>
  <si>
    <t>CORCEL</t>
  </si>
  <si>
    <t>CPE-6</t>
  </si>
  <si>
    <t>CRAVOVIEJO</t>
  </si>
  <si>
    <t>CUBIRO</t>
  </si>
  <si>
    <t>GEOPARK COLOMBIA S.A.S.</t>
  </si>
  <si>
    <t>LLA 34</t>
  </si>
  <si>
    <t>GRAN TIERRA ENERGY COLOMBIA GMBH SUCURSAL COLOMBIA</t>
  </si>
  <si>
    <t>CHAZA</t>
  </si>
  <si>
    <t>LA PALOMA</t>
  </si>
  <si>
    <t>MIDAS</t>
  </si>
  <si>
    <t>NANCY-BURDINE-MAXINE</t>
  </si>
  <si>
    <t>SANTANA</t>
  </si>
  <si>
    <t>GRAN TIERRA OPERATIONS COLOMBIA GMBH SUCURSAL</t>
  </si>
  <si>
    <t>PUT 7</t>
  </si>
  <si>
    <t>VMM 2</t>
  </si>
  <si>
    <t>GREEN POWER SUCURSAL COLOMBIA</t>
  </si>
  <si>
    <t>JOROPO</t>
  </si>
  <si>
    <t>HOCOL S.A.</t>
  </si>
  <si>
    <t>ARMERO</t>
  </si>
  <si>
    <t>CICUCO BOQUETE</t>
  </si>
  <si>
    <t>ESPINAL</t>
  </si>
  <si>
    <t>PULI</t>
  </si>
  <si>
    <t>RIO PAEZ</t>
  </si>
  <si>
    <t>SAMAN</t>
  </si>
  <si>
    <t>TOLIMA</t>
  </si>
  <si>
    <t>UPIA</t>
  </si>
  <si>
    <t>HUPECOL ANDES PRODUCTION COMPANY LLC SUCURSAL COLOMBIA</t>
  </si>
  <si>
    <t>LLA 58</t>
  </si>
  <si>
    <t>HUPECOL OPERATING CO LLC</t>
  </si>
  <si>
    <t>CPO 11</t>
  </si>
  <si>
    <t>IBEROAMERICANA DE HIDROCARBUROS ENERGY COLOMBIA S.A.S</t>
  </si>
  <si>
    <t>VALDIVIA-ALMAGRO</t>
  </si>
  <si>
    <t>INTEROIL COLOMBIA EXPLORATION AND PRODUCTION</t>
  </si>
  <si>
    <t>LLA 47</t>
  </si>
  <si>
    <t>INVEPETROL LIMITED COLOMBIA</t>
  </si>
  <si>
    <t>CASANARE ESTE</t>
  </si>
  <si>
    <t>LEWIS ENERGY COLOMBIA INC</t>
  </si>
  <si>
    <t>GUACHIRIA</t>
  </si>
  <si>
    <t>GUACHIRIA SUR</t>
  </si>
  <si>
    <t>MANSAROVAR ENERGY COLOMBIA LTD</t>
  </si>
  <si>
    <t>NEW GRANADA ENERGY CORPORATION SUCURSAL COLOMBIANA</t>
  </si>
  <si>
    <t>DOROTEA</t>
  </si>
  <si>
    <t>LEONA</t>
  </si>
  <si>
    <t>OIRU CORPORATION</t>
  </si>
  <si>
    <t>NASHIRA</t>
  </si>
  <si>
    <t>ONGC VIDESH LIMITED SUCURSAL COLOMBIANA</t>
  </si>
  <si>
    <t>CPO 5</t>
  </si>
  <si>
    <t>PAREX RESOURCES (COLOMBIA) AG SUCURSAL</t>
  </si>
  <si>
    <t>LLA 26</t>
  </si>
  <si>
    <t>LLA 30</t>
  </si>
  <si>
    <t>LLA 40</t>
  </si>
  <si>
    <t>LOS OCARROS</t>
  </si>
  <si>
    <t>VIM 1</t>
  </si>
  <si>
    <t>PERENCO COLOMBIA LIMITED</t>
  </si>
  <si>
    <t>CASANARE</t>
  </si>
  <si>
    <t>GARCERO</t>
  </si>
  <si>
    <t>OROCUE</t>
  </si>
  <si>
    <t>PERENCO OIL AND GAS COLOMBIA LIMITED.</t>
  </si>
  <si>
    <t>LA CUERVA</t>
  </si>
  <si>
    <t>PETROLEOS COLOMBIANOS SA</t>
  </si>
  <si>
    <t>TAPIR</t>
  </si>
  <si>
    <t>PETROLEOS SUD AMERICANOS SUCURSAL COLOMBIA</t>
  </si>
  <si>
    <t>RIO META</t>
  </si>
  <si>
    <t>PETROSANTANDER (COLOMBIA) GMBH</t>
  </si>
  <si>
    <t>CARARE LAS MONAS</t>
  </si>
  <si>
    <t>SAINT AUBIN INTERNATIONAL SAS</t>
  </si>
  <si>
    <t>SAN AGUSTIN ENERGY CORP SUCURSAL COLOMBIA</t>
  </si>
  <si>
    <t>SIERRACOL ENERGY ARAUCA, LLC</t>
  </si>
  <si>
    <t>COSECHA</t>
  </si>
  <si>
    <t>CRAVO NORTE</t>
  </si>
  <si>
    <t>RONDON</t>
  </si>
  <si>
    <t>SUELOPETROL, C.A. SUCURSAL COLOMBIA</t>
  </si>
  <si>
    <t>LLA 61</t>
  </si>
  <si>
    <t>TECPETROL COLOMBIA SAS</t>
  </si>
  <si>
    <t>CPO 13</t>
  </si>
  <si>
    <t>TOC ENERGIA SUCURSAL COLOMBIA</t>
  </si>
  <si>
    <t>JAGUEYES 3432-B</t>
  </si>
  <si>
    <t>TPL COLOMBIA LTD- SUCURSAL COLOMBIA</t>
  </si>
  <si>
    <t>UNION TEMPORAL OMEGA ENERGY</t>
  </si>
  <si>
    <t>BUENAVISTA</t>
  </si>
  <si>
    <t>VERANO ENERGY (SWITZERLAND) AG SUCURSAL</t>
  </si>
  <si>
    <t>CABRESTERO</t>
  </si>
  <si>
    <t>LLA 32</t>
  </si>
  <si>
    <t>PRB</t>
  </si>
  <si>
    <t>PUT 1</t>
  </si>
  <si>
    <t>VONU</t>
  </si>
  <si>
    <t>JORDAN ESTE</t>
  </si>
  <si>
    <t>SIRENAS</t>
  </si>
  <si>
    <t>PASTORA</t>
  </si>
  <si>
    <t>WATTLE PETROLEUM COMPANY S.A.S</t>
  </si>
  <si>
    <t>VMM 1</t>
  </si>
  <si>
    <t>CARAMELO UNIFICADO</t>
  </si>
  <si>
    <t>PS</t>
  </si>
  <si>
    <t>ESPADARTE</t>
  </si>
  <si>
    <t>JORDAN NORTE</t>
  </si>
  <si>
    <t>Cod. Dane Departamento</t>
  </si>
  <si>
    <t>Departamento</t>
  </si>
  <si>
    <t>Cod. Dane Municipio</t>
  </si>
  <si>
    <t>Municipio</t>
  </si>
  <si>
    <t>Operadora</t>
  </si>
  <si>
    <t>Tipo Contrato</t>
  </si>
  <si>
    <t>CONVENIOS DE EXPLORACIÓN Y EXPLOTACIÓN</t>
  </si>
  <si>
    <t>BOYACA</t>
  </si>
  <si>
    <t>PUERTO BOYACA</t>
  </si>
  <si>
    <t>CONTRATOS DE ASOCIACIÓN</t>
  </si>
  <si>
    <t>PAZ DE ARIPORO</t>
  </si>
  <si>
    <t>PUTUMAYO</t>
  </si>
  <si>
    <t>SAN MIGUEL</t>
  </si>
  <si>
    <t>CONVENIOS DE EXPLOTACIÓN</t>
  </si>
  <si>
    <t>CESAR</t>
  </si>
  <si>
    <t>SAN MARTÍN</t>
  </si>
  <si>
    <t>E&amp;P</t>
  </si>
  <si>
    <t>SAN LUIS DE PALENQUE</t>
  </si>
  <si>
    <t>PAREX RESOURCES COLOMBIA LTD. SUCURSAL</t>
  </si>
  <si>
    <t>TRINIDAD</t>
  </si>
  <si>
    <t>SANTANDER</t>
  </si>
  <si>
    <t>SIMACOTA</t>
  </si>
  <si>
    <t>META</t>
  </si>
  <si>
    <t>ACACIAS</t>
  </si>
  <si>
    <t>VILLA NUEVA</t>
  </si>
  <si>
    <t>PIEDRAS</t>
  </si>
  <si>
    <t>INTEROIL COLOMBIA EXPLORATION AND PRODUCTION ANTES MERCANTILE COLOMBIA OIL AND GAS MCOG</t>
  </si>
  <si>
    <t>TAME</t>
  </si>
  <si>
    <t>VILLAVICENCIO</t>
  </si>
  <si>
    <t>ARAUQUITA</t>
  </si>
  <si>
    <t>SIERRACOL ENERGY ARAUCA LLC</t>
  </si>
  <si>
    <t>SARAVENA</t>
  </si>
  <si>
    <t>ANTIOQUIA</t>
  </si>
  <si>
    <t>PUERTO NARE</t>
  </si>
  <si>
    <t>HUILA</t>
  </si>
  <si>
    <t>AIPE</t>
  </si>
  <si>
    <t>SABANA DE TORRES</t>
  </si>
  <si>
    <t>MONTAJES JM S.A.  - EN REORGANIZACION</t>
  </si>
  <si>
    <t>TAURAMENA</t>
  </si>
  <si>
    <t>VILLANUEVA</t>
  </si>
  <si>
    <t>E&amp;E</t>
  </si>
  <si>
    <t>TOPAGA</t>
  </si>
  <si>
    <t>RIONEGRO</t>
  </si>
  <si>
    <t>SUCRE</t>
  </si>
  <si>
    <t>OVEJAS</t>
  </si>
  <si>
    <t>YOPAL</t>
  </si>
  <si>
    <t>COLOMBIA ENERGY DEVELOPMENT CO ANTES HARKEN DE COLOMBIA II LIMITADA SUCURSAL COLOMBIA</t>
  </si>
  <si>
    <t>PUERTO GAITAN</t>
  </si>
  <si>
    <t>NEW GRANADA ENERGY CORPORATION SUCURSAL COLOMBIA</t>
  </si>
  <si>
    <t>MANI</t>
  </si>
  <si>
    <t>MONTERREY</t>
  </si>
  <si>
    <t>CABUYARO</t>
  </si>
  <si>
    <t>LA MACARENA</t>
  </si>
  <si>
    <t>PORE</t>
  </si>
  <si>
    <t>YONDO</t>
  </si>
  <si>
    <t>CASTILLA NUEVA</t>
  </si>
  <si>
    <t>PURIFICACIÓN</t>
  </si>
  <si>
    <t>GUAMAL</t>
  </si>
  <si>
    <t>RIO DE ORO</t>
  </si>
  <si>
    <t>PUERTO ASIS</t>
  </si>
  <si>
    <t>PETROSANTANDER COLOMBIA  GMBH</t>
  </si>
  <si>
    <t>BARRANCA DE UPIA</t>
  </si>
  <si>
    <t>VILLAGARZON</t>
  </si>
  <si>
    <t>AGUAZUL</t>
  </si>
  <si>
    <t>CONVENIOS DE EXPLORACIÓN Y PRODUCCIÓN</t>
  </si>
  <si>
    <t>MAGDALENA</t>
  </si>
  <si>
    <t>ARIGUANI</t>
  </si>
  <si>
    <t>MELGAR</t>
  </si>
  <si>
    <t>NEIVA</t>
  </si>
  <si>
    <t>PUERTO WILCHES</t>
  </si>
  <si>
    <t>PUERTO LOPEZ</t>
  </si>
  <si>
    <t>ANDES OPERATING COMPANY LLC SUCURSAL COLOMBIA</t>
  </si>
  <si>
    <t>CUBARA</t>
  </si>
  <si>
    <t>CAUCA</t>
  </si>
  <si>
    <t>PIAMONTE</t>
  </si>
  <si>
    <t>VALLE DEL GUAMUEZ</t>
  </si>
  <si>
    <t>CHAPARRAL</t>
  </si>
  <si>
    <t>BARRANCABERMEJA</t>
  </si>
  <si>
    <t>PLATO</t>
  </si>
  <si>
    <t>PAICOL</t>
  </si>
  <si>
    <t>TESALIA</t>
  </si>
  <si>
    <t>CIMITARRA</t>
  </si>
  <si>
    <t>SAN VICENTE DE CHUCURI</t>
  </si>
  <si>
    <t>VILLAVIEJA</t>
  </si>
  <si>
    <t>PUERTO CAICEDO</t>
  </si>
  <si>
    <t>AGUACHICA</t>
  </si>
  <si>
    <t>MOCOA</t>
  </si>
  <si>
    <t>HATO COROZAL</t>
  </si>
  <si>
    <t>ARROW EXPLORATION  SUCURSAL COLOMBIA</t>
  </si>
  <si>
    <t>SAN LUIS</t>
  </si>
  <si>
    <t>GRAN TIERRA ENERGY COLOMBIA, LLC</t>
  </si>
  <si>
    <t>NORTE DE SANTANDER</t>
  </si>
  <si>
    <t>CUCUTA</t>
  </si>
  <si>
    <t>SAN ALBERTO</t>
  </si>
  <si>
    <t>Frontera Energy Colombia Corp Sucursal Colombia</t>
  </si>
  <si>
    <t>ALVARADO</t>
  </si>
  <si>
    <t>TPL COLOMBIA LTD - SUCURSAL COLOMBIA ANTES PANATLANTIC COLOMBIA LTD SUCURSAL EN COLOMBIA</t>
  </si>
  <si>
    <t>PROPIEDAD PRIVADA</t>
  </si>
  <si>
    <t>CANTAGALLO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</si>
</sst>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\-??_);_(@_)"/>
  </numFmts>
  <fonts count="11" x14ac:knownFonts="1">
    <font>
      <sz val="11"/>
      <color rgb="FF000000"/>
      <name val="Aptos Narrow"/>
      <family val="2"/>
      <charset val="1"/>
    </font>
    <font>
      <sz val="10"/>
      <name val="Arial"/>
      <family val="2"/>
    </font>
    <font>
      <b/>
      <sz val="9"/>
      <color rgb="FF000000"/>
      <name val="Arial"/>
      <family val="2"/>
      <charset val="1"/>
    </font>
    <font>
      <sz val="9"/>
      <color rgb="FF333333"/>
      <name val="Arial"/>
      <family val="2"/>
      <charset val="1"/>
    </font>
    <font>
      <sz val="9"/>
      <name val="Arial"/>
      <family val="2"/>
      <charset val="1"/>
    </font>
    <font>
      <i/>
      <sz val="9"/>
      <name val="Arial"/>
      <family val="2"/>
    </font>
    <font>
      <sz val="11"/>
      <name val="Calibri"/>
      <family val="2"/>
      <charset val="1"/>
    </font>
    <font>
      <sz val="8"/>
      <color rgb="FF333333"/>
      <name val="Arial"/>
      <family val="2"/>
      <charset val="1"/>
    </font>
    <font>
      <b/>
      <sz val="9"/>
      <name val="Arial"/>
      <family val="2"/>
      <charset val="1"/>
    </font>
    <font>
      <sz val="9"/>
      <name val="Arial"/>
      <family val="2"/>
    </font>
    <font>
      <sz val="10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6" tint="0.79989013336588644"/>
        <bgColor rgb="FFCCFFFF"/>
      </patternFill>
    </fill>
    <fill>
      <patternFill patternType="solid">
        <fgColor rgb="FFBDD7EE"/>
        <bgColor rgb="FFD3D3D3"/>
      </patternFill>
    </fill>
    <fill>
      <patternFill patternType="solid">
        <fgColor rgb="FF70AD47"/>
        <bgColor rgb="FF339966"/>
      </patternFill>
    </fill>
    <fill>
      <patternFill patternType="solid">
        <fgColor rgb="FFFFF2CC"/>
        <bgColor rgb="FFFFFFFF"/>
      </patternFill>
    </fill>
    <fill>
      <patternFill patternType="solid">
        <fgColor theme="4" tint="0.59987182226020086"/>
        <bgColor rgb="FFBDD7EE"/>
      </patternFill>
    </fill>
    <fill>
      <patternFill patternType="solid">
        <fgColor rgb="FFD3D3D3"/>
        <bgColor rgb="FFBDD7EE"/>
      </patternFill>
    </fill>
    <fill>
      <patternFill patternType="solid">
        <fgColor rgb="FFFFFFFF"/>
        <bgColor rgb="FFFFF2CC"/>
      </patternFill>
    </fill>
    <fill>
      <patternFill patternType="solid">
        <fgColor theme="6" tint="0.39988402966399123"/>
        <bgColor rgb="FF339966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D3D3D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rgb="FFD3D3D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 wrapText="1" readingOrder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left" vertical="center" wrapText="1" readingOrder="1"/>
    </xf>
    <xf numFmtId="164" fontId="3" fillId="0" borderId="3" xfId="0" applyNumberFormat="1" applyFont="1" applyBorder="1" applyAlignment="1">
      <alignment horizontal="right" vertical="center" wrapText="1" readingOrder="1"/>
    </xf>
    <xf numFmtId="164" fontId="3" fillId="0" borderId="1" xfId="0" applyNumberFormat="1" applyFont="1" applyBorder="1" applyAlignment="1">
      <alignment horizontal="right" vertical="center" wrapText="1" readingOrder="1"/>
    </xf>
    <xf numFmtId="164" fontId="3" fillId="0" borderId="4" xfId="0" applyNumberFormat="1" applyFont="1" applyBorder="1" applyAlignment="1">
      <alignment horizontal="right" vertical="center" wrapText="1" readingOrder="1"/>
    </xf>
    <xf numFmtId="164" fontId="3" fillId="5" borderId="1" xfId="0" applyNumberFormat="1" applyFont="1" applyFill="1" applyBorder="1" applyAlignment="1">
      <alignment horizontal="left" vertical="center" wrapText="1" readingOrder="1"/>
    </xf>
    <xf numFmtId="164" fontId="3" fillId="5" borderId="4" xfId="0" applyNumberFormat="1" applyFont="1" applyFill="1" applyBorder="1" applyAlignment="1">
      <alignment horizontal="right" vertical="center" wrapText="1" readingOrder="1"/>
    </xf>
    <xf numFmtId="0" fontId="4" fillId="0" borderId="0" xfId="0" applyFont="1"/>
    <xf numFmtId="164" fontId="4" fillId="6" borderId="2" xfId="0" applyNumberFormat="1" applyFont="1" applyFill="1" applyBorder="1"/>
    <xf numFmtId="0" fontId="5" fillId="0" borderId="0" xfId="0" applyFont="1"/>
    <xf numFmtId="0" fontId="6" fillId="0" borderId="0" xfId="0" applyFont="1"/>
    <xf numFmtId="0" fontId="2" fillId="7" borderId="1" xfId="0" applyFont="1" applyFill="1" applyBorder="1" applyAlignment="1">
      <alignment horizontal="left" vertical="center" wrapText="1" readingOrder="1"/>
    </xf>
    <xf numFmtId="0" fontId="2" fillId="7" borderId="1" xfId="0" applyFont="1" applyFill="1" applyBorder="1" applyAlignment="1">
      <alignment horizontal="center" vertical="center" wrapText="1" readingOrder="1"/>
    </xf>
    <xf numFmtId="0" fontId="7" fillId="8" borderId="1" xfId="0" applyFont="1" applyFill="1" applyBorder="1" applyAlignment="1">
      <alignment horizontal="left" vertical="center" wrapText="1" readingOrder="1"/>
    </xf>
    <xf numFmtId="0" fontId="7" fillId="8" borderId="1" xfId="0" applyFont="1" applyFill="1" applyBorder="1" applyAlignment="1">
      <alignment horizontal="right" vertical="center" wrapText="1" readingOrder="1"/>
    </xf>
    <xf numFmtId="164" fontId="7" fillId="8" borderId="1" xfId="0" applyNumberFormat="1" applyFont="1" applyFill="1" applyBorder="1" applyAlignment="1">
      <alignment horizontal="right" vertical="center" wrapText="1" readingOrder="1"/>
    </xf>
    <xf numFmtId="164" fontId="6" fillId="0" borderId="0" xfId="0" applyNumberFormat="1" applyFont="1"/>
    <xf numFmtId="0" fontId="8" fillId="9" borderId="2" xfId="0" applyFont="1" applyFill="1" applyBorder="1" applyAlignment="1">
      <alignment horizontal="center" vertical="center" wrapText="1"/>
    </xf>
    <xf numFmtId="0" fontId="9" fillId="0" borderId="2" xfId="0" applyFont="1" applyBorder="1"/>
    <xf numFmtId="0" fontId="9" fillId="0" borderId="0" xfId="0" applyFont="1"/>
    <xf numFmtId="0" fontId="6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3D3D3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2F1C8"/>
      <rgbColor rgb="FFFFFF99"/>
      <rgbColor rgb="FF83CBEB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P395"/>
  <sheetViews>
    <sheetView tabSelected="1" topLeftCell="AS1" zoomScale="110" zoomScaleNormal="110" workbookViewId="0">
      <selection activeCell="G5" sqref="G5"/>
    </sheetView>
  </sheetViews>
  <sheetFormatPr baseColWidth="10" defaultColWidth="8.5" defaultRowHeight="15" x14ac:dyDescent="0.2"/>
  <cols>
    <col min="2" max="4" width="13" customWidth="1"/>
    <col min="5" max="5" width="40" customWidth="1"/>
    <col min="6" max="6" width="28" customWidth="1"/>
    <col min="7" max="7" width="29.83203125" customWidth="1"/>
    <col min="8" max="8" width="14.6640625" customWidth="1"/>
    <col min="9" max="9" width="13" customWidth="1"/>
    <col min="10" max="11" width="14.6640625" customWidth="1"/>
    <col min="12" max="12" width="13" customWidth="1"/>
    <col min="13" max="14" width="14.6640625" customWidth="1"/>
    <col min="15" max="15" width="13" customWidth="1"/>
    <col min="16" max="17" width="14.6640625" customWidth="1"/>
    <col min="18" max="18" width="13" customWidth="1"/>
    <col min="19" max="20" width="14.6640625" customWidth="1"/>
    <col min="21" max="21" width="13" customWidth="1"/>
    <col min="22" max="23" width="14.6640625" customWidth="1"/>
    <col min="24" max="24" width="13" customWidth="1"/>
    <col min="25" max="26" width="14.6640625" customWidth="1"/>
    <col min="27" max="28" width="13" customWidth="1"/>
    <col min="29" max="29" width="14.6640625" customWidth="1"/>
    <col min="30" max="30" width="13" customWidth="1"/>
    <col min="31" max="31" width="13.5" customWidth="1"/>
    <col min="32" max="32" width="14.6640625" customWidth="1"/>
    <col min="33" max="33" width="13" customWidth="1"/>
    <col min="34" max="34" width="13.5" customWidth="1"/>
    <col min="35" max="35" width="14.6640625" customWidth="1"/>
    <col min="36" max="36" width="13" customWidth="1"/>
    <col min="37" max="37" width="13.5" customWidth="1"/>
    <col min="38" max="38" width="14.6640625" customWidth="1"/>
    <col min="39" max="39" width="13" customWidth="1"/>
    <col min="40" max="40" width="13.5" customWidth="1"/>
    <col min="41" max="41" width="14.6640625" customWidth="1"/>
    <col min="42" max="42" width="13" customWidth="1"/>
    <col min="43" max="43" width="13.5" customWidth="1"/>
    <col min="44" max="44" width="14.6640625" customWidth="1"/>
    <col min="45" max="45" width="13" customWidth="1"/>
    <col min="46" max="46" width="13.5" customWidth="1"/>
    <col min="47" max="47" width="14.6640625" customWidth="1"/>
    <col min="48" max="48" width="13" customWidth="1"/>
    <col min="49" max="49" width="13.5" customWidth="1"/>
    <col min="50" max="50" width="14.6640625" customWidth="1"/>
    <col min="51" max="51" width="13" customWidth="1"/>
    <col min="52" max="52" width="13.5" customWidth="1"/>
    <col min="53" max="53" width="14.6640625" customWidth="1"/>
    <col min="54" max="54" width="13" customWidth="1"/>
    <col min="55" max="55" width="13.5" customWidth="1"/>
    <col min="56" max="56" width="14.6640625" customWidth="1"/>
    <col min="57" max="57" width="13" customWidth="1"/>
    <col min="58" max="58" width="13.5" customWidth="1"/>
    <col min="59" max="59" width="14.6640625" customWidth="1"/>
    <col min="60" max="60" width="13" customWidth="1"/>
    <col min="61" max="61" width="13.5" customWidth="1"/>
    <col min="62" max="62" width="14.6640625" customWidth="1"/>
    <col min="63" max="63" width="13" customWidth="1"/>
    <col min="64" max="64" width="13.5" customWidth="1"/>
    <col min="65" max="65" width="14.6640625" customWidth="1"/>
    <col min="66" max="66" width="13" customWidth="1"/>
    <col min="67" max="67" width="13.5" customWidth="1"/>
    <col min="68" max="68" width="14.6640625" customWidth="1"/>
    <col min="69" max="69" width="13" customWidth="1"/>
    <col min="70" max="70" width="13.5" customWidth="1"/>
    <col min="71" max="71" width="14.6640625" customWidth="1"/>
    <col min="72" max="72" width="13" customWidth="1"/>
    <col min="73" max="73" width="13.5" customWidth="1"/>
    <col min="74" max="74" width="14.6640625" customWidth="1"/>
    <col min="75" max="75" width="13" customWidth="1"/>
    <col min="76" max="76" width="13.5" customWidth="1"/>
    <col min="77" max="77" width="14.6640625" customWidth="1"/>
    <col min="78" max="78" width="13" customWidth="1"/>
    <col min="79" max="79" width="13.5" customWidth="1"/>
    <col min="80" max="80" width="14.6640625" customWidth="1"/>
    <col min="81" max="81" width="13" customWidth="1"/>
    <col min="82" max="82" width="13.5" customWidth="1"/>
    <col min="83" max="83" width="14.6640625" customWidth="1"/>
    <col min="84" max="84" width="13" customWidth="1"/>
    <col min="85" max="85" width="13.5" customWidth="1"/>
    <col min="86" max="86" width="14.6640625" customWidth="1"/>
    <col min="87" max="87" width="13" customWidth="1"/>
    <col min="88" max="88" width="13.5" customWidth="1"/>
    <col min="89" max="89" width="14.6640625" customWidth="1"/>
    <col min="90" max="90" width="13" customWidth="1"/>
    <col min="91" max="91" width="13.5" customWidth="1"/>
    <col min="92" max="92" width="14.6640625" customWidth="1"/>
    <col min="93" max="93" width="13" customWidth="1"/>
    <col min="94" max="94" width="13.5" customWidth="1"/>
    <col min="95" max="95" width="14.6640625" customWidth="1"/>
    <col min="96" max="96" width="13" customWidth="1"/>
    <col min="97" max="97" width="13.5" customWidth="1"/>
    <col min="98" max="98" width="14.6640625" customWidth="1"/>
    <col min="99" max="99" width="13" customWidth="1"/>
    <col min="100" max="100" width="13.5" customWidth="1"/>
    <col min="101" max="101" width="14.6640625" customWidth="1"/>
    <col min="102" max="102" width="13" customWidth="1"/>
    <col min="103" max="103" width="13.5" customWidth="1"/>
    <col min="104" max="104" width="14.6640625" customWidth="1"/>
    <col min="105" max="105" width="13" customWidth="1"/>
    <col min="106" max="106" width="13.5" customWidth="1"/>
    <col min="107" max="107" width="14.6640625" customWidth="1"/>
    <col min="108" max="108" width="13" customWidth="1"/>
    <col min="109" max="109" width="13.5" customWidth="1"/>
    <col min="110" max="110" width="14.6640625" customWidth="1"/>
    <col min="111" max="111" width="13" customWidth="1"/>
    <col min="112" max="112" width="13.5" customWidth="1"/>
    <col min="113" max="113" width="14.6640625" customWidth="1"/>
    <col min="114" max="114" width="13" customWidth="1"/>
    <col min="115" max="115" width="13.5" customWidth="1"/>
    <col min="116" max="116" width="14.6640625" customWidth="1"/>
    <col min="117" max="117" width="13" customWidth="1"/>
    <col min="118" max="118" width="13.5" customWidth="1"/>
    <col min="119" max="119" width="14.6640625" customWidth="1"/>
    <col min="120" max="120" width="13" customWidth="1"/>
  </cols>
  <sheetData>
    <row r="1" spans="1:120" ht="51" customHeight="1" x14ac:dyDescent="0.2">
      <c r="A1" s="20" t="s">
        <v>653</v>
      </c>
      <c r="B1" s="20" t="s">
        <v>654</v>
      </c>
      <c r="C1" s="20" t="s">
        <v>655</v>
      </c>
      <c r="D1" s="20" t="s">
        <v>656</v>
      </c>
      <c r="E1" s="20" t="s">
        <v>657</v>
      </c>
      <c r="F1" s="20" t="s">
        <v>658</v>
      </c>
      <c r="G1" s="1" t="s">
        <v>0</v>
      </c>
      <c r="H1" s="2" t="s">
        <v>1</v>
      </c>
      <c r="I1" s="2" t="s">
        <v>2</v>
      </c>
      <c r="J1" s="3" t="s">
        <v>3</v>
      </c>
      <c r="K1" s="2" t="s">
        <v>4</v>
      </c>
      <c r="L1" s="2" t="s">
        <v>5</v>
      </c>
      <c r="M1" s="3" t="s">
        <v>6</v>
      </c>
      <c r="N1" s="2" t="s">
        <v>7</v>
      </c>
      <c r="O1" s="2" t="s">
        <v>8</v>
      </c>
      <c r="P1" s="3" t="s">
        <v>9</v>
      </c>
      <c r="Q1" s="2" t="s">
        <v>10</v>
      </c>
      <c r="R1" s="2" t="s">
        <v>11</v>
      </c>
      <c r="S1" s="3" t="s">
        <v>12</v>
      </c>
      <c r="T1" s="2" t="s">
        <v>13</v>
      </c>
      <c r="U1" s="2" t="s">
        <v>14</v>
      </c>
      <c r="V1" s="3" t="s">
        <v>15</v>
      </c>
      <c r="W1" s="2" t="s">
        <v>16</v>
      </c>
      <c r="X1" s="2" t="s">
        <v>17</v>
      </c>
      <c r="Y1" s="3" t="s">
        <v>18</v>
      </c>
      <c r="Z1" s="2" t="s">
        <v>19</v>
      </c>
      <c r="AA1" s="2" t="s">
        <v>20</v>
      </c>
      <c r="AB1" s="3" t="s">
        <v>21</v>
      </c>
      <c r="AC1" s="2" t="s">
        <v>22</v>
      </c>
      <c r="AD1" s="2" t="s">
        <v>23</v>
      </c>
      <c r="AE1" s="3" t="s">
        <v>24</v>
      </c>
      <c r="AF1" s="2" t="s">
        <v>25</v>
      </c>
      <c r="AG1" s="2" t="s">
        <v>26</v>
      </c>
      <c r="AH1" s="3" t="s">
        <v>27</v>
      </c>
      <c r="AI1" s="2" t="s">
        <v>28</v>
      </c>
      <c r="AJ1" s="2" t="s">
        <v>29</v>
      </c>
      <c r="AK1" s="3" t="s">
        <v>30</v>
      </c>
      <c r="AL1" s="2" t="s">
        <v>31</v>
      </c>
      <c r="AM1" s="2" t="s">
        <v>32</v>
      </c>
      <c r="AN1" s="3" t="s">
        <v>33</v>
      </c>
      <c r="AO1" s="2" t="s">
        <v>34</v>
      </c>
      <c r="AP1" s="2" t="s">
        <v>35</v>
      </c>
      <c r="AQ1" s="3" t="s">
        <v>36</v>
      </c>
      <c r="AR1" s="2" t="s">
        <v>37</v>
      </c>
      <c r="AS1" s="2" t="s">
        <v>38</v>
      </c>
      <c r="AT1" s="3" t="s">
        <v>39</v>
      </c>
      <c r="AU1" s="2" t="s">
        <v>40</v>
      </c>
      <c r="AV1" s="2" t="s">
        <v>41</v>
      </c>
      <c r="AW1" s="3" t="s">
        <v>42</v>
      </c>
      <c r="AX1" s="2" t="s">
        <v>43</v>
      </c>
      <c r="AY1" s="2" t="s">
        <v>44</v>
      </c>
      <c r="AZ1" s="3" t="s">
        <v>45</v>
      </c>
      <c r="BA1" s="2" t="s">
        <v>46</v>
      </c>
      <c r="BB1" s="2" t="s">
        <v>47</v>
      </c>
      <c r="BC1" s="3" t="s">
        <v>48</v>
      </c>
      <c r="BD1" s="2" t="s">
        <v>49</v>
      </c>
      <c r="BE1" s="2" t="s">
        <v>50</v>
      </c>
      <c r="BF1" s="3" t="s">
        <v>51</v>
      </c>
      <c r="BG1" s="2" t="s">
        <v>52</v>
      </c>
      <c r="BH1" s="2" t="s">
        <v>53</v>
      </c>
      <c r="BI1" s="3" t="s">
        <v>54</v>
      </c>
      <c r="BJ1" s="2" t="s">
        <v>55</v>
      </c>
      <c r="BK1" s="2" t="s">
        <v>56</v>
      </c>
      <c r="BL1" s="3" t="s">
        <v>57</v>
      </c>
      <c r="BM1" s="2" t="s">
        <v>58</v>
      </c>
      <c r="BN1" s="2" t="s">
        <v>59</v>
      </c>
      <c r="BO1" s="3" t="s">
        <v>60</v>
      </c>
      <c r="BP1" s="2" t="s">
        <v>61</v>
      </c>
      <c r="BQ1" s="2" t="s">
        <v>62</v>
      </c>
      <c r="BR1" s="3" t="s">
        <v>63</v>
      </c>
      <c r="BS1" s="2" t="s">
        <v>64</v>
      </c>
      <c r="BT1" s="2" t="s">
        <v>65</v>
      </c>
      <c r="BU1" s="3" t="s">
        <v>66</v>
      </c>
      <c r="BV1" s="2" t="s">
        <v>67</v>
      </c>
      <c r="BW1" s="2" t="s">
        <v>68</v>
      </c>
      <c r="BX1" s="3" t="s">
        <v>69</v>
      </c>
      <c r="BY1" s="2" t="s">
        <v>70</v>
      </c>
      <c r="BZ1" s="2" t="s">
        <v>71</v>
      </c>
      <c r="CA1" s="3" t="s">
        <v>72</v>
      </c>
      <c r="CB1" s="2" t="s">
        <v>73</v>
      </c>
      <c r="CC1" s="2" t="s">
        <v>74</v>
      </c>
      <c r="CD1" s="3" t="s">
        <v>75</v>
      </c>
      <c r="CE1" s="2" t="s">
        <v>76</v>
      </c>
      <c r="CF1" s="2" t="s">
        <v>77</v>
      </c>
      <c r="CG1" s="3" t="s">
        <v>78</v>
      </c>
      <c r="CH1" s="2" t="s">
        <v>79</v>
      </c>
      <c r="CI1" s="2" t="s">
        <v>80</v>
      </c>
      <c r="CJ1" s="3" t="s">
        <v>81</v>
      </c>
      <c r="CK1" s="2" t="s">
        <v>82</v>
      </c>
      <c r="CL1" s="2" t="s">
        <v>83</v>
      </c>
      <c r="CM1" s="3" t="s">
        <v>84</v>
      </c>
      <c r="CN1" s="2" t="s">
        <v>85</v>
      </c>
      <c r="CO1" s="2" t="s">
        <v>86</v>
      </c>
      <c r="CP1" s="3" t="s">
        <v>87</v>
      </c>
      <c r="CQ1" s="2" t="s">
        <v>88</v>
      </c>
      <c r="CR1" s="2" t="s">
        <v>89</v>
      </c>
      <c r="CS1" s="3" t="s">
        <v>90</v>
      </c>
      <c r="CT1" s="2" t="s">
        <v>91</v>
      </c>
      <c r="CU1" s="2" t="s">
        <v>92</v>
      </c>
      <c r="CV1" s="3" t="s">
        <v>93</v>
      </c>
      <c r="CW1" s="2" t="s">
        <v>94</v>
      </c>
      <c r="CX1" s="2" t="s">
        <v>95</v>
      </c>
      <c r="CY1" s="3" t="s">
        <v>96</v>
      </c>
      <c r="CZ1" s="2" t="s">
        <v>97</v>
      </c>
      <c r="DA1" s="2" t="s">
        <v>98</v>
      </c>
      <c r="DB1" s="3" t="s">
        <v>99</v>
      </c>
      <c r="DC1" s="2" t="s">
        <v>100</v>
      </c>
      <c r="DD1" s="2" t="s">
        <v>101</v>
      </c>
      <c r="DE1" s="3" t="s">
        <v>102</v>
      </c>
      <c r="DF1" s="2" t="s">
        <v>103</v>
      </c>
      <c r="DG1" s="2" t="s">
        <v>104</v>
      </c>
      <c r="DH1" s="3" t="s">
        <v>105</v>
      </c>
      <c r="DI1" s="2" t="s">
        <v>106</v>
      </c>
      <c r="DJ1" s="2" t="s">
        <v>107</v>
      </c>
      <c r="DK1" s="3" t="s">
        <v>108</v>
      </c>
      <c r="DL1" s="2" t="s">
        <v>109</v>
      </c>
      <c r="DM1" s="2" t="s">
        <v>110</v>
      </c>
      <c r="DN1" s="3" t="s">
        <v>111</v>
      </c>
      <c r="DO1" s="2" t="s">
        <v>112</v>
      </c>
      <c r="DP1" s="2" t="s">
        <v>113</v>
      </c>
    </row>
    <row r="2" spans="1:120" x14ac:dyDescent="0.2">
      <c r="A2" s="21">
        <v>73</v>
      </c>
      <c r="B2" s="21" t="s">
        <v>582</v>
      </c>
      <c r="C2" s="21">
        <v>73268</v>
      </c>
      <c r="D2" s="21" t="s">
        <v>578</v>
      </c>
      <c r="E2" s="21" t="s">
        <v>522</v>
      </c>
      <c r="F2" s="22" t="s">
        <v>659</v>
      </c>
      <c r="G2" s="4" t="s">
        <v>114</v>
      </c>
      <c r="H2" s="5">
        <v>113690.51</v>
      </c>
      <c r="I2" s="5">
        <f t="shared" ref="I2:I33" si="0">H2/365</f>
        <v>311.4808493150685</v>
      </c>
      <c r="J2" s="5">
        <v>120400</v>
      </c>
      <c r="K2" s="5">
        <v>114325.18</v>
      </c>
      <c r="L2" s="5">
        <f t="shared" ref="L2:L42" si="1">K2/366</f>
        <v>312.36387978142074</v>
      </c>
      <c r="M2" s="5">
        <v>102732</v>
      </c>
      <c r="N2" s="5">
        <v>112519.81</v>
      </c>
      <c r="O2" s="5">
        <f t="shared" ref="O2:O7" si="2">N2/365</f>
        <v>308.27345205479452</v>
      </c>
      <c r="P2" s="5">
        <v>86088</v>
      </c>
      <c r="Q2" s="5">
        <v>58494.03</v>
      </c>
      <c r="R2" s="5">
        <f>Q2/181</f>
        <v>323.1714364640884</v>
      </c>
      <c r="S2" s="5">
        <v>72293</v>
      </c>
      <c r="T2" s="5">
        <f t="shared" ref="T2:T65" si="3">S2</f>
        <v>72293</v>
      </c>
      <c r="U2" s="5">
        <f t="shared" ref="U2:U65" si="4">T2/365</f>
        <v>198.06301369863013</v>
      </c>
      <c r="V2" s="5">
        <v>61021</v>
      </c>
      <c r="W2" s="5">
        <f t="shared" ref="W2:W65" si="5">V2</f>
        <v>61021</v>
      </c>
      <c r="X2" s="5">
        <f t="shared" ref="X2:X65" si="6">W2/365</f>
        <v>167.18082191780823</v>
      </c>
      <c r="Y2" s="5">
        <v>50900</v>
      </c>
      <c r="Z2" s="5">
        <f t="shared" ref="Z2:Z65" si="7">Y2</f>
        <v>50900</v>
      </c>
      <c r="AA2" s="5">
        <f t="shared" ref="AA2:AA65" si="8">Z2/365</f>
        <v>139.45205479452054</v>
      </c>
      <c r="AB2" s="5">
        <v>41973</v>
      </c>
      <c r="AC2" s="5">
        <f t="shared" ref="AC2:AC65" si="9">AB2</f>
        <v>41973</v>
      </c>
      <c r="AD2" s="5">
        <f t="shared" ref="AD2:AD65" si="10">AC2/365</f>
        <v>114.9945205479452</v>
      </c>
      <c r="AE2" s="5">
        <v>35673</v>
      </c>
      <c r="AF2" s="5">
        <f t="shared" ref="AF2:AF65" si="11">AE2</f>
        <v>35673</v>
      </c>
      <c r="AG2" s="5">
        <f t="shared" ref="AG2:AG65" si="12">AF2/365</f>
        <v>97.734246575342468</v>
      </c>
      <c r="AH2" s="5">
        <v>20514</v>
      </c>
      <c r="AI2" s="5">
        <f t="shared" ref="AI2:AI65" si="13">AH2</f>
        <v>20514</v>
      </c>
      <c r="AJ2" s="5">
        <f t="shared" ref="AJ2:AJ65" si="14">AI2/365</f>
        <v>56.202739726027396</v>
      </c>
      <c r="AK2" s="5">
        <v>0</v>
      </c>
      <c r="AL2" s="5">
        <f t="shared" ref="AL2:AL65" si="15">AK2</f>
        <v>0</v>
      </c>
      <c r="AM2" s="5">
        <f t="shared" ref="AM2:AM65" si="16">AL2/365</f>
        <v>0</v>
      </c>
      <c r="AN2" s="5">
        <v>0</v>
      </c>
      <c r="AO2" s="5">
        <f t="shared" ref="AO2:AO65" si="17">AN2</f>
        <v>0</v>
      </c>
      <c r="AP2" s="5">
        <f t="shared" ref="AP2:AP65" si="18">AO2/365</f>
        <v>0</v>
      </c>
      <c r="AQ2" s="5">
        <v>0</v>
      </c>
      <c r="AR2" s="5">
        <f t="shared" ref="AR2:AR65" si="19">AQ2</f>
        <v>0</v>
      </c>
      <c r="AS2" s="5">
        <f t="shared" ref="AS2:AS65" si="20">AR2/365</f>
        <v>0</v>
      </c>
      <c r="AT2" s="5">
        <v>0</v>
      </c>
      <c r="AU2" s="5">
        <f t="shared" ref="AU2:AU65" si="21">AT2</f>
        <v>0</v>
      </c>
      <c r="AV2" s="5">
        <f t="shared" ref="AV2:AV65" si="22">AU2/365</f>
        <v>0</v>
      </c>
      <c r="AW2" s="5">
        <v>0</v>
      </c>
      <c r="AX2" s="5">
        <f t="shared" ref="AX2:AX65" si="23">AW2</f>
        <v>0</v>
      </c>
      <c r="AY2" s="5">
        <f t="shared" ref="AY2:AY65" si="24">AX2/365</f>
        <v>0</v>
      </c>
      <c r="AZ2" s="5">
        <v>0</v>
      </c>
      <c r="BA2" s="5">
        <f t="shared" ref="BA2:BA65" si="25">AZ2</f>
        <v>0</v>
      </c>
      <c r="BB2" s="5">
        <f t="shared" ref="BB2:BB65" si="26">BA2/365</f>
        <v>0</v>
      </c>
      <c r="BC2" s="5">
        <v>0</v>
      </c>
      <c r="BD2" s="5">
        <f t="shared" ref="BD2:BD65" si="27">BC2</f>
        <v>0</v>
      </c>
      <c r="BE2" s="5">
        <f t="shared" ref="BE2:BE65" si="28">BD2/365</f>
        <v>0</v>
      </c>
      <c r="BF2" s="5">
        <v>0</v>
      </c>
      <c r="BG2" s="5">
        <f t="shared" ref="BG2:BG65" si="29">BF2</f>
        <v>0</v>
      </c>
      <c r="BH2" s="5">
        <f t="shared" ref="BH2:BH65" si="30">BG2/365</f>
        <v>0</v>
      </c>
      <c r="BI2" s="5">
        <v>0</v>
      </c>
      <c r="BJ2" s="5">
        <f t="shared" ref="BJ2:BJ65" si="31">BI2</f>
        <v>0</v>
      </c>
      <c r="BK2" s="5">
        <f t="shared" ref="BK2:BK65" si="32">BJ2/365</f>
        <v>0</v>
      </c>
      <c r="BL2" s="5">
        <v>0</v>
      </c>
      <c r="BM2" s="5">
        <f t="shared" ref="BM2:BM65" si="33">BL2</f>
        <v>0</v>
      </c>
      <c r="BN2" s="5">
        <f t="shared" ref="BN2:BN65" si="34">BM2/365</f>
        <v>0</v>
      </c>
      <c r="BO2" s="5">
        <v>0</v>
      </c>
      <c r="BP2" s="5">
        <f t="shared" ref="BP2:BP65" si="35">BO2</f>
        <v>0</v>
      </c>
      <c r="BQ2" s="5">
        <f t="shared" ref="BQ2:BQ65" si="36">BP2/365</f>
        <v>0</v>
      </c>
      <c r="BR2" s="5">
        <v>0</v>
      </c>
      <c r="BS2" s="5">
        <f t="shared" ref="BS2:BS65" si="37">BR2</f>
        <v>0</v>
      </c>
      <c r="BT2" s="5">
        <f t="shared" ref="BT2:BT65" si="38">BS2/365</f>
        <v>0</v>
      </c>
      <c r="BU2" s="5">
        <v>0</v>
      </c>
      <c r="BV2" s="5">
        <f t="shared" ref="BV2:BV65" si="39">BU2</f>
        <v>0</v>
      </c>
      <c r="BW2" s="5">
        <f t="shared" ref="BW2:BW65" si="40">BV2/365</f>
        <v>0</v>
      </c>
      <c r="BX2" s="5">
        <v>0</v>
      </c>
      <c r="BY2" s="5">
        <f t="shared" ref="BY2:BY65" si="41">BX2</f>
        <v>0</v>
      </c>
      <c r="BZ2" s="5">
        <f t="shared" ref="BZ2:BZ65" si="42">BY2/365</f>
        <v>0</v>
      </c>
      <c r="CA2" s="5">
        <v>0</v>
      </c>
      <c r="CB2" s="5">
        <f t="shared" ref="CB2:CB65" si="43">CA2</f>
        <v>0</v>
      </c>
      <c r="CC2" s="5">
        <f t="shared" ref="CC2:CC65" si="44">CB2/365</f>
        <v>0</v>
      </c>
      <c r="CD2" s="5">
        <v>0</v>
      </c>
      <c r="CE2" s="5">
        <f t="shared" ref="CE2:CE65" si="45">CD2</f>
        <v>0</v>
      </c>
      <c r="CF2" s="5">
        <f t="shared" ref="CF2:CF65" si="46">CE2/365</f>
        <v>0</v>
      </c>
      <c r="CG2" s="5">
        <v>0</v>
      </c>
      <c r="CH2" s="5">
        <f t="shared" ref="CH2:CH65" si="47">CG2</f>
        <v>0</v>
      </c>
      <c r="CI2" s="5">
        <f t="shared" ref="CI2:CI65" si="48">CH2/365</f>
        <v>0</v>
      </c>
      <c r="CJ2" s="5">
        <v>0</v>
      </c>
      <c r="CK2" s="5">
        <f t="shared" ref="CK2:CK65" si="49">CJ2</f>
        <v>0</v>
      </c>
      <c r="CL2" s="5">
        <f t="shared" ref="CL2:CL65" si="50">CK2/365</f>
        <v>0</v>
      </c>
      <c r="CM2" s="5">
        <v>0</v>
      </c>
      <c r="CN2" s="5">
        <f t="shared" ref="CN2:CN65" si="51">CM2</f>
        <v>0</v>
      </c>
      <c r="CO2" s="5">
        <f t="shared" ref="CO2:CO65" si="52">CN2/365</f>
        <v>0</v>
      </c>
      <c r="CP2" s="5">
        <v>0</v>
      </c>
      <c r="CQ2" s="5">
        <f t="shared" ref="CQ2:CQ65" si="53">CP2</f>
        <v>0</v>
      </c>
      <c r="CR2" s="5">
        <f t="shared" ref="CR2:CR65" si="54">CQ2/365</f>
        <v>0</v>
      </c>
      <c r="CS2" s="5">
        <v>0</v>
      </c>
      <c r="CT2" s="5">
        <f t="shared" ref="CT2:CT65" si="55">CS2</f>
        <v>0</v>
      </c>
      <c r="CU2" s="5">
        <f t="shared" ref="CU2:CU65" si="56">CT2/365</f>
        <v>0</v>
      </c>
      <c r="CV2" s="5">
        <v>0</v>
      </c>
      <c r="CW2" s="5">
        <f t="shared" ref="CW2:CW65" si="57">CV2</f>
        <v>0</v>
      </c>
      <c r="CX2" s="5">
        <f t="shared" ref="CX2:CX65" si="58">CW2/365</f>
        <v>0</v>
      </c>
      <c r="CY2" s="5">
        <v>0</v>
      </c>
      <c r="CZ2" s="5">
        <f t="shared" ref="CZ2:CZ65" si="59">CY2</f>
        <v>0</v>
      </c>
      <c r="DA2" s="5">
        <f t="shared" ref="DA2:DA65" si="60">CZ2/365</f>
        <v>0</v>
      </c>
      <c r="DB2" s="5">
        <v>0</v>
      </c>
      <c r="DC2" s="5">
        <f t="shared" ref="DC2:DC65" si="61">DB2</f>
        <v>0</v>
      </c>
      <c r="DD2" s="5">
        <f t="shared" ref="DD2:DD65" si="62">DC2/365</f>
        <v>0</v>
      </c>
      <c r="DE2" s="5">
        <v>0</v>
      </c>
      <c r="DF2" s="5">
        <f t="shared" ref="DF2:DF65" si="63">DE2</f>
        <v>0</v>
      </c>
      <c r="DG2" s="5">
        <f t="shared" ref="DG2:DG65" si="64">DF2/365</f>
        <v>0</v>
      </c>
      <c r="DH2" s="5">
        <v>0</v>
      </c>
      <c r="DI2" s="5">
        <f t="shared" ref="DI2:DI65" si="65">DH2</f>
        <v>0</v>
      </c>
      <c r="DJ2" s="5">
        <f t="shared" ref="DJ2:DJ65" si="66">DI2/365</f>
        <v>0</v>
      </c>
      <c r="DK2" s="5">
        <v>0</v>
      </c>
      <c r="DL2" s="5">
        <f t="shared" ref="DL2:DL65" si="67">DK2</f>
        <v>0</v>
      </c>
      <c r="DM2" s="5">
        <f t="shared" ref="DM2:DM65" si="68">DL2/365</f>
        <v>0</v>
      </c>
      <c r="DN2" s="5">
        <v>0</v>
      </c>
      <c r="DO2" s="5">
        <f t="shared" ref="DO2:DO65" si="69">DN2</f>
        <v>0</v>
      </c>
      <c r="DP2" s="5">
        <f t="shared" ref="DP2:DP65" si="70">DO2/365</f>
        <v>0</v>
      </c>
    </row>
    <row r="3" spans="1:120" x14ac:dyDescent="0.2">
      <c r="A3" s="21">
        <v>15</v>
      </c>
      <c r="B3" s="21" t="s">
        <v>660</v>
      </c>
      <c r="C3" s="21">
        <v>15572</v>
      </c>
      <c r="D3" s="21" t="s">
        <v>661</v>
      </c>
      <c r="E3" s="21" t="s">
        <v>522</v>
      </c>
      <c r="F3" s="22" t="s">
        <v>662</v>
      </c>
      <c r="G3" s="4" t="s">
        <v>115</v>
      </c>
      <c r="H3" s="6">
        <v>683808.29</v>
      </c>
      <c r="I3" s="6">
        <f t="shared" si="0"/>
        <v>1873.4473698630138</v>
      </c>
      <c r="J3" s="6">
        <v>617742</v>
      </c>
      <c r="K3" s="6">
        <v>687346.29</v>
      </c>
      <c r="L3" s="6">
        <f t="shared" si="1"/>
        <v>1877.9953278688527</v>
      </c>
      <c r="M3" s="6">
        <v>515926</v>
      </c>
      <c r="N3" s="6">
        <v>425830.27</v>
      </c>
      <c r="O3" s="6">
        <f t="shared" si="2"/>
        <v>1166.6582739726027</v>
      </c>
      <c r="P3" s="6">
        <v>431038</v>
      </c>
      <c r="Q3" s="6"/>
      <c r="R3" s="6"/>
      <c r="S3" s="6">
        <v>357813</v>
      </c>
      <c r="T3" s="6">
        <f t="shared" si="3"/>
        <v>357813</v>
      </c>
      <c r="U3" s="6">
        <f t="shared" si="4"/>
        <v>980.30958904109593</v>
      </c>
      <c r="V3" s="6">
        <v>298380</v>
      </c>
      <c r="W3" s="6">
        <f t="shared" si="5"/>
        <v>298380</v>
      </c>
      <c r="X3" s="6">
        <f t="shared" si="6"/>
        <v>817.47945205479448</v>
      </c>
      <c r="Y3" s="6">
        <v>245424</v>
      </c>
      <c r="Z3" s="6">
        <f t="shared" si="7"/>
        <v>245424</v>
      </c>
      <c r="AA3" s="6">
        <f t="shared" si="8"/>
        <v>672.39452054794515</v>
      </c>
      <c r="AB3" s="6">
        <v>0</v>
      </c>
      <c r="AC3" s="6">
        <f t="shared" si="9"/>
        <v>0</v>
      </c>
      <c r="AD3" s="6">
        <f t="shared" si="10"/>
        <v>0</v>
      </c>
      <c r="AE3" s="6">
        <v>0</v>
      </c>
      <c r="AF3" s="6">
        <f t="shared" si="11"/>
        <v>0</v>
      </c>
      <c r="AG3" s="6">
        <f t="shared" si="12"/>
        <v>0</v>
      </c>
      <c r="AH3" s="6">
        <v>0</v>
      </c>
      <c r="AI3" s="6">
        <f t="shared" si="13"/>
        <v>0</v>
      </c>
      <c r="AJ3" s="6">
        <f t="shared" si="14"/>
        <v>0</v>
      </c>
      <c r="AK3" s="6">
        <v>0</v>
      </c>
      <c r="AL3" s="6">
        <f t="shared" si="15"/>
        <v>0</v>
      </c>
      <c r="AM3" s="6">
        <f t="shared" si="16"/>
        <v>0</v>
      </c>
      <c r="AN3" s="6">
        <v>0</v>
      </c>
      <c r="AO3" s="6">
        <f t="shared" si="17"/>
        <v>0</v>
      </c>
      <c r="AP3" s="6">
        <f t="shared" si="18"/>
        <v>0</v>
      </c>
      <c r="AQ3" s="6">
        <v>0</v>
      </c>
      <c r="AR3" s="6">
        <f t="shared" si="19"/>
        <v>0</v>
      </c>
      <c r="AS3" s="6">
        <f t="shared" si="20"/>
        <v>0</v>
      </c>
      <c r="AT3" s="6">
        <v>0</v>
      </c>
      <c r="AU3" s="6">
        <f t="shared" si="21"/>
        <v>0</v>
      </c>
      <c r="AV3" s="6">
        <f t="shared" si="22"/>
        <v>0</v>
      </c>
      <c r="AW3" s="6">
        <v>0</v>
      </c>
      <c r="AX3" s="6">
        <f t="shared" si="23"/>
        <v>0</v>
      </c>
      <c r="AY3" s="6">
        <f t="shared" si="24"/>
        <v>0</v>
      </c>
      <c r="AZ3" s="6">
        <v>0</v>
      </c>
      <c r="BA3" s="6">
        <f t="shared" si="25"/>
        <v>0</v>
      </c>
      <c r="BB3" s="6">
        <f t="shared" si="26"/>
        <v>0</v>
      </c>
      <c r="BC3" s="6">
        <v>0</v>
      </c>
      <c r="BD3" s="6">
        <f t="shared" si="27"/>
        <v>0</v>
      </c>
      <c r="BE3" s="6">
        <f t="shared" si="28"/>
        <v>0</v>
      </c>
      <c r="BF3" s="6">
        <v>0</v>
      </c>
      <c r="BG3" s="6">
        <f t="shared" si="29"/>
        <v>0</v>
      </c>
      <c r="BH3" s="6">
        <f t="shared" si="30"/>
        <v>0</v>
      </c>
      <c r="BI3" s="6">
        <v>0</v>
      </c>
      <c r="BJ3" s="6">
        <f t="shared" si="31"/>
        <v>0</v>
      </c>
      <c r="BK3" s="6">
        <f t="shared" si="32"/>
        <v>0</v>
      </c>
      <c r="BL3" s="6">
        <v>0</v>
      </c>
      <c r="BM3" s="6">
        <f t="shared" si="33"/>
        <v>0</v>
      </c>
      <c r="BN3" s="6">
        <f t="shared" si="34"/>
        <v>0</v>
      </c>
      <c r="BO3" s="6">
        <v>0</v>
      </c>
      <c r="BP3" s="6">
        <f t="shared" si="35"/>
        <v>0</v>
      </c>
      <c r="BQ3" s="6">
        <f t="shared" si="36"/>
        <v>0</v>
      </c>
      <c r="BR3" s="6">
        <v>0</v>
      </c>
      <c r="BS3" s="6">
        <f t="shared" si="37"/>
        <v>0</v>
      </c>
      <c r="BT3" s="6">
        <f t="shared" si="38"/>
        <v>0</v>
      </c>
      <c r="BU3" s="6">
        <v>0</v>
      </c>
      <c r="BV3" s="6">
        <f t="shared" si="39"/>
        <v>0</v>
      </c>
      <c r="BW3" s="6">
        <f t="shared" si="40"/>
        <v>0</v>
      </c>
      <c r="BX3" s="6">
        <v>0</v>
      </c>
      <c r="BY3" s="6">
        <f t="shared" si="41"/>
        <v>0</v>
      </c>
      <c r="BZ3" s="6">
        <f t="shared" si="42"/>
        <v>0</v>
      </c>
      <c r="CA3" s="6">
        <v>0</v>
      </c>
      <c r="CB3" s="6">
        <f t="shared" si="43"/>
        <v>0</v>
      </c>
      <c r="CC3" s="6">
        <f t="shared" si="44"/>
        <v>0</v>
      </c>
      <c r="CD3" s="6">
        <v>0</v>
      </c>
      <c r="CE3" s="6">
        <f t="shared" si="45"/>
        <v>0</v>
      </c>
      <c r="CF3" s="6">
        <f t="shared" si="46"/>
        <v>0</v>
      </c>
      <c r="CG3" s="6">
        <v>0</v>
      </c>
      <c r="CH3" s="6">
        <f t="shared" si="47"/>
        <v>0</v>
      </c>
      <c r="CI3" s="6">
        <f t="shared" si="48"/>
        <v>0</v>
      </c>
      <c r="CJ3" s="6">
        <v>0</v>
      </c>
      <c r="CK3" s="6">
        <f t="shared" si="49"/>
        <v>0</v>
      </c>
      <c r="CL3" s="6">
        <f t="shared" si="50"/>
        <v>0</v>
      </c>
      <c r="CM3" s="6">
        <v>0</v>
      </c>
      <c r="CN3" s="6">
        <f t="shared" si="51"/>
        <v>0</v>
      </c>
      <c r="CO3" s="6">
        <f t="shared" si="52"/>
        <v>0</v>
      </c>
      <c r="CP3" s="6">
        <v>0</v>
      </c>
      <c r="CQ3" s="6">
        <f t="shared" si="53"/>
        <v>0</v>
      </c>
      <c r="CR3" s="6">
        <f t="shared" si="54"/>
        <v>0</v>
      </c>
      <c r="CS3" s="6">
        <v>0</v>
      </c>
      <c r="CT3" s="6">
        <f t="shared" si="55"/>
        <v>0</v>
      </c>
      <c r="CU3" s="6">
        <f t="shared" si="56"/>
        <v>0</v>
      </c>
      <c r="CV3" s="6">
        <v>0</v>
      </c>
      <c r="CW3" s="6">
        <f t="shared" si="57"/>
        <v>0</v>
      </c>
      <c r="CX3" s="6">
        <f t="shared" si="58"/>
        <v>0</v>
      </c>
      <c r="CY3" s="6">
        <v>0</v>
      </c>
      <c r="CZ3" s="6">
        <f t="shared" si="59"/>
        <v>0</v>
      </c>
      <c r="DA3" s="6">
        <f t="shared" si="60"/>
        <v>0</v>
      </c>
      <c r="DB3" s="6">
        <v>0</v>
      </c>
      <c r="DC3" s="6">
        <f t="shared" si="61"/>
        <v>0</v>
      </c>
      <c r="DD3" s="6">
        <f t="shared" si="62"/>
        <v>0</v>
      </c>
      <c r="DE3" s="6">
        <v>0</v>
      </c>
      <c r="DF3" s="6">
        <f t="shared" si="63"/>
        <v>0</v>
      </c>
      <c r="DG3" s="6">
        <f t="shared" si="64"/>
        <v>0</v>
      </c>
      <c r="DH3" s="6">
        <v>0</v>
      </c>
      <c r="DI3" s="6">
        <f t="shared" si="65"/>
        <v>0</v>
      </c>
      <c r="DJ3" s="6">
        <f t="shared" si="66"/>
        <v>0</v>
      </c>
      <c r="DK3" s="6">
        <v>0</v>
      </c>
      <c r="DL3" s="6">
        <f t="shared" si="67"/>
        <v>0</v>
      </c>
      <c r="DM3" s="6">
        <f t="shared" si="68"/>
        <v>0</v>
      </c>
      <c r="DN3" s="6">
        <v>0</v>
      </c>
      <c r="DO3" s="6">
        <f t="shared" si="69"/>
        <v>0</v>
      </c>
      <c r="DP3" s="6">
        <f t="shared" si="70"/>
        <v>0</v>
      </c>
    </row>
    <row r="4" spans="1:120" x14ac:dyDescent="0.2">
      <c r="A4" s="21">
        <v>85</v>
      </c>
      <c r="B4" s="21" t="s">
        <v>612</v>
      </c>
      <c r="C4" s="21">
        <v>85250</v>
      </c>
      <c r="D4" s="21" t="s">
        <v>663</v>
      </c>
      <c r="E4" s="21" t="s">
        <v>611</v>
      </c>
      <c r="F4" s="22" t="s">
        <v>662</v>
      </c>
      <c r="G4" s="4" t="s">
        <v>116</v>
      </c>
      <c r="H4" s="6">
        <v>483832.31</v>
      </c>
      <c r="I4" s="6">
        <f t="shared" si="0"/>
        <v>1325.5679726027397</v>
      </c>
      <c r="J4" s="6">
        <v>701889.3798</v>
      </c>
      <c r="K4" s="6">
        <v>763201.43</v>
      </c>
      <c r="L4" s="6">
        <f t="shared" si="1"/>
        <v>2085.2498087431695</v>
      </c>
      <c r="M4" s="6">
        <v>490258.62920000002</v>
      </c>
      <c r="N4" s="6">
        <v>736128.29</v>
      </c>
      <c r="O4" s="6">
        <f t="shared" si="2"/>
        <v>2016.7898356164385</v>
      </c>
      <c r="P4" s="6">
        <v>347406.59779999999</v>
      </c>
      <c r="Q4" s="6">
        <v>526222.67000000004</v>
      </c>
      <c r="R4" s="6">
        <f>Q4/181</f>
        <v>2907.3075690607739</v>
      </c>
      <c r="S4" s="6">
        <v>237627.1335</v>
      </c>
      <c r="T4" s="6">
        <f t="shared" si="3"/>
        <v>237627.1335</v>
      </c>
      <c r="U4" s="6">
        <f t="shared" si="4"/>
        <v>651.03324246575346</v>
      </c>
      <c r="V4" s="6">
        <v>167100.38010000001</v>
      </c>
      <c r="W4" s="6">
        <f t="shared" si="5"/>
        <v>167100.38010000001</v>
      </c>
      <c r="X4" s="6">
        <f t="shared" si="6"/>
        <v>457.80926054794526</v>
      </c>
      <c r="Y4" s="6">
        <v>118760.60370000001</v>
      </c>
      <c r="Z4" s="6">
        <f t="shared" si="7"/>
        <v>118760.60370000001</v>
      </c>
      <c r="AA4" s="6">
        <f t="shared" si="8"/>
        <v>325.3715169863014</v>
      </c>
      <c r="AB4" s="6">
        <v>85505.308999999994</v>
      </c>
      <c r="AC4" s="6">
        <f t="shared" si="9"/>
        <v>85505.308999999994</v>
      </c>
      <c r="AD4" s="6">
        <f t="shared" si="10"/>
        <v>234.26112054794518</v>
      </c>
      <c r="AE4" s="6">
        <v>48617.157099999997</v>
      </c>
      <c r="AF4" s="6">
        <f t="shared" si="11"/>
        <v>48617.157099999997</v>
      </c>
      <c r="AG4" s="6">
        <f t="shared" si="12"/>
        <v>133.1976906849315</v>
      </c>
      <c r="AH4" s="6">
        <v>0</v>
      </c>
      <c r="AI4" s="6">
        <f t="shared" si="13"/>
        <v>0</v>
      </c>
      <c r="AJ4" s="6">
        <f t="shared" si="14"/>
        <v>0</v>
      </c>
      <c r="AK4" s="6">
        <v>0</v>
      </c>
      <c r="AL4" s="6">
        <f t="shared" si="15"/>
        <v>0</v>
      </c>
      <c r="AM4" s="6">
        <f t="shared" si="16"/>
        <v>0</v>
      </c>
      <c r="AN4" s="6">
        <v>0</v>
      </c>
      <c r="AO4" s="6">
        <f t="shared" si="17"/>
        <v>0</v>
      </c>
      <c r="AP4" s="6">
        <f t="shared" si="18"/>
        <v>0</v>
      </c>
      <c r="AQ4" s="6">
        <v>0</v>
      </c>
      <c r="AR4" s="6">
        <f t="shared" si="19"/>
        <v>0</v>
      </c>
      <c r="AS4" s="6">
        <f t="shared" si="20"/>
        <v>0</v>
      </c>
      <c r="AT4" s="6">
        <v>0</v>
      </c>
      <c r="AU4" s="6">
        <f t="shared" si="21"/>
        <v>0</v>
      </c>
      <c r="AV4" s="6">
        <f t="shared" si="22"/>
        <v>0</v>
      </c>
      <c r="AW4" s="6">
        <v>0</v>
      </c>
      <c r="AX4" s="6">
        <f t="shared" si="23"/>
        <v>0</v>
      </c>
      <c r="AY4" s="6">
        <f t="shared" si="24"/>
        <v>0</v>
      </c>
      <c r="AZ4" s="6">
        <v>0</v>
      </c>
      <c r="BA4" s="6">
        <f t="shared" si="25"/>
        <v>0</v>
      </c>
      <c r="BB4" s="6">
        <f t="shared" si="26"/>
        <v>0</v>
      </c>
      <c r="BC4" s="6">
        <v>0</v>
      </c>
      <c r="BD4" s="6">
        <f t="shared" si="27"/>
        <v>0</v>
      </c>
      <c r="BE4" s="6">
        <f t="shared" si="28"/>
        <v>0</v>
      </c>
      <c r="BF4" s="6">
        <v>0</v>
      </c>
      <c r="BG4" s="6">
        <f t="shared" si="29"/>
        <v>0</v>
      </c>
      <c r="BH4" s="6">
        <f t="shared" si="30"/>
        <v>0</v>
      </c>
      <c r="BI4" s="6">
        <v>0</v>
      </c>
      <c r="BJ4" s="6">
        <f t="shared" si="31"/>
        <v>0</v>
      </c>
      <c r="BK4" s="6">
        <f t="shared" si="32"/>
        <v>0</v>
      </c>
      <c r="BL4" s="6">
        <v>0</v>
      </c>
      <c r="BM4" s="6">
        <f t="shared" si="33"/>
        <v>0</v>
      </c>
      <c r="BN4" s="6">
        <f t="shared" si="34"/>
        <v>0</v>
      </c>
      <c r="BO4" s="6">
        <v>0</v>
      </c>
      <c r="BP4" s="6">
        <f t="shared" si="35"/>
        <v>0</v>
      </c>
      <c r="BQ4" s="6">
        <f t="shared" si="36"/>
        <v>0</v>
      </c>
      <c r="BR4" s="6">
        <v>0</v>
      </c>
      <c r="BS4" s="6">
        <f t="shared" si="37"/>
        <v>0</v>
      </c>
      <c r="BT4" s="6">
        <f t="shared" si="38"/>
        <v>0</v>
      </c>
      <c r="BU4" s="6">
        <v>0</v>
      </c>
      <c r="BV4" s="6">
        <f t="shared" si="39"/>
        <v>0</v>
      </c>
      <c r="BW4" s="6">
        <f t="shared" si="40"/>
        <v>0</v>
      </c>
      <c r="BX4" s="6">
        <v>0</v>
      </c>
      <c r="BY4" s="6">
        <f t="shared" si="41"/>
        <v>0</v>
      </c>
      <c r="BZ4" s="6">
        <f t="shared" si="42"/>
        <v>0</v>
      </c>
      <c r="CA4" s="6">
        <v>0</v>
      </c>
      <c r="CB4" s="6">
        <f t="shared" si="43"/>
        <v>0</v>
      </c>
      <c r="CC4" s="6">
        <f t="shared" si="44"/>
        <v>0</v>
      </c>
      <c r="CD4" s="6">
        <v>0</v>
      </c>
      <c r="CE4" s="6">
        <f t="shared" si="45"/>
        <v>0</v>
      </c>
      <c r="CF4" s="6">
        <f t="shared" si="46"/>
        <v>0</v>
      </c>
      <c r="CG4" s="6">
        <v>0</v>
      </c>
      <c r="CH4" s="6">
        <f t="shared" si="47"/>
        <v>0</v>
      </c>
      <c r="CI4" s="6">
        <f t="shared" si="48"/>
        <v>0</v>
      </c>
      <c r="CJ4" s="6">
        <v>0</v>
      </c>
      <c r="CK4" s="6">
        <f t="shared" si="49"/>
        <v>0</v>
      </c>
      <c r="CL4" s="6">
        <f t="shared" si="50"/>
        <v>0</v>
      </c>
      <c r="CM4" s="6">
        <v>0</v>
      </c>
      <c r="CN4" s="6">
        <f t="shared" si="51"/>
        <v>0</v>
      </c>
      <c r="CO4" s="6">
        <f t="shared" si="52"/>
        <v>0</v>
      </c>
      <c r="CP4" s="6">
        <v>0</v>
      </c>
      <c r="CQ4" s="6">
        <f t="shared" si="53"/>
        <v>0</v>
      </c>
      <c r="CR4" s="6">
        <f t="shared" si="54"/>
        <v>0</v>
      </c>
      <c r="CS4" s="6">
        <v>0</v>
      </c>
      <c r="CT4" s="6">
        <f t="shared" si="55"/>
        <v>0</v>
      </c>
      <c r="CU4" s="6">
        <f t="shared" si="56"/>
        <v>0</v>
      </c>
      <c r="CV4" s="6">
        <v>0</v>
      </c>
      <c r="CW4" s="6">
        <f t="shared" si="57"/>
        <v>0</v>
      </c>
      <c r="CX4" s="6">
        <f t="shared" si="58"/>
        <v>0</v>
      </c>
      <c r="CY4" s="6">
        <v>0</v>
      </c>
      <c r="CZ4" s="6">
        <f t="shared" si="59"/>
        <v>0</v>
      </c>
      <c r="DA4" s="6">
        <f t="shared" si="60"/>
        <v>0</v>
      </c>
      <c r="DB4" s="6">
        <v>0</v>
      </c>
      <c r="DC4" s="6">
        <f t="shared" si="61"/>
        <v>0</v>
      </c>
      <c r="DD4" s="6">
        <f t="shared" si="62"/>
        <v>0</v>
      </c>
      <c r="DE4" s="6">
        <v>0</v>
      </c>
      <c r="DF4" s="6">
        <f t="shared" si="63"/>
        <v>0</v>
      </c>
      <c r="DG4" s="6">
        <f t="shared" si="64"/>
        <v>0</v>
      </c>
      <c r="DH4" s="6">
        <v>0</v>
      </c>
      <c r="DI4" s="6">
        <f t="shared" si="65"/>
        <v>0</v>
      </c>
      <c r="DJ4" s="6">
        <f t="shared" si="66"/>
        <v>0</v>
      </c>
      <c r="DK4" s="6">
        <v>0</v>
      </c>
      <c r="DL4" s="6">
        <f t="shared" si="67"/>
        <v>0</v>
      </c>
      <c r="DM4" s="6">
        <f t="shared" si="68"/>
        <v>0</v>
      </c>
      <c r="DN4" s="6">
        <v>0</v>
      </c>
      <c r="DO4" s="6">
        <f t="shared" si="69"/>
        <v>0</v>
      </c>
      <c r="DP4" s="6">
        <f t="shared" si="70"/>
        <v>0</v>
      </c>
    </row>
    <row r="5" spans="1:120" x14ac:dyDescent="0.2">
      <c r="A5" s="21">
        <v>86</v>
      </c>
      <c r="B5" s="21" t="s">
        <v>664</v>
      </c>
      <c r="C5" s="21">
        <v>86757</v>
      </c>
      <c r="D5" s="21" t="s">
        <v>665</v>
      </c>
      <c r="E5" s="21" t="s">
        <v>522</v>
      </c>
      <c r="F5" s="22" t="s">
        <v>666</v>
      </c>
      <c r="G5" s="4" t="s">
        <v>117</v>
      </c>
      <c r="H5" s="6">
        <v>307574.34000000003</v>
      </c>
      <c r="I5" s="6">
        <f t="shared" si="0"/>
        <v>842.66942465753436</v>
      </c>
      <c r="J5" s="6">
        <v>314910.52240000002</v>
      </c>
      <c r="K5" s="6">
        <v>230633.13</v>
      </c>
      <c r="L5" s="6">
        <f t="shared" si="1"/>
        <v>630.14516393442625</v>
      </c>
      <c r="M5" s="6">
        <v>265458.68119999999</v>
      </c>
      <c r="N5" s="6">
        <v>218116.41</v>
      </c>
      <c r="O5" s="6">
        <f t="shared" si="2"/>
        <v>597.57920547945207</v>
      </c>
      <c r="P5" s="6">
        <v>220031.35800000001</v>
      </c>
      <c r="Q5" s="6"/>
      <c r="R5" s="6"/>
      <c r="S5" s="6">
        <v>182701.7696</v>
      </c>
      <c r="T5" s="6">
        <f t="shared" si="3"/>
        <v>182701.7696</v>
      </c>
      <c r="U5" s="6">
        <f t="shared" si="4"/>
        <v>500.55279342465752</v>
      </c>
      <c r="V5" s="6">
        <v>152404.59239999999</v>
      </c>
      <c r="W5" s="6">
        <f t="shared" si="5"/>
        <v>152404.59239999999</v>
      </c>
      <c r="X5" s="6">
        <f t="shared" si="6"/>
        <v>417.54682849315066</v>
      </c>
      <c r="Y5" s="6">
        <v>0</v>
      </c>
      <c r="Z5" s="6">
        <f t="shared" si="7"/>
        <v>0</v>
      </c>
      <c r="AA5" s="6">
        <f t="shared" si="8"/>
        <v>0</v>
      </c>
      <c r="AB5" s="6">
        <v>0</v>
      </c>
      <c r="AC5" s="6">
        <f t="shared" si="9"/>
        <v>0</v>
      </c>
      <c r="AD5" s="6">
        <f t="shared" si="10"/>
        <v>0</v>
      </c>
      <c r="AE5" s="6">
        <v>0</v>
      </c>
      <c r="AF5" s="6">
        <f t="shared" si="11"/>
        <v>0</v>
      </c>
      <c r="AG5" s="6">
        <f t="shared" si="12"/>
        <v>0</v>
      </c>
      <c r="AH5" s="6">
        <v>0</v>
      </c>
      <c r="AI5" s="6">
        <f t="shared" si="13"/>
        <v>0</v>
      </c>
      <c r="AJ5" s="6">
        <f t="shared" si="14"/>
        <v>0</v>
      </c>
      <c r="AK5" s="6">
        <v>0</v>
      </c>
      <c r="AL5" s="6">
        <f t="shared" si="15"/>
        <v>0</v>
      </c>
      <c r="AM5" s="6">
        <f t="shared" si="16"/>
        <v>0</v>
      </c>
      <c r="AN5" s="6">
        <v>0</v>
      </c>
      <c r="AO5" s="6">
        <f t="shared" si="17"/>
        <v>0</v>
      </c>
      <c r="AP5" s="6">
        <f t="shared" si="18"/>
        <v>0</v>
      </c>
      <c r="AQ5" s="6">
        <v>0</v>
      </c>
      <c r="AR5" s="6">
        <f t="shared" si="19"/>
        <v>0</v>
      </c>
      <c r="AS5" s="6">
        <f t="shared" si="20"/>
        <v>0</v>
      </c>
      <c r="AT5" s="6">
        <v>0</v>
      </c>
      <c r="AU5" s="6">
        <f t="shared" si="21"/>
        <v>0</v>
      </c>
      <c r="AV5" s="6">
        <f t="shared" si="22"/>
        <v>0</v>
      </c>
      <c r="AW5" s="6">
        <v>0</v>
      </c>
      <c r="AX5" s="6">
        <f t="shared" si="23"/>
        <v>0</v>
      </c>
      <c r="AY5" s="6">
        <f t="shared" si="24"/>
        <v>0</v>
      </c>
      <c r="AZ5" s="6">
        <v>0</v>
      </c>
      <c r="BA5" s="6">
        <f t="shared" si="25"/>
        <v>0</v>
      </c>
      <c r="BB5" s="6">
        <f t="shared" si="26"/>
        <v>0</v>
      </c>
      <c r="BC5" s="6">
        <v>0</v>
      </c>
      <c r="BD5" s="6">
        <f t="shared" si="27"/>
        <v>0</v>
      </c>
      <c r="BE5" s="6">
        <f t="shared" si="28"/>
        <v>0</v>
      </c>
      <c r="BF5" s="6">
        <v>0</v>
      </c>
      <c r="BG5" s="6">
        <f t="shared" si="29"/>
        <v>0</v>
      </c>
      <c r="BH5" s="6">
        <f t="shared" si="30"/>
        <v>0</v>
      </c>
      <c r="BI5" s="6">
        <v>0</v>
      </c>
      <c r="BJ5" s="6">
        <f t="shared" si="31"/>
        <v>0</v>
      </c>
      <c r="BK5" s="6">
        <f t="shared" si="32"/>
        <v>0</v>
      </c>
      <c r="BL5" s="6">
        <v>0</v>
      </c>
      <c r="BM5" s="6">
        <f t="shared" si="33"/>
        <v>0</v>
      </c>
      <c r="BN5" s="6">
        <f t="shared" si="34"/>
        <v>0</v>
      </c>
      <c r="BO5" s="6">
        <v>0</v>
      </c>
      <c r="BP5" s="6">
        <f t="shared" si="35"/>
        <v>0</v>
      </c>
      <c r="BQ5" s="6">
        <f t="shared" si="36"/>
        <v>0</v>
      </c>
      <c r="BR5" s="6">
        <v>0</v>
      </c>
      <c r="BS5" s="6">
        <f t="shared" si="37"/>
        <v>0</v>
      </c>
      <c r="BT5" s="6">
        <f t="shared" si="38"/>
        <v>0</v>
      </c>
      <c r="BU5" s="6">
        <v>0</v>
      </c>
      <c r="BV5" s="6">
        <f t="shared" si="39"/>
        <v>0</v>
      </c>
      <c r="BW5" s="6">
        <f t="shared" si="40"/>
        <v>0</v>
      </c>
      <c r="BX5" s="6">
        <v>0</v>
      </c>
      <c r="BY5" s="6">
        <f t="shared" si="41"/>
        <v>0</v>
      </c>
      <c r="BZ5" s="6">
        <f t="shared" si="42"/>
        <v>0</v>
      </c>
      <c r="CA5" s="6">
        <v>0</v>
      </c>
      <c r="CB5" s="6">
        <f t="shared" si="43"/>
        <v>0</v>
      </c>
      <c r="CC5" s="6">
        <f t="shared" si="44"/>
        <v>0</v>
      </c>
      <c r="CD5" s="6">
        <v>0</v>
      </c>
      <c r="CE5" s="6">
        <f t="shared" si="45"/>
        <v>0</v>
      </c>
      <c r="CF5" s="6">
        <f t="shared" si="46"/>
        <v>0</v>
      </c>
      <c r="CG5" s="6">
        <v>0</v>
      </c>
      <c r="CH5" s="6">
        <f t="shared" si="47"/>
        <v>0</v>
      </c>
      <c r="CI5" s="6">
        <f t="shared" si="48"/>
        <v>0</v>
      </c>
      <c r="CJ5" s="6">
        <v>0</v>
      </c>
      <c r="CK5" s="6">
        <f t="shared" si="49"/>
        <v>0</v>
      </c>
      <c r="CL5" s="6">
        <f t="shared" si="50"/>
        <v>0</v>
      </c>
      <c r="CM5" s="6">
        <v>0</v>
      </c>
      <c r="CN5" s="6">
        <f t="shared" si="51"/>
        <v>0</v>
      </c>
      <c r="CO5" s="6">
        <f t="shared" si="52"/>
        <v>0</v>
      </c>
      <c r="CP5" s="6">
        <v>0</v>
      </c>
      <c r="CQ5" s="6">
        <f t="shared" si="53"/>
        <v>0</v>
      </c>
      <c r="CR5" s="6">
        <f t="shared" si="54"/>
        <v>0</v>
      </c>
      <c r="CS5" s="6">
        <v>0</v>
      </c>
      <c r="CT5" s="6">
        <f t="shared" si="55"/>
        <v>0</v>
      </c>
      <c r="CU5" s="6">
        <f t="shared" si="56"/>
        <v>0</v>
      </c>
      <c r="CV5" s="6">
        <v>0</v>
      </c>
      <c r="CW5" s="6">
        <f t="shared" si="57"/>
        <v>0</v>
      </c>
      <c r="CX5" s="6">
        <f t="shared" si="58"/>
        <v>0</v>
      </c>
      <c r="CY5" s="6">
        <v>0</v>
      </c>
      <c r="CZ5" s="6">
        <f t="shared" si="59"/>
        <v>0</v>
      </c>
      <c r="DA5" s="6">
        <f t="shared" si="60"/>
        <v>0</v>
      </c>
      <c r="DB5" s="6">
        <v>0</v>
      </c>
      <c r="DC5" s="6">
        <f t="shared" si="61"/>
        <v>0</v>
      </c>
      <c r="DD5" s="6">
        <f t="shared" si="62"/>
        <v>0</v>
      </c>
      <c r="DE5" s="6">
        <v>0</v>
      </c>
      <c r="DF5" s="6">
        <f t="shared" si="63"/>
        <v>0</v>
      </c>
      <c r="DG5" s="6">
        <f t="shared" si="64"/>
        <v>0</v>
      </c>
      <c r="DH5" s="6">
        <v>0</v>
      </c>
      <c r="DI5" s="6">
        <f t="shared" si="65"/>
        <v>0</v>
      </c>
      <c r="DJ5" s="6">
        <f t="shared" si="66"/>
        <v>0</v>
      </c>
      <c r="DK5" s="6">
        <v>0</v>
      </c>
      <c r="DL5" s="6">
        <f t="shared" si="67"/>
        <v>0</v>
      </c>
      <c r="DM5" s="6">
        <f t="shared" si="68"/>
        <v>0</v>
      </c>
      <c r="DN5" s="6">
        <v>0</v>
      </c>
      <c r="DO5" s="6">
        <f t="shared" si="69"/>
        <v>0</v>
      </c>
      <c r="DP5" s="6">
        <f t="shared" si="70"/>
        <v>0</v>
      </c>
    </row>
    <row r="6" spans="1:120" x14ac:dyDescent="0.2">
      <c r="A6" s="21">
        <v>20</v>
      </c>
      <c r="B6" s="21" t="s">
        <v>667</v>
      </c>
      <c r="C6" s="21">
        <v>20770</v>
      </c>
      <c r="D6" s="21" t="s">
        <v>668</v>
      </c>
      <c r="E6" s="21" t="s">
        <v>564</v>
      </c>
      <c r="F6" s="22" t="s">
        <v>669</v>
      </c>
      <c r="G6" s="4" t="s">
        <v>118</v>
      </c>
      <c r="H6" s="6">
        <v>6197273.8300000001</v>
      </c>
      <c r="I6" s="6">
        <f t="shared" si="0"/>
        <v>16978.832410958905</v>
      </c>
      <c r="J6" s="6">
        <v>6079748.0422999999</v>
      </c>
      <c r="K6" s="6">
        <v>5479554.5499999998</v>
      </c>
      <c r="L6" s="6">
        <f t="shared" si="1"/>
        <v>14971.460519125683</v>
      </c>
      <c r="M6" s="6">
        <v>5477912.1650999999</v>
      </c>
      <c r="N6" s="6">
        <v>4776642.99</v>
      </c>
      <c r="O6" s="6">
        <f t="shared" si="2"/>
        <v>13086.693123287672</v>
      </c>
      <c r="P6" s="6">
        <v>5144600.9263000004</v>
      </c>
      <c r="Q6" s="6">
        <v>1869696.27</v>
      </c>
      <c r="R6" s="6">
        <f>Q6/181</f>
        <v>10329.81364640884</v>
      </c>
      <c r="S6" s="6">
        <v>4998663.5384999998</v>
      </c>
      <c r="T6" s="6">
        <f t="shared" si="3"/>
        <v>4998663.5384999998</v>
      </c>
      <c r="U6" s="6">
        <f t="shared" si="4"/>
        <v>13694.968598630136</v>
      </c>
      <c r="V6" s="6">
        <v>4017100.4325000001</v>
      </c>
      <c r="W6" s="6">
        <f t="shared" si="5"/>
        <v>4017100.4325000001</v>
      </c>
      <c r="X6" s="6">
        <f t="shared" si="6"/>
        <v>11005.754609589041</v>
      </c>
      <c r="Y6" s="6">
        <v>3048960.4567</v>
      </c>
      <c r="Z6" s="6">
        <f t="shared" si="7"/>
        <v>3048960.4567</v>
      </c>
      <c r="AA6" s="6">
        <f t="shared" si="8"/>
        <v>8353.3163197260274</v>
      </c>
      <c r="AB6" s="6">
        <v>2331299.3199</v>
      </c>
      <c r="AC6" s="6">
        <f t="shared" si="9"/>
        <v>2331299.3199</v>
      </c>
      <c r="AD6" s="6">
        <f t="shared" si="10"/>
        <v>6387.121424383562</v>
      </c>
      <c r="AE6" s="6">
        <v>1798027.7664000001</v>
      </c>
      <c r="AF6" s="6">
        <f t="shared" si="11"/>
        <v>1798027.7664000001</v>
      </c>
      <c r="AG6" s="6">
        <f t="shared" si="12"/>
        <v>4926.1034695890412</v>
      </c>
      <c r="AH6" s="6">
        <v>1384420.6665000001</v>
      </c>
      <c r="AI6" s="6">
        <f t="shared" si="13"/>
        <v>1384420.6665000001</v>
      </c>
      <c r="AJ6" s="6">
        <f t="shared" si="14"/>
        <v>3792.9333328767125</v>
      </c>
      <c r="AK6" s="6">
        <v>1085294.0791</v>
      </c>
      <c r="AL6" s="6">
        <f t="shared" si="15"/>
        <v>1085294.0791</v>
      </c>
      <c r="AM6" s="6">
        <f t="shared" si="16"/>
        <v>2973.4084358904111</v>
      </c>
      <c r="AN6" s="6">
        <v>864469.66980000003</v>
      </c>
      <c r="AO6" s="6">
        <f t="shared" si="17"/>
        <v>864469.66980000003</v>
      </c>
      <c r="AP6" s="6">
        <f t="shared" si="18"/>
        <v>2368.4100542465753</v>
      </c>
      <c r="AQ6" s="6">
        <v>704232.18940000003</v>
      </c>
      <c r="AR6" s="6">
        <f t="shared" si="19"/>
        <v>704232.18940000003</v>
      </c>
      <c r="AS6" s="6">
        <f t="shared" si="20"/>
        <v>1929.4032586301371</v>
      </c>
      <c r="AT6" s="6">
        <v>559676.72420000006</v>
      </c>
      <c r="AU6" s="6">
        <f t="shared" si="21"/>
        <v>559676.72420000006</v>
      </c>
      <c r="AV6" s="6">
        <f t="shared" si="22"/>
        <v>1533.3608882191782</v>
      </c>
      <c r="AW6" s="6">
        <v>202529.66399999999</v>
      </c>
      <c r="AX6" s="6">
        <f t="shared" si="23"/>
        <v>202529.66399999999</v>
      </c>
      <c r="AY6" s="6">
        <f t="shared" si="24"/>
        <v>554.87579178082194</v>
      </c>
      <c r="AZ6" s="6">
        <v>0</v>
      </c>
      <c r="BA6" s="6">
        <f t="shared" si="25"/>
        <v>0</v>
      </c>
      <c r="BB6" s="6">
        <f t="shared" si="26"/>
        <v>0</v>
      </c>
      <c r="BC6" s="6">
        <v>0</v>
      </c>
      <c r="BD6" s="6">
        <f t="shared" si="27"/>
        <v>0</v>
      </c>
      <c r="BE6" s="6">
        <f t="shared" si="28"/>
        <v>0</v>
      </c>
      <c r="BF6" s="6">
        <v>0</v>
      </c>
      <c r="BG6" s="6">
        <f t="shared" si="29"/>
        <v>0</v>
      </c>
      <c r="BH6" s="6">
        <f t="shared" si="30"/>
        <v>0</v>
      </c>
      <c r="BI6" s="6">
        <v>0</v>
      </c>
      <c r="BJ6" s="6">
        <f t="shared" si="31"/>
        <v>0</v>
      </c>
      <c r="BK6" s="6">
        <f t="shared" si="32"/>
        <v>0</v>
      </c>
      <c r="BL6" s="6">
        <v>0</v>
      </c>
      <c r="BM6" s="6">
        <f t="shared" si="33"/>
        <v>0</v>
      </c>
      <c r="BN6" s="6">
        <f t="shared" si="34"/>
        <v>0</v>
      </c>
      <c r="BO6" s="6">
        <v>0</v>
      </c>
      <c r="BP6" s="6">
        <f t="shared" si="35"/>
        <v>0</v>
      </c>
      <c r="BQ6" s="6">
        <f t="shared" si="36"/>
        <v>0</v>
      </c>
      <c r="BR6" s="6">
        <v>0</v>
      </c>
      <c r="BS6" s="6">
        <f t="shared" si="37"/>
        <v>0</v>
      </c>
      <c r="BT6" s="6">
        <f t="shared" si="38"/>
        <v>0</v>
      </c>
      <c r="BU6" s="6">
        <v>0</v>
      </c>
      <c r="BV6" s="6">
        <f t="shared" si="39"/>
        <v>0</v>
      </c>
      <c r="BW6" s="6">
        <f t="shared" si="40"/>
        <v>0</v>
      </c>
      <c r="BX6" s="6">
        <v>0</v>
      </c>
      <c r="BY6" s="6">
        <f t="shared" si="41"/>
        <v>0</v>
      </c>
      <c r="BZ6" s="6">
        <f t="shared" si="42"/>
        <v>0</v>
      </c>
      <c r="CA6" s="6">
        <v>0</v>
      </c>
      <c r="CB6" s="6">
        <f t="shared" si="43"/>
        <v>0</v>
      </c>
      <c r="CC6" s="6">
        <f t="shared" si="44"/>
        <v>0</v>
      </c>
      <c r="CD6" s="6">
        <v>0</v>
      </c>
      <c r="CE6" s="6">
        <f t="shared" si="45"/>
        <v>0</v>
      </c>
      <c r="CF6" s="6">
        <f t="shared" si="46"/>
        <v>0</v>
      </c>
      <c r="CG6" s="6">
        <v>0</v>
      </c>
      <c r="CH6" s="6">
        <f t="shared" si="47"/>
        <v>0</v>
      </c>
      <c r="CI6" s="6">
        <f t="shared" si="48"/>
        <v>0</v>
      </c>
      <c r="CJ6" s="6">
        <v>0</v>
      </c>
      <c r="CK6" s="6">
        <f t="shared" si="49"/>
        <v>0</v>
      </c>
      <c r="CL6" s="6">
        <f t="shared" si="50"/>
        <v>0</v>
      </c>
      <c r="CM6" s="6">
        <v>0</v>
      </c>
      <c r="CN6" s="6">
        <f t="shared" si="51"/>
        <v>0</v>
      </c>
      <c r="CO6" s="6">
        <f t="shared" si="52"/>
        <v>0</v>
      </c>
      <c r="CP6" s="6">
        <v>0</v>
      </c>
      <c r="CQ6" s="6">
        <f t="shared" si="53"/>
        <v>0</v>
      </c>
      <c r="CR6" s="6">
        <f t="shared" si="54"/>
        <v>0</v>
      </c>
      <c r="CS6" s="6">
        <v>0</v>
      </c>
      <c r="CT6" s="6">
        <f t="shared" si="55"/>
        <v>0</v>
      </c>
      <c r="CU6" s="6">
        <f t="shared" si="56"/>
        <v>0</v>
      </c>
      <c r="CV6" s="6">
        <v>0</v>
      </c>
      <c r="CW6" s="6">
        <f t="shared" si="57"/>
        <v>0</v>
      </c>
      <c r="CX6" s="6">
        <f t="shared" si="58"/>
        <v>0</v>
      </c>
      <c r="CY6" s="6">
        <v>0</v>
      </c>
      <c r="CZ6" s="6">
        <f t="shared" si="59"/>
        <v>0</v>
      </c>
      <c r="DA6" s="6">
        <f t="shared" si="60"/>
        <v>0</v>
      </c>
      <c r="DB6" s="6">
        <v>0</v>
      </c>
      <c r="DC6" s="6">
        <f t="shared" si="61"/>
        <v>0</v>
      </c>
      <c r="DD6" s="6">
        <f t="shared" si="62"/>
        <v>0</v>
      </c>
      <c r="DE6" s="6">
        <v>0</v>
      </c>
      <c r="DF6" s="6">
        <f t="shared" si="63"/>
        <v>0</v>
      </c>
      <c r="DG6" s="6">
        <f t="shared" si="64"/>
        <v>0</v>
      </c>
      <c r="DH6" s="6">
        <v>0</v>
      </c>
      <c r="DI6" s="6">
        <f t="shared" si="65"/>
        <v>0</v>
      </c>
      <c r="DJ6" s="6">
        <f t="shared" si="66"/>
        <v>0</v>
      </c>
      <c r="DK6" s="6">
        <v>0</v>
      </c>
      <c r="DL6" s="6">
        <f t="shared" si="67"/>
        <v>0</v>
      </c>
      <c r="DM6" s="6">
        <f t="shared" si="68"/>
        <v>0</v>
      </c>
      <c r="DN6" s="6">
        <v>0</v>
      </c>
      <c r="DO6" s="6">
        <f t="shared" si="69"/>
        <v>0</v>
      </c>
      <c r="DP6" s="6">
        <f t="shared" si="70"/>
        <v>0</v>
      </c>
    </row>
    <row r="7" spans="1:120" x14ac:dyDescent="0.2">
      <c r="A7" s="21">
        <v>85</v>
      </c>
      <c r="B7" s="21" t="s">
        <v>612</v>
      </c>
      <c r="C7" s="21">
        <v>85325</v>
      </c>
      <c r="D7" s="21" t="s">
        <v>670</v>
      </c>
      <c r="E7" s="21" t="s">
        <v>671</v>
      </c>
      <c r="F7" s="22" t="s">
        <v>669</v>
      </c>
      <c r="G7" s="4" t="s">
        <v>119</v>
      </c>
      <c r="H7" s="6">
        <v>73617.06</v>
      </c>
      <c r="I7" s="6">
        <f t="shared" si="0"/>
        <v>201.69057534246573</v>
      </c>
      <c r="J7" s="6">
        <v>70039.649999999994</v>
      </c>
      <c r="K7" s="6">
        <v>94901.69</v>
      </c>
      <c r="L7" s="6">
        <f t="shared" si="1"/>
        <v>259.2942349726776</v>
      </c>
      <c r="M7" s="6">
        <v>61076.137199999997</v>
      </c>
      <c r="N7" s="6">
        <v>81099.990000000005</v>
      </c>
      <c r="O7" s="6">
        <f t="shared" si="2"/>
        <v>222.19175342465755</v>
      </c>
      <c r="P7" s="6">
        <v>53781.857000000004</v>
      </c>
      <c r="Q7" s="6">
        <v>27001.85</v>
      </c>
      <c r="R7" s="6">
        <f>Q7/181</f>
        <v>149.18149171270719</v>
      </c>
      <c r="S7" s="6">
        <v>47651.481</v>
      </c>
      <c r="T7" s="6">
        <f t="shared" si="3"/>
        <v>47651.481</v>
      </c>
      <c r="U7" s="6">
        <f t="shared" si="4"/>
        <v>130.55200273972602</v>
      </c>
      <c r="V7" s="6">
        <v>42566.574000000001</v>
      </c>
      <c r="W7" s="6">
        <f t="shared" si="5"/>
        <v>42566.574000000001</v>
      </c>
      <c r="X7" s="6">
        <f t="shared" si="6"/>
        <v>116.62075068493151</v>
      </c>
      <c r="Y7" s="6">
        <v>31938.472399999999</v>
      </c>
      <c r="Z7" s="6">
        <f t="shared" si="7"/>
        <v>31938.472399999999</v>
      </c>
      <c r="AA7" s="6">
        <f t="shared" si="8"/>
        <v>87.502664109589034</v>
      </c>
      <c r="AB7" s="6">
        <v>0</v>
      </c>
      <c r="AC7" s="6">
        <f t="shared" si="9"/>
        <v>0</v>
      </c>
      <c r="AD7" s="6">
        <f t="shared" si="10"/>
        <v>0</v>
      </c>
      <c r="AE7" s="6">
        <v>0</v>
      </c>
      <c r="AF7" s="6">
        <f t="shared" si="11"/>
        <v>0</v>
      </c>
      <c r="AG7" s="6">
        <f t="shared" si="12"/>
        <v>0</v>
      </c>
      <c r="AH7" s="6">
        <v>0</v>
      </c>
      <c r="AI7" s="6">
        <f t="shared" si="13"/>
        <v>0</v>
      </c>
      <c r="AJ7" s="6">
        <f t="shared" si="14"/>
        <v>0</v>
      </c>
      <c r="AK7" s="6">
        <v>0</v>
      </c>
      <c r="AL7" s="6">
        <f t="shared" si="15"/>
        <v>0</v>
      </c>
      <c r="AM7" s="6">
        <f t="shared" si="16"/>
        <v>0</v>
      </c>
      <c r="AN7" s="6">
        <v>0</v>
      </c>
      <c r="AO7" s="6">
        <f t="shared" si="17"/>
        <v>0</v>
      </c>
      <c r="AP7" s="6">
        <f t="shared" si="18"/>
        <v>0</v>
      </c>
      <c r="AQ7" s="6">
        <v>0</v>
      </c>
      <c r="AR7" s="6">
        <f t="shared" si="19"/>
        <v>0</v>
      </c>
      <c r="AS7" s="6">
        <f t="shared" si="20"/>
        <v>0</v>
      </c>
      <c r="AT7" s="6">
        <v>0</v>
      </c>
      <c r="AU7" s="6">
        <f t="shared" si="21"/>
        <v>0</v>
      </c>
      <c r="AV7" s="6">
        <f t="shared" si="22"/>
        <v>0</v>
      </c>
      <c r="AW7" s="6">
        <v>0</v>
      </c>
      <c r="AX7" s="6">
        <f t="shared" si="23"/>
        <v>0</v>
      </c>
      <c r="AY7" s="6">
        <f t="shared" si="24"/>
        <v>0</v>
      </c>
      <c r="AZ7" s="6">
        <v>0</v>
      </c>
      <c r="BA7" s="6">
        <f t="shared" si="25"/>
        <v>0</v>
      </c>
      <c r="BB7" s="6">
        <f t="shared" si="26"/>
        <v>0</v>
      </c>
      <c r="BC7" s="6">
        <v>0</v>
      </c>
      <c r="BD7" s="6">
        <f t="shared" si="27"/>
        <v>0</v>
      </c>
      <c r="BE7" s="6">
        <f t="shared" si="28"/>
        <v>0</v>
      </c>
      <c r="BF7" s="6">
        <v>0</v>
      </c>
      <c r="BG7" s="6">
        <f t="shared" si="29"/>
        <v>0</v>
      </c>
      <c r="BH7" s="6">
        <f t="shared" si="30"/>
        <v>0</v>
      </c>
      <c r="BI7" s="6">
        <v>0</v>
      </c>
      <c r="BJ7" s="6">
        <f t="shared" si="31"/>
        <v>0</v>
      </c>
      <c r="BK7" s="6">
        <f t="shared" si="32"/>
        <v>0</v>
      </c>
      <c r="BL7" s="6">
        <v>0</v>
      </c>
      <c r="BM7" s="6">
        <f t="shared" si="33"/>
        <v>0</v>
      </c>
      <c r="BN7" s="6">
        <f t="shared" si="34"/>
        <v>0</v>
      </c>
      <c r="BO7" s="6">
        <v>0</v>
      </c>
      <c r="BP7" s="6">
        <f t="shared" si="35"/>
        <v>0</v>
      </c>
      <c r="BQ7" s="6">
        <f t="shared" si="36"/>
        <v>0</v>
      </c>
      <c r="BR7" s="6">
        <v>0</v>
      </c>
      <c r="BS7" s="6">
        <f t="shared" si="37"/>
        <v>0</v>
      </c>
      <c r="BT7" s="6">
        <f t="shared" si="38"/>
        <v>0</v>
      </c>
      <c r="BU7" s="6">
        <v>0</v>
      </c>
      <c r="BV7" s="6">
        <f t="shared" si="39"/>
        <v>0</v>
      </c>
      <c r="BW7" s="6">
        <f t="shared" si="40"/>
        <v>0</v>
      </c>
      <c r="BX7" s="6">
        <v>0</v>
      </c>
      <c r="BY7" s="6">
        <f t="shared" si="41"/>
        <v>0</v>
      </c>
      <c r="BZ7" s="6">
        <f t="shared" si="42"/>
        <v>0</v>
      </c>
      <c r="CA7" s="6">
        <v>0</v>
      </c>
      <c r="CB7" s="6">
        <f t="shared" si="43"/>
        <v>0</v>
      </c>
      <c r="CC7" s="6">
        <f t="shared" si="44"/>
        <v>0</v>
      </c>
      <c r="CD7" s="6">
        <v>0</v>
      </c>
      <c r="CE7" s="6">
        <f t="shared" si="45"/>
        <v>0</v>
      </c>
      <c r="CF7" s="6">
        <f t="shared" si="46"/>
        <v>0</v>
      </c>
      <c r="CG7" s="6">
        <v>0</v>
      </c>
      <c r="CH7" s="6">
        <f t="shared" si="47"/>
        <v>0</v>
      </c>
      <c r="CI7" s="6">
        <f t="shared" si="48"/>
        <v>0</v>
      </c>
      <c r="CJ7" s="6">
        <v>0</v>
      </c>
      <c r="CK7" s="6">
        <f t="shared" si="49"/>
        <v>0</v>
      </c>
      <c r="CL7" s="6">
        <f t="shared" si="50"/>
        <v>0</v>
      </c>
      <c r="CM7" s="6">
        <v>0</v>
      </c>
      <c r="CN7" s="6">
        <f t="shared" si="51"/>
        <v>0</v>
      </c>
      <c r="CO7" s="6">
        <f t="shared" si="52"/>
        <v>0</v>
      </c>
      <c r="CP7" s="6">
        <v>0</v>
      </c>
      <c r="CQ7" s="6">
        <f t="shared" si="53"/>
        <v>0</v>
      </c>
      <c r="CR7" s="6">
        <f t="shared" si="54"/>
        <v>0</v>
      </c>
      <c r="CS7" s="6">
        <v>0</v>
      </c>
      <c r="CT7" s="6">
        <f t="shared" si="55"/>
        <v>0</v>
      </c>
      <c r="CU7" s="6">
        <f t="shared" si="56"/>
        <v>0</v>
      </c>
      <c r="CV7" s="6">
        <v>0</v>
      </c>
      <c r="CW7" s="6">
        <f t="shared" si="57"/>
        <v>0</v>
      </c>
      <c r="CX7" s="6">
        <f t="shared" si="58"/>
        <v>0</v>
      </c>
      <c r="CY7" s="6">
        <v>0</v>
      </c>
      <c r="CZ7" s="6">
        <f t="shared" si="59"/>
        <v>0</v>
      </c>
      <c r="DA7" s="6">
        <f t="shared" si="60"/>
        <v>0</v>
      </c>
      <c r="DB7" s="6">
        <v>0</v>
      </c>
      <c r="DC7" s="6">
        <f t="shared" si="61"/>
        <v>0</v>
      </c>
      <c r="DD7" s="6">
        <f t="shared" si="62"/>
        <v>0</v>
      </c>
      <c r="DE7" s="6">
        <v>0</v>
      </c>
      <c r="DF7" s="6">
        <f t="shared" si="63"/>
        <v>0</v>
      </c>
      <c r="DG7" s="6">
        <f t="shared" si="64"/>
        <v>0</v>
      </c>
      <c r="DH7" s="6">
        <v>0</v>
      </c>
      <c r="DI7" s="6">
        <f t="shared" si="65"/>
        <v>0</v>
      </c>
      <c r="DJ7" s="6">
        <f t="shared" si="66"/>
        <v>0</v>
      </c>
      <c r="DK7" s="6">
        <v>0</v>
      </c>
      <c r="DL7" s="6">
        <f t="shared" si="67"/>
        <v>0</v>
      </c>
      <c r="DM7" s="6">
        <f t="shared" si="68"/>
        <v>0</v>
      </c>
      <c r="DN7" s="6">
        <v>0</v>
      </c>
      <c r="DO7" s="6">
        <f t="shared" si="69"/>
        <v>0</v>
      </c>
      <c r="DP7" s="6">
        <f t="shared" si="70"/>
        <v>0</v>
      </c>
    </row>
    <row r="8" spans="1:120" x14ac:dyDescent="0.2">
      <c r="A8" s="21">
        <v>85</v>
      </c>
      <c r="B8" s="21" t="s">
        <v>612</v>
      </c>
      <c r="C8" s="21">
        <v>85430</v>
      </c>
      <c r="D8" s="21" t="s">
        <v>672</v>
      </c>
      <c r="E8" s="21" t="s">
        <v>594</v>
      </c>
      <c r="F8" s="22" t="s">
        <v>669</v>
      </c>
      <c r="G8" s="4" t="s">
        <v>120</v>
      </c>
      <c r="H8" s="6">
        <v>1552.42</v>
      </c>
      <c r="I8" s="6">
        <f t="shared" si="0"/>
        <v>4.2532054794520553</v>
      </c>
      <c r="J8" s="6">
        <v>2418.3805000000002</v>
      </c>
      <c r="K8" s="6">
        <v>94.98</v>
      </c>
      <c r="L8" s="6">
        <f t="shared" si="1"/>
        <v>0.25950819672131148</v>
      </c>
      <c r="M8" s="6">
        <v>1613.9396999999999</v>
      </c>
      <c r="N8" s="6"/>
      <c r="O8" s="6"/>
      <c r="P8" s="6">
        <v>797.34839999999997</v>
      </c>
      <c r="Q8" s="6"/>
      <c r="R8" s="6"/>
      <c r="S8" s="6">
        <v>0</v>
      </c>
      <c r="T8" s="6">
        <f t="shared" si="3"/>
        <v>0</v>
      </c>
      <c r="U8" s="6">
        <f t="shared" si="4"/>
        <v>0</v>
      </c>
      <c r="V8" s="6">
        <v>0</v>
      </c>
      <c r="W8" s="6">
        <f t="shared" si="5"/>
        <v>0</v>
      </c>
      <c r="X8" s="6">
        <f t="shared" si="6"/>
        <v>0</v>
      </c>
      <c r="Y8" s="6">
        <v>0</v>
      </c>
      <c r="Z8" s="6">
        <f t="shared" si="7"/>
        <v>0</v>
      </c>
      <c r="AA8" s="6">
        <f t="shared" si="8"/>
        <v>0</v>
      </c>
      <c r="AB8" s="6">
        <v>0</v>
      </c>
      <c r="AC8" s="6">
        <f t="shared" si="9"/>
        <v>0</v>
      </c>
      <c r="AD8" s="6">
        <f t="shared" si="10"/>
        <v>0</v>
      </c>
      <c r="AE8" s="6">
        <v>0</v>
      </c>
      <c r="AF8" s="6">
        <f t="shared" si="11"/>
        <v>0</v>
      </c>
      <c r="AG8" s="6">
        <f t="shared" si="12"/>
        <v>0</v>
      </c>
      <c r="AH8" s="6">
        <v>0</v>
      </c>
      <c r="AI8" s="6">
        <f t="shared" si="13"/>
        <v>0</v>
      </c>
      <c r="AJ8" s="6">
        <f t="shared" si="14"/>
        <v>0</v>
      </c>
      <c r="AK8" s="6">
        <v>0</v>
      </c>
      <c r="AL8" s="6">
        <f t="shared" si="15"/>
        <v>0</v>
      </c>
      <c r="AM8" s="6">
        <f t="shared" si="16"/>
        <v>0</v>
      </c>
      <c r="AN8" s="6">
        <v>0</v>
      </c>
      <c r="AO8" s="6">
        <f t="shared" si="17"/>
        <v>0</v>
      </c>
      <c r="AP8" s="6">
        <f t="shared" si="18"/>
        <v>0</v>
      </c>
      <c r="AQ8" s="6">
        <v>0</v>
      </c>
      <c r="AR8" s="6">
        <f t="shared" si="19"/>
        <v>0</v>
      </c>
      <c r="AS8" s="6">
        <f t="shared" si="20"/>
        <v>0</v>
      </c>
      <c r="AT8" s="6">
        <v>0</v>
      </c>
      <c r="AU8" s="6">
        <f t="shared" si="21"/>
        <v>0</v>
      </c>
      <c r="AV8" s="6">
        <f t="shared" si="22"/>
        <v>0</v>
      </c>
      <c r="AW8" s="6">
        <v>0</v>
      </c>
      <c r="AX8" s="6">
        <f t="shared" si="23"/>
        <v>0</v>
      </c>
      <c r="AY8" s="6">
        <f t="shared" si="24"/>
        <v>0</v>
      </c>
      <c r="AZ8" s="6">
        <v>0</v>
      </c>
      <c r="BA8" s="6">
        <f t="shared" si="25"/>
        <v>0</v>
      </c>
      <c r="BB8" s="6">
        <f t="shared" si="26"/>
        <v>0</v>
      </c>
      <c r="BC8" s="6">
        <v>0</v>
      </c>
      <c r="BD8" s="6">
        <f t="shared" si="27"/>
        <v>0</v>
      </c>
      <c r="BE8" s="6">
        <f t="shared" si="28"/>
        <v>0</v>
      </c>
      <c r="BF8" s="6">
        <v>0</v>
      </c>
      <c r="BG8" s="6">
        <f t="shared" si="29"/>
        <v>0</v>
      </c>
      <c r="BH8" s="6">
        <f t="shared" si="30"/>
        <v>0</v>
      </c>
      <c r="BI8" s="6">
        <v>0</v>
      </c>
      <c r="BJ8" s="6">
        <f t="shared" si="31"/>
        <v>0</v>
      </c>
      <c r="BK8" s="6">
        <f t="shared" si="32"/>
        <v>0</v>
      </c>
      <c r="BL8" s="6">
        <v>0</v>
      </c>
      <c r="BM8" s="6">
        <f t="shared" si="33"/>
        <v>0</v>
      </c>
      <c r="BN8" s="6">
        <f t="shared" si="34"/>
        <v>0</v>
      </c>
      <c r="BO8" s="6">
        <v>0</v>
      </c>
      <c r="BP8" s="6">
        <f t="shared" si="35"/>
        <v>0</v>
      </c>
      <c r="BQ8" s="6">
        <f t="shared" si="36"/>
        <v>0</v>
      </c>
      <c r="BR8" s="6">
        <v>0</v>
      </c>
      <c r="BS8" s="6">
        <f t="shared" si="37"/>
        <v>0</v>
      </c>
      <c r="BT8" s="6">
        <f t="shared" si="38"/>
        <v>0</v>
      </c>
      <c r="BU8" s="6">
        <v>0</v>
      </c>
      <c r="BV8" s="6">
        <f t="shared" si="39"/>
        <v>0</v>
      </c>
      <c r="BW8" s="6">
        <f t="shared" si="40"/>
        <v>0</v>
      </c>
      <c r="BX8" s="6">
        <v>0</v>
      </c>
      <c r="BY8" s="6">
        <f t="shared" si="41"/>
        <v>0</v>
      </c>
      <c r="BZ8" s="6">
        <f t="shared" si="42"/>
        <v>0</v>
      </c>
      <c r="CA8" s="6">
        <v>0</v>
      </c>
      <c r="CB8" s="6">
        <f t="shared" si="43"/>
        <v>0</v>
      </c>
      <c r="CC8" s="6">
        <f t="shared" si="44"/>
        <v>0</v>
      </c>
      <c r="CD8" s="6">
        <v>0</v>
      </c>
      <c r="CE8" s="6">
        <f t="shared" si="45"/>
        <v>0</v>
      </c>
      <c r="CF8" s="6">
        <f t="shared" si="46"/>
        <v>0</v>
      </c>
      <c r="CG8" s="6">
        <v>0</v>
      </c>
      <c r="CH8" s="6">
        <f t="shared" si="47"/>
        <v>0</v>
      </c>
      <c r="CI8" s="6">
        <f t="shared" si="48"/>
        <v>0</v>
      </c>
      <c r="CJ8" s="6">
        <v>0</v>
      </c>
      <c r="CK8" s="6">
        <f t="shared" si="49"/>
        <v>0</v>
      </c>
      <c r="CL8" s="6">
        <f t="shared" si="50"/>
        <v>0</v>
      </c>
      <c r="CM8" s="6">
        <v>0</v>
      </c>
      <c r="CN8" s="6">
        <f t="shared" si="51"/>
        <v>0</v>
      </c>
      <c r="CO8" s="6">
        <f t="shared" si="52"/>
        <v>0</v>
      </c>
      <c r="CP8" s="6">
        <v>0</v>
      </c>
      <c r="CQ8" s="6">
        <f t="shared" si="53"/>
        <v>0</v>
      </c>
      <c r="CR8" s="6">
        <f t="shared" si="54"/>
        <v>0</v>
      </c>
      <c r="CS8" s="6">
        <v>0</v>
      </c>
      <c r="CT8" s="6">
        <f t="shared" si="55"/>
        <v>0</v>
      </c>
      <c r="CU8" s="6">
        <f t="shared" si="56"/>
        <v>0</v>
      </c>
      <c r="CV8" s="6">
        <v>0</v>
      </c>
      <c r="CW8" s="6">
        <f t="shared" si="57"/>
        <v>0</v>
      </c>
      <c r="CX8" s="6">
        <f t="shared" si="58"/>
        <v>0</v>
      </c>
      <c r="CY8" s="6">
        <v>0</v>
      </c>
      <c r="CZ8" s="6">
        <f t="shared" si="59"/>
        <v>0</v>
      </c>
      <c r="DA8" s="6">
        <f t="shared" si="60"/>
        <v>0</v>
      </c>
      <c r="DB8" s="6">
        <v>0</v>
      </c>
      <c r="DC8" s="6">
        <f t="shared" si="61"/>
        <v>0</v>
      </c>
      <c r="DD8" s="6">
        <f t="shared" si="62"/>
        <v>0</v>
      </c>
      <c r="DE8" s="6">
        <v>0</v>
      </c>
      <c r="DF8" s="6">
        <f t="shared" si="63"/>
        <v>0</v>
      </c>
      <c r="DG8" s="6">
        <f t="shared" si="64"/>
        <v>0</v>
      </c>
      <c r="DH8" s="6">
        <v>0</v>
      </c>
      <c r="DI8" s="6">
        <f t="shared" si="65"/>
        <v>0</v>
      </c>
      <c r="DJ8" s="6">
        <f t="shared" si="66"/>
        <v>0</v>
      </c>
      <c r="DK8" s="6">
        <v>0</v>
      </c>
      <c r="DL8" s="6">
        <f t="shared" si="67"/>
        <v>0</v>
      </c>
      <c r="DM8" s="6">
        <f t="shared" si="68"/>
        <v>0</v>
      </c>
      <c r="DN8" s="6">
        <v>0</v>
      </c>
      <c r="DO8" s="6">
        <f t="shared" si="69"/>
        <v>0</v>
      </c>
      <c r="DP8" s="6">
        <f t="shared" si="70"/>
        <v>0</v>
      </c>
    </row>
    <row r="9" spans="1:120" x14ac:dyDescent="0.2">
      <c r="A9" s="21">
        <v>68</v>
      </c>
      <c r="B9" s="21" t="s">
        <v>673</v>
      </c>
      <c r="C9" s="21">
        <v>68745</v>
      </c>
      <c r="D9" s="21" t="s">
        <v>674</v>
      </c>
      <c r="E9" s="21" t="s">
        <v>671</v>
      </c>
      <c r="F9" s="22" t="s">
        <v>666</v>
      </c>
      <c r="G9" s="4" t="s">
        <v>121</v>
      </c>
      <c r="H9" s="6">
        <v>60763.53</v>
      </c>
      <c r="I9" s="6">
        <f t="shared" si="0"/>
        <v>166.47542465753423</v>
      </c>
      <c r="J9" s="6">
        <v>203028.06479999999</v>
      </c>
      <c r="K9" s="6">
        <v>40362.97</v>
      </c>
      <c r="L9" s="6">
        <f t="shared" si="1"/>
        <v>110.28133879781421</v>
      </c>
      <c r="M9" s="6">
        <v>409922.96919999999</v>
      </c>
      <c r="N9" s="6">
        <v>32541.64</v>
      </c>
      <c r="O9" s="6">
        <f t="shared" ref="O9:O25" si="71">N9/365</f>
        <v>89.155178082191782</v>
      </c>
      <c r="P9" s="6">
        <v>732133.69270000001</v>
      </c>
      <c r="Q9" s="6">
        <v>13858.95</v>
      </c>
      <c r="R9" s="6">
        <f t="shared" ref="R9:R25" si="72">Q9/181</f>
        <v>76.56878453038675</v>
      </c>
      <c r="S9" s="6">
        <v>811892.71279999998</v>
      </c>
      <c r="T9" s="6">
        <f t="shared" si="3"/>
        <v>811892.71279999998</v>
      </c>
      <c r="U9" s="6">
        <f t="shared" si="4"/>
        <v>2224.3635967123287</v>
      </c>
      <c r="V9" s="6">
        <v>655768.09340000001</v>
      </c>
      <c r="W9" s="6">
        <f t="shared" si="5"/>
        <v>655768.09340000001</v>
      </c>
      <c r="X9" s="6">
        <f t="shared" si="6"/>
        <v>1796.6249134246575</v>
      </c>
      <c r="Y9" s="6">
        <v>529915.34900000005</v>
      </c>
      <c r="Z9" s="6">
        <f t="shared" si="7"/>
        <v>529915.34900000005</v>
      </c>
      <c r="AA9" s="6">
        <f t="shared" si="8"/>
        <v>1451.8228739726028</v>
      </c>
      <c r="AB9" s="6">
        <v>430635.79210000002</v>
      </c>
      <c r="AC9" s="6">
        <f t="shared" si="9"/>
        <v>430635.79210000002</v>
      </c>
      <c r="AD9" s="6">
        <f t="shared" si="10"/>
        <v>1179.8240879452055</v>
      </c>
      <c r="AE9" s="6">
        <v>356090.4203</v>
      </c>
      <c r="AF9" s="6">
        <f t="shared" si="11"/>
        <v>356090.4203</v>
      </c>
      <c r="AG9" s="6">
        <f t="shared" si="12"/>
        <v>975.59019260273976</v>
      </c>
      <c r="AH9" s="6">
        <v>296560.69579999999</v>
      </c>
      <c r="AI9" s="6">
        <f t="shared" si="13"/>
        <v>296560.69579999999</v>
      </c>
      <c r="AJ9" s="6">
        <f t="shared" si="14"/>
        <v>812.49505698630128</v>
      </c>
      <c r="AK9" s="6">
        <v>246885.2078</v>
      </c>
      <c r="AL9" s="6">
        <f t="shared" si="15"/>
        <v>246885.2078</v>
      </c>
      <c r="AM9" s="6">
        <f t="shared" si="16"/>
        <v>676.39782958904107</v>
      </c>
      <c r="AN9" s="6">
        <v>207052.0128</v>
      </c>
      <c r="AO9" s="6">
        <f t="shared" si="17"/>
        <v>207052.0128</v>
      </c>
      <c r="AP9" s="6">
        <f t="shared" si="18"/>
        <v>567.26578849315069</v>
      </c>
      <c r="AQ9" s="6">
        <v>174658.0441</v>
      </c>
      <c r="AR9" s="6">
        <f t="shared" si="19"/>
        <v>174658.0441</v>
      </c>
      <c r="AS9" s="6">
        <f t="shared" si="20"/>
        <v>478.51518931506848</v>
      </c>
      <c r="AT9" s="6">
        <v>147842.02189999999</v>
      </c>
      <c r="AU9" s="6">
        <f t="shared" si="21"/>
        <v>147842.02189999999</v>
      </c>
      <c r="AV9" s="6">
        <f t="shared" si="22"/>
        <v>405.04663534246572</v>
      </c>
      <c r="AW9" s="6">
        <v>126052.59540000001</v>
      </c>
      <c r="AX9" s="6">
        <f t="shared" si="23"/>
        <v>126052.59540000001</v>
      </c>
      <c r="AY9" s="6">
        <f t="shared" si="24"/>
        <v>345.34957643835617</v>
      </c>
      <c r="AZ9" s="6">
        <v>106991.1517</v>
      </c>
      <c r="BA9" s="6">
        <f t="shared" si="25"/>
        <v>106991.1517</v>
      </c>
      <c r="BB9" s="6">
        <f t="shared" si="26"/>
        <v>293.12644301369863</v>
      </c>
      <c r="BC9" s="6">
        <v>90965.689400000003</v>
      </c>
      <c r="BD9" s="6">
        <f t="shared" si="27"/>
        <v>90965.689400000003</v>
      </c>
      <c r="BE9" s="6">
        <f t="shared" si="28"/>
        <v>249.22106684931506</v>
      </c>
      <c r="BF9" s="6">
        <v>7126.6935999999996</v>
      </c>
      <c r="BG9" s="6">
        <f t="shared" si="29"/>
        <v>7126.6935999999996</v>
      </c>
      <c r="BH9" s="6">
        <f t="shared" si="30"/>
        <v>19.525187945205477</v>
      </c>
      <c r="BI9" s="6">
        <v>0</v>
      </c>
      <c r="BJ9" s="6">
        <f t="shared" si="31"/>
        <v>0</v>
      </c>
      <c r="BK9" s="6">
        <f t="shared" si="32"/>
        <v>0</v>
      </c>
      <c r="BL9" s="6">
        <v>0</v>
      </c>
      <c r="BM9" s="6">
        <f t="shared" si="33"/>
        <v>0</v>
      </c>
      <c r="BN9" s="6">
        <f t="shared" si="34"/>
        <v>0</v>
      </c>
      <c r="BO9" s="6">
        <v>0</v>
      </c>
      <c r="BP9" s="6">
        <f t="shared" si="35"/>
        <v>0</v>
      </c>
      <c r="BQ9" s="6">
        <f t="shared" si="36"/>
        <v>0</v>
      </c>
      <c r="BR9" s="6">
        <v>0</v>
      </c>
      <c r="BS9" s="6">
        <f t="shared" si="37"/>
        <v>0</v>
      </c>
      <c r="BT9" s="6">
        <f t="shared" si="38"/>
        <v>0</v>
      </c>
      <c r="BU9" s="6">
        <v>0</v>
      </c>
      <c r="BV9" s="6">
        <f t="shared" si="39"/>
        <v>0</v>
      </c>
      <c r="BW9" s="6">
        <f t="shared" si="40"/>
        <v>0</v>
      </c>
      <c r="BX9" s="6">
        <v>0</v>
      </c>
      <c r="BY9" s="6">
        <f t="shared" si="41"/>
        <v>0</v>
      </c>
      <c r="BZ9" s="6">
        <f t="shared" si="42"/>
        <v>0</v>
      </c>
      <c r="CA9" s="6">
        <v>0</v>
      </c>
      <c r="CB9" s="6">
        <f t="shared" si="43"/>
        <v>0</v>
      </c>
      <c r="CC9" s="6">
        <f t="shared" si="44"/>
        <v>0</v>
      </c>
      <c r="CD9" s="6">
        <v>0</v>
      </c>
      <c r="CE9" s="6">
        <f t="shared" si="45"/>
        <v>0</v>
      </c>
      <c r="CF9" s="6">
        <f t="shared" si="46"/>
        <v>0</v>
      </c>
      <c r="CG9" s="6">
        <v>0</v>
      </c>
      <c r="CH9" s="6">
        <f t="shared" si="47"/>
        <v>0</v>
      </c>
      <c r="CI9" s="6">
        <f t="shared" si="48"/>
        <v>0</v>
      </c>
      <c r="CJ9" s="6">
        <v>0</v>
      </c>
      <c r="CK9" s="6">
        <f t="shared" si="49"/>
        <v>0</v>
      </c>
      <c r="CL9" s="6">
        <f t="shared" si="50"/>
        <v>0</v>
      </c>
      <c r="CM9" s="6">
        <v>0</v>
      </c>
      <c r="CN9" s="6">
        <f t="shared" si="51"/>
        <v>0</v>
      </c>
      <c r="CO9" s="6">
        <f t="shared" si="52"/>
        <v>0</v>
      </c>
      <c r="CP9" s="6">
        <v>0</v>
      </c>
      <c r="CQ9" s="6">
        <f t="shared" si="53"/>
        <v>0</v>
      </c>
      <c r="CR9" s="6">
        <f t="shared" si="54"/>
        <v>0</v>
      </c>
      <c r="CS9" s="6">
        <v>0</v>
      </c>
      <c r="CT9" s="6">
        <f t="shared" si="55"/>
        <v>0</v>
      </c>
      <c r="CU9" s="6">
        <f t="shared" si="56"/>
        <v>0</v>
      </c>
      <c r="CV9" s="6">
        <v>0</v>
      </c>
      <c r="CW9" s="6">
        <f t="shared" si="57"/>
        <v>0</v>
      </c>
      <c r="CX9" s="6">
        <f t="shared" si="58"/>
        <v>0</v>
      </c>
      <c r="CY9" s="6">
        <v>0</v>
      </c>
      <c r="CZ9" s="6">
        <f t="shared" si="59"/>
        <v>0</v>
      </c>
      <c r="DA9" s="6">
        <f t="shared" si="60"/>
        <v>0</v>
      </c>
      <c r="DB9" s="6">
        <v>0</v>
      </c>
      <c r="DC9" s="6">
        <f t="shared" si="61"/>
        <v>0</v>
      </c>
      <c r="DD9" s="6">
        <f t="shared" si="62"/>
        <v>0</v>
      </c>
      <c r="DE9" s="6">
        <v>0</v>
      </c>
      <c r="DF9" s="6">
        <f t="shared" si="63"/>
        <v>0</v>
      </c>
      <c r="DG9" s="6">
        <f t="shared" si="64"/>
        <v>0</v>
      </c>
      <c r="DH9" s="6">
        <v>0</v>
      </c>
      <c r="DI9" s="6">
        <f t="shared" si="65"/>
        <v>0</v>
      </c>
      <c r="DJ9" s="6">
        <f t="shared" si="66"/>
        <v>0</v>
      </c>
      <c r="DK9" s="6">
        <v>0</v>
      </c>
      <c r="DL9" s="6">
        <f t="shared" si="67"/>
        <v>0</v>
      </c>
      <c r="DM9" s="6">
        <f t="shared" si="68"/>
        <v>0</v>
      </c>
      <c r="DN9" s="6">
        <v>0</v>
      </c>
      <c r="DO9" s="6">
        <f t="shared" si="69"/>
        <v>0</v>
      </c>
      <c r="DP9" s="6">
        <f t="shared" si="70"/>
        <v>0</v>
      </c>
    </row>
    <row r="10" spans="1:120" x14ac:dyDescent="0.2">
      <c r="A10" s="21">
        <v>50</v>
      </c>
      <c r="B10" s="21" t="s">
        <v>675</v>
      </c>
      <c r="C10" s="21">
        <v>50006</v>
      </c>
      <c r="D10" s="21" t="s">
        <v>676</v>
      </c>
      <c r="E10" s="21" t="s">
        <v>522</v>
      </c>
      <c r="F10" s="22" t="s">
        <v>669</v>
      </c>
      <c r="G10" s="4" t="s">
        <v>122</v>
      </c>
      <c r="H10" s="6">
        <v>7270249.0599999996</v>
      </c>
      <c r="I10" s="6">
        <f t="shared" si="0"/>
        <v>19918.490575342465</v>
      </c>
      <c r="J10" s="6">
        <v>9659987</v>
      </c>
      <c r="K10" s="6">
        <v>7879189.6500000004</v>
      </c>
      <c r="L10" s="6">
        <f t="shared" si="1"/>
        <v>21527.840573770492</v>
      </c>
      <c r="M10" s="6">
        <v>9720015</v>
      </c>
      <c r="N10" s="6">
        <v>9014480.0999999996</v>
      </c>
      <c r="O10" s="6">
        <f t="shared" si="71"/>
        <v>24697.205753424656</v>
      </c>
      <c r="P10" s="6">
        <v>8946538</v>
      </c>
      <c r="Q10" s="6">
        <v>4940457.9400000004</v>
      </c>
      <c r="R10" s="6">
        <f t="shared" si="72"/>
        <v>27295.347734806634</v>
      </c>
      <c r="S10" s="6">
        <v>7740297</v>
      </c>
      <c r="T10" s="6">
        <f t="shared" si="3"/>
        <v>7740297</v>
      </c>
      <c r="U10" s="6">
        <f t="shared" si="4"/>
        <v>21206.293150684931</v>
      </c>
      <c r="V10" s="6">
        <v>6448543</v>
      </c>
      <c r="W10" s="6">
        <f t="shared" si="5"/>
        <v>6448543</v>
      </c>
      <c r="X10" s="6">
        <f t="shared" si="6"/>
        <v>17667.241095890411</v>
      </c>
      <c r="Y10" s="6">
        <v>5348471</v>
      </c>
      <c r="Z10" s="6">
        <f t="shared" si="7"/>
        <v>5348471</v>
      </c>
      <c r="AA10" s="6">
        <f t="shared" si="8"/>
        <v>14653.345205479452</v>
      </c>
      <c r="AB10" s="6">
        <v>4466411</v>
      </c>
      <c r="AC10" s="6">
        <f t="shared" si="9"/>
        <v>4466411</v>
      </c>
      <c r="AD10" s="6">
        <f t="shared" si="10"/>
        <v>12236.742465753425</v>
      </c>
      <c r="AE10" s="6">
        <v>3743040</v>
      </c>
      <c r="AF10" s="6">
        <f t="shared" si="11"/>
        <v>3743040</v>
      </c>
      <c r="AG10" s="6">
        <f t="shared" si="12"/>
        <v>10254.904109589041</v>
      </c>
      <c r="AH10" s="6">
        <v>3156190</v>
      </c>
      <c r="AI10" s="6">
        <f t="shared" si="13"/>
        <v>3156190</v>
      </c>
      <c r="AJ10" s="6">
        <f t="shared" si="14"/>
        <v>8647.0958904109593</v>
      </c>
      <c r="AK10" s="6">
        <v>2653745</v>
      </c>
      <c r="AL10" s="6">
        <f t="shared" si="15"/>
        <v>2653745</v>
      </c>
      <c r="AM10" s="6">
        <f t="shared" si="16"/>
        <v>7270.5342465753429</v>
      </c>
      <c r="AN10" s="6">
        <v>2239493</v>
      </c>
      <c r="AO10" s="6">
        <f t="shared" si="17"/>
        <v>2239493</v>
      </c>
      <c r="AP10" s="6">
        <f t="shared" si="18"/>
        <v>6135.597260273973</v>
      </c>
      <c r="AQ10" s="6">
        <v>1892313</v>
      </c>
      <c r="AR10" s="6">
        <f t="shared" si="19"/>
        <v>1892313</v>
      </c>
      <c r="AS10" s="6">
        <f t="shared" si="20"/>
        <v>5184.419178082192</v>
      </c>
      <c r="AT10" s="6">
        <v>0</v>
      </c>
      <c r="AU10" s="6">
        <f t="shared" si="21"/>
        <v>0</v>
      </c>
      <c r="AV10" s="6">
        <f t="shared" si="22"/>
        <v>0</v>
      </c>
      <c r="AW10" s="6">
        <v>0</v>
      </c>
      <c r="AX10" s="6">
        <f t="shared" si="23"/>
        <v>0</v>
      </c>
      <c r="AY10" s="6">
        <f t="shared" si="24"/>
        <v>0</v>
      </c>
      <c r="AZ10" s="6">
        <v>0</v>
      </c>
      <c r="BA10" s="6">
        <f t="shared" si="25"/>
        <v>0</v>
      </c>
      <c r="BB10" s="6">
        <f t="shared" si="26"/>
        <v>0</v>
      </c>
      <c r="BC10" s="6">
        <v>0</v>
      </c>
      <c r="BD10" s="6">
        <f t="shared" si="27"/>
        <v>0</v>
      </c>
      <c r="BE10" s="6">
        <f t="shared" si="28"/>
        <v>0</v>
      </c>
      <c r="BF10" s="6">
        <v>0</v>
      </c>
      <c r="BG10" s="6">
        <f t="shared" si="29"/>
        <v>0</v>
      </c>
      <c r="BH10" s="6">
        <f t="shared" si="30"/>
        <v>0</v>
      </c>
      <c r="BI10" s="6">
        <v>0</v>
      </c>
      <c r="BJ10" s="6">
        <f t="shared" si="31"/>
        <v>0</v>
      </c>
      <c r="BK10" s="6">
        <f t="shared" si="32"/>
        <v>0</v>
      </c>
      <c r="BL10" s="6">
        <v>0</v>
      </c>
      <c r="BM10" s="6">
        <f t="shared" si="33"/>
        <v>0</v>
      </c>
      <c r="BN10" s="6">
        <f t="shared" si="34"/>
        <v>0</v>
      </c>
      <c r="BO10" s="6">
        <v>0</v>
      </c>
      <c r="BP10" s="6">
        <f t="shared" si="35"/>
        <v>0</v>
      </c>
      <c r="BQ10" s="6">
        <f t="shared" si="36"/>
        <v>0</v>
      </c>
      <c r="BR10" s="6">
        <v>0</v>
      </c>
      <c r="BS10" s="6">
        <f t="shared" si="37"/>
        <v>0</v>
      </c>
      <c r="BT10" s="6">
        <f t="shared" si="38"/>
        <v>0</v>
      </c>
      <c r="BU10" s="6">
        <v>0</v>
      </c>
      <c r="BV10" s="6">
        <f t="shared" si="39"/>
        <v>0</v>
      </c>
      <c r="BW10" s="6">
        <f t="shared" si="40"/>
        <v>0</v>
      </c>
      <c r="BX10" s="6">
        <v>0</v>
      </c>
      <c r="BY10" s="6">
        <f t="shared" si="41"/>
        <v>0</v>
      </c>
      <c r="BZ10" s="6">
        <f t="shared" si="42"/>
        <v>0</v>
      </c>
      <c r="CA10" s="6">
        <v>0</v>
      </c>
      <c r="CB10" s="6">
        <f t="shared" si="43"/>
        <v>0</v>
      </c>
      <c r="CC10" s="6">
        <f t="shared" si="44"/>
        <v>0</v>
      </c>
      <c r="CD10" s="6">
        <v>0</v>
      </c>
      <c r="CE10" s="6">
        <f t="shared" si="45"/>
        <v>0</v>
      </c>
      <c r="CF10" s="6">
        <f t="shared" si="46"/>
        <v>0</v>
      </c>
      <c r="CG10" s="6">
        <v>0</v>
      </c>
      <c r="CH10" s="6">
        <f t="shared" si="47"/>
        <v>0</v>
      </c>
      <c r="CI10" s="6">
        <f t="shared" si="48"/>
        <v>0</v>
      </c>
      <c r="CJ10" s="6">
        <v>0</v>
      </c>
      <c r="CK10" s="6">
        <f t="shared" si="49"/>
        <v>0</v>
      </c>
      <c r="CL10" s="6">
        <f t="shared" si="50"/>
        <v>0</v>
      </c>
      <c r="CM10" s="6">
        <v>0</v>
      </c>
      <c r="CN10" s="6">
        <f t="shared" si="51"/>
        <v>0</v>
      </c>
      <c r="CO10" s="6">
        <f t="shared" si="52"/>
        <v>0</v>
      </c>
      <c r="CP10" s="6">
        <v>0</v>
      </c>
      <c r="CQ10" s="6">
        <f t="shared" si="53"/>
        <v>0</v>
      </c>
      <c r="CR10" s="6">
        <f t="shared" si="54"/>
        <v>0</v>
      </c>
      <c r="CS10" s="6">
        <v>0</v>
      </c>
      <c r="CT10" s="6">
        <f t="shared" si="55"/>
        <v>0</v>
      </c>
      <c r="CU10" s="6">
        <f t="shared" si="56"/>
        <v>0</v>
      </c>
      <c r="CV10" s="6">
        <v>0</v>
      </c>
      <c r="CW10" s="6">
        <f t="shared" si="57"/>
        <v>0</v>
      </c>
      <c r="CX10" s="6">
        <f t="shared" si="58"/>
        <v>0</v>
      </c>
      <c r="CY10" s="6">
        <v>0</v>
      </c>
      <c r="CZ10" s="6">
        <f t="shared" si="59"/>
        <v>0</v>
      </c>
      <c r="DA10" s="6">
        <f t="shared" si="60"/>
        <v>0</v>
      </c>
      <c r="DB10" s="6">
        <v>0</v>
      </c>
      <c r="DC10" s="6">
        <f t="shared" si="61"/>
        <v>0</v>
      </c>
      <c r="DD10" s="6">
        <f t="shared" si="62"/>
        <v>0</v>
      </c>
      <c r="DE10" s="6">
        <v>0</v>
      </c>
      <c r="DF10" s="6">
        <f t="shared" si="63"/>
        <v>0</v>
      </c>
      <c r="DG10" s="6">
        <f t="shared" si="64"/>
        <v>0</v>
      </c>
      <c r="DH10" s="6">
        <v>0</v>
      </c>
      <c r="DI10" s="6">
        <f t="shared" si="65"/>
        <v>0</v>
      </c>
      <c r="DJ10" s="6">
        <f t="shared" si="66"/>
        <v>0</v>
      </c>
      <c r="DK10" s="6">
        <v>0</v>
      </c>
      <c r="DL10" s="6">
        <f t="shared" si="67"/>
        <v>0</v>
      </c>
      <c r="DM10" s="6">
        <f t="shared" si="68"/>
        <v>0</v>
      </c>
      <c r="DN10" s="6">
        <v>0</v>
      </c>
      <c r="DO10" s="6">
        <f t="shared" si="69"/>
        <v>0</v>
      </c>
      <c r="DP10" s="6">
        <f t="shared" si="70"/>
        <v>0</v>
      </c>
    </row>
    <row r="11" spans="1:120" x14ac:dyDescent="0.2">
      <c r="A11" s="21">
        <v>85</v>
      </c>
      <c r="B11" s="21" t="s">
        <v>612</v>
      </c>
      <c r="C11" s="21">
        <v>85440</v>
      </c>
      <c r="D11" s="21" t="s">
        <v>677</v>
      </c>
      <c r="E11" s="21" t="s">
        <v>638</v>
      </c>
      <c r="F11" s="22" t="s">
        <v>669</v>
      </c>
      <c r="G11" s="4" t="s">
        <v>123</v>
      </c>
      <c r="H11" s="6">
        <v>1010214.37</v>
      </c>
      <c r="I11" s="6">
        <f t="shared" si="0"/>
        <v>2767.7106027397258</v>
      </c>
      <c r="J11" s="6">
        <v>1104671.3296999999</v>
      </c>
      <c r="K11" s="6">
        <v>1094055.3999999999</v>
      </c>
      <c r="L11" s="6">
        <f t="shared" si="1"/>
        <v>2989.2224043715846</v>
      </c>
      <c r="M11" s="6">
        <v>846958.78399999999</v>
      </c>
      <c r="N11" s="6">
        <v>753451.42</v>
      </c>
      <c r="O11" s="6">
        <f t="shared" si="71"/>
        <v>2064.2504657534246</v>
      </c>
      <c r="P11" s="6">
        <v>664489.12529999996</v>
      </c>
      <c r="Q11" s="6">
        <v>295148.99</v>
      </c>
      <c r="R11" s="6">
        <f t="shared" si="72"/>
        <v>1630.657403314917</v>
      </c>
      <c r="S11" s="6">
        <v>528127.58200000005</v>
      </c>
      <c r="T11" s="6">
        <f t="shared" si="3"/>
        <v>528127.58200000005</v>
      </c>
      <c r="U11" s="6">
        <f t="shared" si="4"/>
        <v>1446.9248821917811</v>
      </c>
      <c r="V11" s="6">
        <v>482756.94809999998</v>
      </c>
      <c r="W11" s="6">
        <f t="shared" si="5"/>
        <v>482756.94809999998</v>
      </c>
      <c r="X11" s="6">
        <f t="shared" si="6"/>
        <v>1322.6217756164383</v>
      </c>
      <c r="Y11" s="6">
        <v>361562.50689999998</v>
      </c>
      <c r="Z11" s="6">
        <f t="shared" si="7"/>
        <v>361562.50689999998</v>
      </c>
      <c r="AA11" s="6">
        <f t="shared" si="8"/>
        <v>990.5822106849314</v>
      </c>
      <c r="AB11" s="6">
        <v>284585.7598</v>
      </c>
      <c r="AC11" s="6">
        <f t="shared" si="9"/>
        <v>284585.7598</v>
      </c>
      <c r="AD11" s="6">
        <f t="shared" si="10"/>
        <v>779.68701315068495</v>
      </c>
      <c r="AE11" s="6">
        <v>191036.81460000001</v>
      </c>
      <c r="AF11" s="6">
        <f t="shared" si="11"/>
        <v>191036.81460000001</v>
      </c>
      <c r="AG11" s="6">
        <f t="shared" si="12"/>
        <v>523.38853315068502</v>
      </c>
      <c r="AH11" s="6">
        <v>141642.07500000001</v>
      </c>
      <c r="AI11" s="6">
        <f t="shared" si="13"/>
        <v>141642.07500000001</v>
      </c>
      <c r="AJ11" s="6">
        <f t="shared" si="14"/>
        <v>388.06047945205484</v>
      </c>
      <c r="AK11" s="6">
        <v>107187.6329</v>
      </c>
      <c r="AL11" s="6">
        <f t="shared" si="15"/>
        <v>107187.6329</v>
      </c>
      <c r="AM11" s="6">
        <f t="shared" si="16"/>
        <v>293.66474767123287</v>
      </c>
      <c r="AN11" s="6">
        <v>25599.4817</v>
      </c>
      <c r="AO11" s="6">
        <f t="shared" si="17"/>
        <v>25599.4817</v>
      </c>
      <c r="AP11" s="6">
        <f t="shared" si="18"/>
        <v>70.135566301369863</v>
      </c>
      <c r="AQ11" s="6">
        <v>0</v>
      </c>
      <c r="AR11" s="6">
        <f t="shared" si="19"/>
        <v>0</v>
      </c>
      <c r="AS11" s="6">
        <f t="shared" si="20"/>
        <v>0</v>
      </c>
      <c r="AT11" s="6">
        <v>0</v>
      </c>
      <c r="AU11" s="6">
        <f t="shared" si="21"/>
        <v>0</v>
      </c>
      <c r="AV11" s="6">
        <f t="shared" si="22"/>
        <v>0</v>
      </c>
      <c r="AW11" s="6">
        <v>0</v>
      </c>
      <c r="AX11" s="6">
        <f t="shared" si="23"/>
        <v>0</v>
      </c>
      <c r="AY11" s="6">
        <f t="shared" si="24"/>
        <v>0</v>
      </c>
      <c r="AZ11" s="6">
        <v>0</v>
      </c>
      <c r="BA11" s="6">
        <f t="shared" si="25"/>
        <v>0</v>
      </c>
      <c r="BB11" s="6">
        <f t="shared" si="26"/>
        <v>0</v>
      </c>
      <c r="BC11" s="6">
        <v>0</v>
      </c>
      <c r="BD11" s="6">
        <f t="shared" si="27"/>
        <v>0</v>
      </c>
      <c r="BE11" s="6">
        <f t="shared" si="28"/>
        <v>0</v>
      </c>
      <c r="BF11" s="6">
        <v>0</v>
      </c>
      <c r="BG11" s="6">
        <f t="shared" si="29"/>
        <v>0</v>
      </c>
      <c r="BH11" s="6">
        <f t="shared" si="30"/>
        <v>0</v>
      </c>
      <c r="BI11" s="6">
        <v>0</v>
      </c>
      <c r="BJ11" s="6">
        <f t="shared" si="31"/>
        <v>0</v>
      </c>
      <c r="BK11" s="6">
        <f t="shared" si="32"/>
        <v>0</v>
      </c>
      <c r="BL11" s="6">
        <v>0</v>
      </c>
      <c r="BM11" s="6">
        <f t="shared" si="33"/>
        <v>0</v>
      </c>
      <c r="BN11" s="6">
        <f t="shared" si="34"/>
        <v>0</v>
      </c>
      <c r="BO11" s="6">
        <v>0</v>
      </c>
      <c r="BP11" s="6">
        <f t="shared" si="35"/>
        <v>0</v>
      </c>
      <c r="BQ11" s="6">
        <f t="shared" si="36"/>
        <v>0</v>
      </c>
      <c r="BR11" s="6">
        <v>0</v>
      </c>
      <c r="BS11" s="6">
        <f t="shared" si="37"/>
        <v>0</v>
      </c>
      <c r="BT11" s="6">
        <f t="shared" si="38"/>
        <v>0</v>
      </c>
      <c r="BU11" s="6">
        <v>0</v>
      </c>
      <c r="BV11" s="6">
        <f t="shared" si="39"/>
        <v>0</v>
      </c>
      <c r="BW11" s="6">
        <f t="shared" si="40"/>
        <v>0</v>
      </c>
      <c r="BX11" s="6">
        <v>0</v>
      </c>
      <c r="BY11" s="6">
        <f t="shared" si="41"/>
        <v>0</v>
      </c>
      <c r="BZ11" s="6">
        <f t="shared" si="42"/>
        <v>0</v>
      </c>
      <c r="CA11" s="6">
        <v>0</v>
      </c>
      <c r="CB11" s="6">
        <f t="shared" si="43"/>
        <v>0</v>
      </c>
      <c r="CC11" s="6">
        <f t="shared" si="44"/>
        <v>0</v>
      </c>
      <c r="CD11" s="6">
        <v>0</v>
      </c>
      <c r="CE11" s="6">
        <f t="shared" si="45"/>
        <v>0</v>
      </c>
      <c r="CF11" s="6">
        <f t="shared" si="46"/>
        <v>0</v>
      </c>
      <c r="CG11" s="6">
        <v>0</v>
      </c>
      <c r="CH11" s="6">
        <f t="shared" si="47"/>
        <v>0</v>
      </c>
      <c r="CI11" s="6">
        <f t="shared" si="48"/>
        <v>0</v>
      </c>
      <c r="CJ11" s="6">
        <v>0</v>
      </c>
      <c r="CK11" s="6">
        <f t="shared" si="49"/>
        <v>0</v>
      </c>
      <c r="CL11" s="6">
        <f t="shared" si="50"/>
        <v>0</v>
      </c>
      <c r="CM11" s="6">
        <v>0</v>
      </c>
      <c r="CN11" s="6">
        <f t="shared" si="51"/>
        <v>0</v>
      </c>
      <c r="CO11" s="6">
        <f t="shared" si="52"/>
        <v>0</v>
      </c>
      <c r="CP11" s="6">
        <v>0</v>
      </c>
      <c r="CQ11" s="6">
        <f t="shared" si="53"/>
        <v>0</v>
      </c>
      <c r="CR11" s="6">
        <f t="shared" si="54"/>
        <v>0</v>
      </c>
      <c r="CS11" s="6">
        <v>0</v>
      </c>
      <c r="CT11" s="6">
        <f t="shared" si="55"/>
        <v>0</v>
      </c>
      <c r="CU11" s="6">
        <f t="shared" si="56"/>
        <v>0</v>
      </c>
      <c r="CV11" s="6">
        <v>0</v>
      </c>
      <c r="CW11" s="6">
        <f t="shared" si="57"/>
        <v>0</v>
      </c>
      <c r="CX11" s="6">
        <f t="shared" si="58"/>
        <v>0</v>
      </c>
      <c r="CY11" s="6">
        <v>0</v>
      </c>
      <c r="CZ11" s="6">
        <f t="shared" si="59"/>
        <v>0</v>
      </c>
      <c r="DA11" s="6">
        <f t="shared" si="60"/>
        <v>0</v>
      </c>
      <c r="DB11" s="6">
        <v>0</v>
      </c>
      <c r="DC11" s="6">
        <f t="shared" si="61"/>
        <v>0</v>
      </c>
      <c r="DD11" s="6">
        <f t="shared" si="62"/>
        <v>0</v>
      </c>
      <c r="DE11" s="6">
        <v>0</v>
      </c>
      <c r="DF11" s="6">
        <f t="shared" si="63"/>
        <v>0</v>
      </c>
      <c r="DG11" s="6">
        <f t="shared" si="64"/>
        <v>0</v>
      </c>
      <c r="DH11" s="6">
        <v>0</v>
      </c>
      <c r="DI11" s="6">
        <f t="shared" si="65"/>
        <v>0</v>
      </c>
      <c r="DJ11" s="6">
        <f t="shared" si="66"/>
        <v>0</v>
      </c>
      <c r="DK11" s="6">
        <v>0</v>
      </c>
      <c r="DL11" s="6">
        <f t="shared" si="67"/>
        <v>0</v>
      </c>
      <c r="DM11" s="6">
        <f t="shared" si="68"/>
        <v>0</v>
      </c>
      <c r="DN11" s="6">
        <v>0</v>
      </c>
      <c r="DO11" s="6">
        <f t="shared" si="69"/>
        <v>0</v>
      </c>
      <c r="DP11" s="6">
        <f t="shared" si="70"/>
        <v>0</v>
      </c>
    </row>
    <row r="12" spans="1:120" x14ac:dyDescent="0.2">
      <c r="A12" s="21">
        <v>85</v>
      </c>
      <c r="B12" s="21" t="s">
        <v>612</v>
      </c>
      <c r="C12" s="21">
        <v>85230</v>
      </c>
      <c r="D12" s="21" t="s">
        <v>614</v>
      </c>
      <c r="E12" s="21" t="s">
        <v>601</v>
      </c>
      <c r="F12" s="22" t="s">
        <v>669</v>
      </c>
      <c r="G12" s="4" t="s">
        <v>124</v>
      </c>
      <c r="H12" s="6">
        <v>22308.23</v>
      </c>
      <c r="I12" s="6">
        <f t="shared" si="0"/>
        <v>61.118438356164383</v>
      </c>
      <c r="J12" s="6">
        <v>214584.12</v>
      </c>
      <c r="K12" s="6">
        <v>23051.77</v>
      </c>
      <c r="L12" s="6">
        <f t="shared" si="1"/>
        <v>62.982978142076504</v>
      </c>
      <c r="M12" s="6">
        <v>179183.22719999999</v>
      </c>
      <c r="N12" s="6">
        <v>20865.169999999998</v>
      </c>
      <c r="O12" s="6">
        <f t="shared" si="71"/>
        <v>57.164849315068487</v>
      </c>
      <c r="P12" s="6">
        <v>150662.07870000001</v>
      </c>
      <c r="Q12" s="6">
        <v>7066.35</v>
      </c>
      <c r="R12" s="6">
        <f t="shared" si="72"/>
        <v>39.040607734806635</v>
      </c>
      <c r="S12" s="6">
        <v>127449.46890000001</v>
      </c>
      <c r="T12" s="6">
        <f t="shared" si="3"/>
        <v>127449.46890000001</v>
      </c>
      <c r="U12" s="6">
        <f t="shared" si="4"/>
        <v>349.17662712328769</v>
      </c>
      <c r="V12" s="6">
        <v>108538.99340000001</v>
      </c>
      <c r="W12" s="6">
        <f t="shared" si="5"/>
        <v>108538.99340000001</v>
      </c>
      <c r="X12" s="6">
        <f t="shared" si="6"/>
        <v>297.36710520547945</v>
      </c>
      <c r="Y12" s="6">
        <v>93115.407300000006</v>
      </c>
      <c r="Z12" s="6">
        <f t="shared" si="7"/>
        <v>93115.407300000006</v>
      </c>
      <c r="AA12" s="6">
        <f t="shared" si="8"/>
        <v>255.11070493150686</v>
      </c>
      <c r="AB12" s="6">
        <v>80518.332999999999</v>
      </c>
      <c r="AC12" s="6">
        <f t="shared" si="9"/>
        <v>80518.332999999999</v>
      </c>
      <c r="AD12" s="6">
        <f t="shared" si="10"/>
        <v>220.59817260273971</v>
      </c>
      <c r="AE12" s="6">
        <v>70212.798599999995</v>
      </c>
      <c r="AF12" s="6">
        <f t="shared" si="11"/>
        <v>70212.798599999995</v>
      </c>
      <c r="AG12" s="6">
        <f t="shared" si="12"/>
        <v>192.3638317808219</v>
      </c>
      <c r="AH12" s="6">
        <v>61765.457900000001</v>
      </c>
      <c r="AI12" s="6">
        <f t="shared" si="13"/>
        <v>61765.457900000001</v>
      </c>
      <c r="AJ12" s="6">
        <f t="shared" si="14"/>
        <v>169.22043260273972</v>
      </c>
      <c r="AK12" s="6">
        <v>54825.256500000003</v>
      </c>
      <c r="AL12" s="6">
        <f t="shared" si="15"/>
        <v>54825.256500000003</v>
      </c>
      <c r="AM12" s="6">
        <f t="shared" si="16"/>
        <v>150.20618219178084</v>
      </c>
      <c r="AN12" s="6">
        <v>51107.786699999997</v>
      </c>
      <c r="AO12" s="6">
        <f t="shared" si="17"/>
        <v>51107.786699999997</v>
      </c>
      <c r="AP12" s="6">
        <f t="shared" si="18"/>
        <v>140.02133342465751</v>
      </c>
      <c r="AQ12" s="6">
        <v>48125.63</v>
      </c>
      <c r="AR12" s="6">
        <f t="shared" si="19"/>
        <v>48125.63</v>
      </c>
      <c r="AS12" s="6">
        <f t="shared" si="20"/>
        <v>131.85104109589039</v>
      </c>
      <c r="AT12" s="6">
        <v>0</v>
      </c>
      <c r="AU12" s="6">
        <f t="shared" si="21"/>
        <v>0</v>
      </c>
      <c r="AV12" s="6">
        <f t="shared" si="22"/>
        <v>0</v>
      </c>
      <c r="AW12" s="6">
        <v>0</v>
      </c>
      <c r="AX12" s="6">
        <f t="shared" si="23"/>
        <v>0</v>
      </c>
      <c r="AY12" s="6">
        <f t="shared" si="24"/>
        <v>0</v>
      </c>
      <c r="AZ12" s="6">
        <v>0</v>
      </c>
      <c r="BA12" s="6">
        <f t="shared" si="25"/>
        <v>0</v>
      </c>
      <c r="BB12" s="6">
        <f t="shared" si="26"/>
        <v>0</v>
      </c>
      <c r="BC12" s="6">
        <v>0</v>
      </c>
      <c r="BD12" s="6">
        <f t="shared" si="27"/>
        <v>0</v>
      </c>
      <c r="BE12" s="6">
        <f t="shared" si="28"/>
        <v>0</v>
      </c>
      <c r="BF12" s="6">
        <v>0</v>
      </c>
      <c r="BG12" s="6">
        <f t="shared" si="29"/>
        <v>0</v>
      </c>
      <c r="BH12" s="6">
        <f t="shared" si="30"/>
        <v>0</v>
      </c>
      <c r="BI12" s="6">
        <v>0</v>
      </c>
      <c r="BJ12" s="6">
        <f t="shared" si="31"/>
        <v>0</v>
      </c>
      <c r="BK12" s="6">
        <f t="shared" si="32"/>
        <v>0</v>
      </c>
      <c r="BL12" s="6">
        <v>0</v>
      </c>
      <c r="BM12" s="6">
        <f t="shared" si="33"/>
        <v>0</v>
      </c>
      <c r="BN12" s="6">
        <f t="shared" si="34"/>
        <v>0</v>
      </c>
      <c r="BO12" s="6">
        <v>0</v>
      </c>
      <c r="BP12" s="6">
        <f t="shared" si="35"/>
        <v>0</v>
      </c>
      <c r="BQ12" s="6">
        <f t="shared" si="36"/>
        <v>0</v>
      </c>
      <c r="BR12" s="6">
        <v>0</v>
      </c>
      <c r="BS12" s="6">
        <f t="shared" si="37"/>
        <v>0</v>
      </c>
      <c r="BT12" s="6">
        <f t="shared" si="38"/>
        <v>0</v>
      </c>
      <c r="BU12" s="6">
        <v>0</v>
      </c>
      <c r="BV12" s="6">
        <f t="shared" si="39"/>
        <v>0</v>
      </c>
      <c r="BW12" s="6">
        <f t="shared" si="40"/>
        <v>0</v>
      </c>
      <c r="BX12" s="6">
        <v>0</v>
      </c>
      <c r="BY12" s="6">
        <f t="shared" si="41"/>
        <v>0</v>
      </c>
      <c r="BZ12" s="6">
        <f t="shared" si="42"/>
        <v>0</v>
      </c>
      <c r="CA12" s="6">
        <v>0</v>
      </c>
      <c r="CB12" s="6">
        <f t="shared" si="43"/>
        <v>0</v>
      </c>
      <c r="CC12" s="6">
        <f t="shared" si="44"/>
        <v>0</v>
      </c>
      <c r="CD12" s="6">
        <v>0</v>
      </c>
      <c r="CE12" s="6">
        <f t="shared" si="45"/>
        <v>0</v>
      </c>
      <c r="CF12" s="6">
        <f t="shared" si="46"/>
        <v>0</v>
      </c>
      <c r="CG12" s="6">
        <v>0</v>
      </c>
      <c r="CH12" s="6">
        <f t="shared" si="47"/>
        <v>0</v>
      </c>
      <c r="CI12" s="6">
        <f t="shared" si="48"/>
        <v>0</v>
      </c>
      <c r="CJ12" s="6">
        <v>0</v>
      </c>
      <c r="CK12" s="6">
        <f t="shared" si="49"/>
        <v>0</v>
      </c>
      <c r="CL12" s="6">
        <f t="shared" si="50"/>
        <v>0</v>
      </c>
      <c r="CM12" s="6">
        <v>0</v>
      </c>
      <c r="CN12" s="6">
        <f t="shared" si="51"/>
        <v>0</v>
      </c>
      <c r="CO12" s="6">
        <f t="shared" si="52"/>
        <v>0</v>
      </c>
      <c r="CP12" s="6">
        <v>0</v>
      </c>
      <c r="CQ12" s="6">
        <f t="shared" si="53"/>
        <v>0</v>
      </c>
      <c r="CR12" s="6">
        <f t="shared" si="54"/>
        <v>0</v>
      </c>
      <c r="CS12" s="6">
        <v>0</v>
      </c>
      <c r="CT12" s="6">
        <f t="shared" si="55"/>
        <v>0</v>
      </c>
      <c r="CU12" s="6">
        <f t="shared" si="56"/>
        <v>0</v>
      </c>
      <c r="CV12" s="6">
        <v>0</v>
      </c>
      <c r="CW12" s="6">
        <f t="shared" si="57"/>
        <v>0</v>
      </c>
      <c r="CX12" s="6">
        <f t="shared" si="58"/>
        <v>0</v>
      </c>
      <c r="CY12" s="6">
        <v>0</v>
      </c>
      <c r="CZ12" s="6">
        <f t="shared" si="59"/>
        <v>0</v>
      </c>
      <c r="DA12" s="6">
        <f t="shared" si="60"/>
        <v>0</v>
      </c>
      <c r="DB12" s="6">
        <v>0</v>
      </c>
      <c r="DC12" s="6">
        <f t="shared" si="61"/>
        <v>0</v>
      </c>
      <c r="DD12" s="6">
        <f t="shared" si="62"/>
        <v>0</v>
      </c>
      <c r="DE12" s="6">
        <v>0</v>
      </c>
      <c r="DF12" s="6">
        <f t="shared" si="63"/>
        <v>0</v>
      </c>
      <c r="DG12" s="6">
        <f t="shared" si="64"/>
        <v>0</v>
      </c>
      <c r="DH12" s="6">
        <v>0</v>
      </c>
      <c r="DI12" s="6">
        <f t="shared" si="65"/>
        <v>0</v>
      </c>
      <c r="DJ12" s="6">
        <f t="shared" si="66"/>
        <v>0</v>
      </c>
      <c r="DK12" s="6">
        <v>0</v>
      </c>
      <c r="DL12" s="6">
        <f t="shared" si="67"/>
        <v>0</v>
      </c>
      <c r="DM12" s="6">
        <f t="shared" si="68"/>
        <v>0</v>
      </c>
      <c r="DN12" s="6">
        <v>0</v>
      </c>
      <c r="DO12" s="6">
        <f t="shared" si="69"/>
        <v>0</v>
      </c>
      <c r="DP12" s="6">
        <f t="shared" si="70"/>
        <v>0</v>
      </c>
    </row>
    <row r="13" spans="1:120" x14ac:dyDescent="0.2">
      <c r="A13" s="21">
        <v>86</v>
      </c>
      <c r="B13" s="21" t="s">
        <v>664</v>
      </c>
      <c r="C13" s="21">
        <v>86320</v>
      </c>
      <c r="D13" s="21" t="s">
        <v>329</v>
      </c>
      <c r="E13" s="21" t="s">
        <v>522</v>
      </c>
      <c r="F13" s="22" t="s">
        <v>666</v>
      </c>
      <c r="G13" s="4" t="s">
        <v>125</v>
      </c>
      <c r="H13" s="6">
        <v>5887.66</v>
      </c>
      <c r="I13" s="6">
        <f t="shared" si="0"/>
        <v>16.130575342465754</v>
      </c>
      <c r="J13" s="6">
        <v>82213</v>
      </c>
      <c r="K13" s="6">
        <v>192579.91</v>
      </c>
      <c r="L13" s="6">
        <f t="shared" si="1"/>
        <v>526.17461748633878</v>
      </c>
      <c r="M13" s="6">
        <v>52965</v>
      </c>
      <c r="N13" s="6">
        <v>204625.56</v>
      </c>
      <c r="O13" s="6">
        <f t="shared" si="71"/>
        <v>560.61797260273977</v>
      </c>
      <c r="P13" s="6">
        <v>41386</v>
      </c>
      <c r="Q13" s="6">
        <v>91431.51</v>
      </c>
      <c r="R13" s="6">
        <f t="shared" si="72"/>
        <v>505.14646408839775</v>
      </c>
      <c r="S13" s="6">
        <v>32398</v>
      </c>
      <c r="T13" s="6">
        <f t="shared" si="3"/>
        <v>32398</v>
      </c>
      <c r="U13" s="6">
        <f t="shared" si="4"/>
        <v>88.761643835616439</v>
      </c>
      <c r="V13" s="6">
        <v>17632</v>
      </c>
      <c r="W13" s="6">
        <f t="shared" si="5"/>
        <v>17632</v>
      </c>
      <c r="X13" s="6">
        <f t="shared" si="6"/>
        <v>48.30684931506849</v>
      </c>
      <c r="Y13" s="6">
        <v>0</v>
      </c>
      <c r="Z13" s="6">
        <f t="shared" si="7"/>
        <v>0</v>
      </c>
      <c r="AA13" s="6">
        <f t="shared" si="8"/>
        <v>0</v>
      </c>
      <c r="AB13" s="6">
        <v>0</v>
      </c>
      <c r="AC13" s="6">
        <f t="shared" si="9"/>
        <v>0</v>
      </c>
      <c r="AD13" s="6">
        <f t="shared" si="10"/>
        <v>0</v>
      </c>
      <c r="AE13" s="6">
        <v>0</v>
      </c>
      <c r="AF13" s="6">
        <f t="shared" si="11"/>
        <v>0</v>
      </c>
      <c r="AG13" s="6">
        <f t="shared" si="12"/>
        <v>0</v>
      </c>
      <c r="AH13" s="6">
        <v>0</v>
      </c>
      <c r="AI13" s="6">
        <f t="shared" si="13"/>
        <v>0</v>
      </c>
      <c r="AJ13" s="6">
        <f t="shared" si="14"/>
        <v>0</v>
      </c>
      <c r="AK13" s="6">
        <v>0</v>
      </c>
      <c r="AL13" s="6">
        <f t="shared" si="15"/>
        <v>0</v>
      </c>
      <c r="AM13" s="6">
        <f t="shared" si="16"/>
        <v>0</v>
      </c>
      <c r="AN13" s="6">
        <v>0</v>
      </c>
      <c r="AO13" s="6">
        <f t="shared" si="17"/>
        <v>0</v>
      </c>
      <c r="AP13" s="6">
        <f t="shared" si="18"/>
        <v>0</v>
      </c>
      <c r="AQ13" s="6">
        <v>0</v>
      </c>
      <c r="AR13" s="6">
        <f t="shared" si="19"/>
        <v>0</v>
      </c>
      <c r="AS13" s="6">
        <f t="shared" si="20"/>
        <v>0</v>
      </c>
      <c r="AT13" s="6">
        <v>0</v>
      </c>
      <c r="AU13" s="6">
        <f t="shared" si="21"/>
        <v>0</v>
      </c>
      <c r="AV13" s="6">
        <f t="shared" si="22"/>
        <v>0</v>
      </c>
      <c r="AW13" s="6">
        <v>0</v>
      </c>
      <c r="AX13" s="6">
        <f t="shared" si="23"/>
        <v>0</v>
      </c>
      <c r="AY13" s="6">
        <f t="shared" si="24"/>
        <v>0</v>
      </c>
      <c r="AZ13" s="6">
        <v>0</v>
      </c>
      <c r="BA13" s="6">
        <f t="shared" si="25"/>
        <v>0</v>
      </c>
      <c r="BB13" s="6">
        <f t="shared" si="26"/>
        <v>0</v>
      </c>
      <c r="BC13" s="6">
        <v>0</v>
      </c>
      <c r="BD13" s="6">
        <f t="shared" si="27"/>
        <v>0</v>
      </c>
      <c r="BE13" s="6">
        <f t="shared" si="28"/>
        <v>0</v>
      </c>
      <c r="BF13" s="6">
        <v>0</v>
      </c>
      <c r="BG13" s="6">
        <f t="shared" si="29"/>
        <v>0</v>
      </c>
      <c r="BH13" s="6">
        <f t="shared" si="30"/>
        <v>0</v>
      </c>
      <c r="BI13" s="6">
        <v>0</v>
      </c>
      <c r="BJ13" s="6">
        <f t="shared" si="31"/>
        <v>0</v>
      </c>
      <c r="BK13" s="6">
        <f t="shared" si="32"/>
        <v>0</v>
      </c>
      <c r="BL13" s="6">
        <v>0</v>
      </c>
      <c r="BM13" s="6">
        <f t="shared" si="33"/>
        <v>0</v>
      </c>
      <c r="BN13" s="6">
        <f t="shared" si="34"/>
        <v>0</v>
      </c>
      <c r="BO13" s="6">
        <v>0</v>
      </c>
      <c r="BP13" s="6">
        <f t="shared" si="35"/>
        <v>0</v>
      </c>
      <c r="BQ13" s="6">
        <f t="shared" si="36"/>
        <v>0</v>
      </c>
      <c r="BR13" s="6">
        <v>0</v>
      </c>
      <c r="BS13" s="6">
        <f t="shared" si="37"/>
        <v>0</v>
      </c>
      <c r="BT13" s="6">
        <f t="shared" si="38"/>
        <v>0</v>
      </c>
      <c r="BU13" s="6">
        <v>0</v>
      </c>
      <c r="BV13" s="6">
        <f t="shared" si="39"/>
        <v>0</v>
      </c>
      <c r="BW13" s="6">
        <f t="shared" si="40"/>
        <v>0</v>
      </c>
      <c r="BX13" s="6">
        <v>0</v>
      </c>
      <c r="BY13" s="6">
        <f t="shared" si="41"/>
        <v>0</v>
      </c>
      <c r="BZ13" s="6">
        <f t="shared" si="42"/>
        <v>0</v>
      </c>
      <c r="CA13" s="6">
        <v>0</v>
      </c>
      <c r="CB13" s="6">
        <f t="shared" si="43"/>
        <v>0</v>
      </c>
      <c r="CC13" s="6">
        <f t="shared" si="44"/>
        <v>0</v>
      </c>
      <c r="CD13" s="6">
        <v>0</v>
      </c>
      <c r="CE13" s="6">
        <f t="shared" si="45"/>
        <v>0</v>
      </c>
      <c r="CF13" s="6">
        <f t="shared" si="46"/>
        <v>0</v>
      </c>
      <c r="CG13" s="6">
        <v>0</v>
      </c>
      <c r="CH13" s="6">
        <f t="shared" si="47"/>
        <v>0</v>
      </c>
      <c r="CI13" s="6">
        <f t="shared" si="48"/>
        <v>0</v>
      </c>
      <c r="CJ13" s="6">
        <v>0</v>
      </c>
      <c r="CK13" s="6">
        <f t="shared" si="49"/>
        <v>0</v>
      </c>
      <c r="CL13" s="6">
        <f t="shared" si="50"/>
        <v>0</v>
      </c>
      <c r="CM13" s="6">
        <v>0</v>
      </c>
      <c r="CN13" s="6">
        <f t="shared" si="51"/>
        <v>0</v>
      </c>
      <c r="CO13" s="6">
        <f t="shared" si="52"/>
        <v>0</v>
      </c>
      <c r="CP13" s="6">
        <v>0</v>
      </c>
      <c r="CQ13" s="6">
        <f t="shared" si="53"/>
        <v>0</v>
      </c>
      <c r="CR13" s="6">
        <f t="shared" si="54"/>
        <v>0</v>
      </c>
      <c r="CS13" s="6">
        <v>0</v>
      </c>
      <c r="CT13" s="6">
        <f t="shared" si="55"/>
        <v>0</v>
      </c>
      <c r="CU13" s="6">
        <f t="shared" si="56"/>
        <v>0</v>
      </c>
      <c r="CV13" s="6">
        <v>0</v>
      </c>
      <c r="CW13" s="6">
        <f t="shared" si="57"/>
        <v>0</v>
      </c>
      <c r="CX13" s="6">
        <f t="shared" si="58"/>
        <v>0</v>
      </c>
      <c r="CY13" s="6">
        <v>0</v>
      </c>
      <c r="CZ13" s="6">
        <f t="shared" si="59"/>
        <v>0</v>
      </c>
      <c r="DA13" s="6">
        <f t="shared" si="60"/>
        <v>0</v>
      </c>
      <c r="DB13" s="6">
        <v>0</v>
      </c>
      <c r="DC13" s="6">
        <f t="shared" si="61"/>
        <v>0</v>
      </c>
      <c r="DD13" s="6">
        <f t="shared" si="62"/>
        <v>0</v>
      </c>
      <c r="DE13" s="6">
        <v>0</v>
      </c>
      <c r="DF13" s="6">
        <f t="shared" si="63"/>
        <v>0</v>
      </c>
      <c r="DG13" s="6">
        <f t="shared" si="64"/>
        <v>0</v>
      </c>
      <c r="DH13" s="6">
        <v>0</v>
      </c>
      <c r="DI13" s="6">
        <f t="shared" si="65"/>
        <v>0</v>
      </c>
      <c r="DJ13" s="6">
        <f t="shared" si="66"/>
        <v>0</v>
      </c>
      <c r="DK13" s="6">
        <v>0</v>
      </c>
      <c r="DL13" s="6">
        <f t="shared" si="67"/>
        <v>0</v>
      </c>
      <c r="DM13" s="6">
        <f t="shared" si="68"/>
        <v>0</v>
      </c>
      <c r="DN13" s="6">
        <v>0</v>
      </c>
      <c r="DO13" s="6">
        <f t="shared" si="69"/>
        <v>0</v>
      </c>
      <c r="DP13" s="6">
        <f t="shared" si="70"/>
        <v>0</v>
      </c>
    </row>
    <row r="14" spans="1:120" x14ac:dyDescent="0.2">
      <c r="A14" s="21">
        <v>85</v>
      </c>
      <c r="B14" s="21" t="s">
        <v>612</v>
      </c>
      <c r="C14" s="21">
        <v>85230</v>
      </c>
      <c r="D14" s="21" t="s">
        <v>614</v>
      </c>
      <c r="E14" s="21" t="s">
        <v>601</v>
      </c>
      <c r="F14" s="22" t="s">
        <v>669</v>
      </c>
      <c r="G14" s="4" t="s">
        <v>126</v>
      </c>
      <c r="H14" s="6">
        <v>114799.69</v>
      </c>
      <c r="I14" s="6">
        <f t="shared" si="0"/>
        <v>314.51969863013699</v>
      </c>
      <c r="J14" s="6">
        <v>180221.141</v>
      </c>
      <c r="K14" s="6">
        <v>84147.58</v>
      </c>
      <c r="L14" s="6">
        <f t="shared" si="1"/>
        <v>229.91142076502732</v>
      </c>
      <c r="M14" s="6">
        <v>174594.68299999999</v>
      </c>
      <c r="N14" s="6">
        <v>75419.83</v>
      </c>
      <c r="O14" s="6">
        <f t="shared" si="71"/>
        <v>206.62967123287672</v>
      </c>
      <c r="P14" s="6">
        <v>169190.27</v>
      </c>
      <c r="Q14" s="6">
        <v>37116.94</v>
      </c>
      <c r="R14" s="6">
        <f t="shared" si="72"/>
        <v>205.06596685082874</v>
      </c>
      <c r="S14" s="6">
        <v>164864.54999999999</v>
      </c>
      <c r="T14" s="6">
        <f t="shared" si="3"/>
        <v>164864.54999999999</v>
      </c>
      <c r="U14" s="6">
        <f t="shared" si="4"/>
        <v>451.68369863013697</v>
      </c>
      <c r="V14" s="6">
        <v>159814.94</v>
      </c>
      <c r="W14" s="6">
        <f t="shared" si="5"/>
        <v>159814.94</v>
      </c>
      <c r="X14" s="6">
        <f t="shared" si="6"/>
        <v>437.84915068493149</v>
      </c>
      <c r="Y14" s="6">
        <v>155953.94</v>
      </c>
      <c r="Z14" s="6">
        <f t="shared" si="7"/>
        <v>155953.94</v>
      </c>
      <c r="AA14" s="6">
        <f t="shared" si="8"/>
        <v>427.27106849315066</v>
      </c>
      <c r="AB14" s="6">
        <v>151223.39000000001</v>
      </c>
      <c r="AC14" s="6">
        <f t="shared" si="9"/>
        <v>151223.39000000001</v>
      </c>
      <c r="AD14" s="6">
        <f t="shared" si="10"/>
        <v>414.31065753424662</v>
      </c>
      <c r="AE14" s="6">
        <v>147668.01999999999</v>
      </c>
      <c r="AF14" s="6">
        <f t="shared" si="11"/>
        <v>147668.01999999999</v>
      </c>
      <c r="AG14" s="6">
        <f t="shared" si="12"/>
        <v>404.56991780821915</v>
      </c>
      <c r="AH14" s="6">
        <v>143230.31</v>
      </c>
      <c r="AI14" s="6">
        <f t="shared" si="13"/>
        <v>143230.31</v>
      </c>
      <c r="AJ14" s="6">
        <f t="shared" si="14"/>
        <v>392.41180821917806</v>
      </c>
      <c r="AK14" s="6">
        <v>138455.57</v>
      </c>
      <c r="AL14" s="6">
        <f t="shared" si="15"/>
        <v>138455.57</v>
      </c>
      <c r="AM14" s="6">
        <f t="shared" si="16"/>
        <v>379.33032876712332</v>
      </c>
      <c r="AN14" s="6">
        <v>134361.82999999999</v>
      </c>
      <c r="AO14" s="6">
        <f t="shared" si="17"/>
        <v>134361.82999999999</v>
      </c>
      <c r="AP14" s="6">
        <f t="shared" si="18"/>
        <v>368.11460273972597</v>
      </c>
      <c r="AQ14" s="6">
        <v>130516.2</v>
      </c>
      <c r="AR14" s="6">
        <f t="shared" si="19"/>
        <v>130516.2</v>
      </c>
      <c r="AS14" s="6">
        <f t="shared" si="20"/>
        <v>357.57863013698631</v>
      </c>
      <c r="AT14" s="6">
        <v>0</v>
      </c>
      <c r="AU14" s="6">
        <f t="shared" si="21"/>
        <v>0</v>
      </c>
      <c r="AV14" s="6">
        <f t="shared" si="22"/>
        <v>0</v>
      </c>
      <c r="AW14" s="6">
        <v>0</v>
      </c>
      <c r="AX14" s="6">
        <f t="shared" si="23"/>
        <v>0</v>
      </c>
      <c r="AY14" s="6">
        <f t="shared" si="24"/>
        <v>0</v>
      </c>
      <c r="AZ14" s="6">
        <v>0</v>
      </c>
      <c r="BA14" s="6">
        <f t="shared" si="25"/>
        <v>0</v>
      </c>
      <c r="BB14" s="6">
        <f t="shared" si="26"/>
        <v>0</v>
      </c>
      <c r="BC14" s="6">
        <v>0</v>
      </c>
      <c r="BD14" s="6">
        <f t="shared" si="27"/>
        <v>0</v>
      </c>
      <c r="BE14" s="6">
        <f t="shared" si="28"/>
        <v>0</v>
      </c>
      <c r="BF14" s="6">
        <v>0</v>
      </c>
      <c r="BG14" s="6">
        <f t="shared" si="29"/>
        <v>0</v>
      </c>
      <c r="BH14" s="6">
        <f t="shared" si="30"/>
        <v>0</v>
      </c>
      <c r="BI14" s="6">
        <v>0</v>
      </c>
      <c r="BJ14" s="6">
        <f t="shared" si="31"/>
        <v>0</v>
      </c>
      <c r="BK14" s="6">
        <f t="shared" si="32"/>
        <v>0</v>
      </c>
      <c r="BL14" s="6">
        <v>0</v>
      </c>
      <c r="BM14" s="6">
        <f t="shared" si="33"/>
        <v>0</v>
      </c>
      <c r="BN14" s="6">
        <f t="shared" si="34"/>
        <v>0</v>
      </c>
      <c r="BO14" s="6">
        <v>0</v>
      </c>
      <c r="BP14" s="6">
        <f t="shared" si="35"/>
        <v>0</v>
      </c>
      <c r="BQ14" s="6">
        <f t="shared" si="36"/>
        <v>0</v>
      </c>
      <c r="BR14" s="6">
        <v>0</v>
      </c>
      <c r="BS14" s="6">
        <f t="shared" si="37"/>
        <v>0</v>
      </c>
      <c r="BT14" s="6">
        <f t="shared" si="38"/>
        <v>0</v>
      </c>
      <c r="BU14" s="6">
        <v>0</v>
      </c>
      <c r="BV14" s="6">
        <f t="shared" si="39"/>
        <v>0</v>
      </c>
      <c r="BW14" s="6">
        <f t="shared" si="40"/>
        <v>0</v>
      </c>
      <c r="BX14" s="6">
        <v>0</v>
      </c>
      <c r="BY14" s="6">
        <f t="shared" si="41"/>
        <v>0</v>
      </c>
      <c r="BZ14" s="6">
        <f t="shared" si="42"/>
        <v>0</v>
      </c>
      <c r="CA14" s="6">
        <v>0</v>
      </c>
      <c r="CB14" s="6">
        <f t="shared" si="43"/>
        <v>0</v>
      </c>
      <c r="CC14" s="6">
        <f t="shared" si="44"/>
        <v>0</v>
      </c>
      <c r="CD14" s="6">
        <v>0</v>
      </c>
      <c r="CE14" s="6">
        <f t="shared" si="45"/>
        <v>0</v>
      </c>
      <c r="CF14" s="6">
        <f t="shared" si="46"/>
        <v>0</v>
      </c>
      <c r="CG14" s="6">
        <v>0</v>
      </c>
      <c r="CH14" s="6">
        <f t="shared" si="47"/>
        <v>0</v>
      </c>
      <c r="CI14" s="6">
        <f t="shared" si="48"/>
        <v>0</v>
      </c>
      <c r="CJ14" s="6">
        <v>0</v>
      </c>
      <c r="CK14" s="6">
        <f t="shared" si="49"/>
        <v>0</v>
      </c>
      <c r="CL14" s="6">
        <f t="shared" si="50"/>
        <v>0</v>
      </c>
      <c r="CM14" s="6">
        <v>0</v>
      </c>
      <c r="CN14" s="6">
        <f t="shared" si="51"/>
        <v>0</v>
      </c>
      <c r="CO14" s="6">
        <f t="shared" si="52"/>
        <v>0</v>
      </c>
      <c r="CP14" s="6">
        <v>0</v>
      </c>
      <c r="CQ14" s="6">
        <f t="shared" si="53"/>
        <v>0</v>
      </c>
      <c r="CR14" s="6">
        <f t="shared" si="54"/>
        <v>0</v>
      </c>
      <c r="CS14" s="6">
        <v>0</v>
      </c>
      <c r="CT14" s="6">
        <f t="shared" si="55"/>
        <v>0</v>
      </c>
      <c r="CU14" s="6">
        <f t="shared" si="56"/>
        <v>0</v>
      </c>
      <c r="CV14" s="6">
        <v>0</v>
      </c>
      <c r="CW14" s="6">
        <f t="shared" si="57"/>
        <v>0</v>
      </c>
      <c r="CX14" s="6">
        <f t="shared" si="58"/>
        <v>0</v>
      </c>
      <c r="CY14" s="6">
        <v>0</v>
      </c>
      <c r="CZ14" s="6">
        <f t="shared" si="59"/>
        <v>0</v>
      </c>
      <c r="DA14" s="6">
        <f t="shared" si="60"/>
        <v>0</v>
      </c>
      <c r="DB14" s="6">
        <v>0</v>
      </c>
      <c r="DC14" s="6">
        <f t="shared" si="61"/>
        <v>0</v>
      </c>
      <c r="DD14" s="6">
        <f t="shared" si="62"/>
        <v>0</v>
      </c>
      <c r="DE14" s="6">
        <v>0</v>
      </c>
      <c r="DF14" s="6">
        <f t="shared" si="63"/>
        <v>0</v>
      </c>
      <c r="DG14" s="6">
        <f t="shared" si="64"/>
        <v>0</v>
      </c>
      <c r="DH14" s="6">
        <v>0</v>
      </c>
      <c r="DI14" s="6">
        <f t="shared" si="65"/>
        <v>0</v>
      </c>
      <c r="DJ14" s="6">
        <f t="shared" si="66"/>
        <v>0</v>
      </c>
      <c r="DK14" s="6">
        <v>0</v>
      </c>
      <c r="DL14" s="6">
        <f t="shared" si="67"/>
        <v>0</v>
      </c>
      <c r="DM14" s="6">
        <f t="shared" si="68"/>
        <v>0</v>
      </c>
      <c r="DN14" s="6">
        <v>0</v>
      </c>
      <c r="DO14" s="6">
        <f t="shared" si="69"/>
        <v>0</v>
      </c>
      <c r="DP14" s="6">
        <f t="shared" si="70"/>
        <v>0</v>
      </c>
    </row>
    <row r="15" spans="1:120" x14ac:dyDescent="0.2">
      <c r="A15" s="21">
        <v>73</v>
      </c>
      <c r="B15" s="21" t="s">
        <v>582</v>
      </c>
      <c r="C15" s="21">
        <v>73547</v>
      </c>
      <c r="D15" s="21" t="s">
        <v>678</v>
      </c>
      <c r="E15" s="21" t="s">
        <v>679</v>
      </c>
      <c r="F15" s="22" t="s">
        <v>662</v>
      </c>
      <c r="G15" s="4" t="s">
        <v>127</v>
      </c>
      <c r="H15" s="6">
        <v>11009.35</v>
      </c>
      <c r="I15" s="6">
        <f t="shared" si="0"/>
        <v>30.162602739726029</v>
      </c>
      <c r="J15" s="6">
        <v>10274.14</v>
      </c>
      <c r="K15" s="6">
        <v>10658.53</v>
      </c>
      <c r="L15" s="6">
        <f t="shared" si="1"/>
        <v>29.12166666666667</v>
      </c>
      <c r="M15" s="6">
        <v>9275.27</v>
      </c>
      <c r="N15" s="6">
        <v>8974.06</v>
      </c>
      <c r="O15" s="6">
        <f t="shared" si="71"/>
        <v>24.586465753424655</v>
      </c>
      <c r="P15" s="6">
        <v>8403.06</v>
      </c>
      <c r="Q15" s="6">
        <v>3847.62</v>
      </c>
      <c r="R15" s="6">
        <f t="shared" si="72"/>
        <v>21.257569060773481</v>
      </c>
      <c r="S15" s="6">
        <v>7534.29</v>
      </c>
      <c r="T15" s="6">
        <f t="shared" si="3"/>
        <v>7534.29</v>
      </c>
      <c r="U15" s="6">
        <f t="shared" si="4"/>
        <v>20.641890410958904</v>
      </c>
      <c r="V15" s="6">
        <v>0</v>
      </c>
      <c r="W15" s="6">
        <f t="shared" si="5"/>
        <v>0</v>
      </c>
      <c r="X15" s="6">
        <f t="shared" si="6"/>
        <v>0</v>
      </c>
      <c r="Y15" s="6">
        <v>0</v>
      </c>
      <c r="Z15" s="6">
        <f t="shared" si="7"/>
        <v>0</v>
      </c>
      <c r="AA15" s="6">
        <f t="shared" si="8"/>
        <v>0</v>
      </c>
      <c r="AB15" s="6">
        <v>0</v>
      </c>
      <c r="AC15" s="6">
        <f t="shared" si="9"/>
        <v>0</v>
      </c>
      <c r="AD15" s="6">
        <f t="shared" si="10"/>
        <v>0</v>
      </c>
      <c r="AE15" s="6">
        <v>0</v>
      </c>
      <c r="AF15" s="6">
        <f t="shared" si="11"/>
        <v>0</v>
      </c>
      <c r="AG15" s="6">
        <f t="shared" si="12"/>
        <v>0</v>
      </c>
      <c r="AH15" s="6">
        <v>0</v>
      </c>
      <c r="AI15" s="6">
        <f t="shared" si="13"/>
        <v>0</v>
      </c>
      <c r="AJ15" s="6">
        <f t="shared" si="14"/>
        <v>0</v>
      </c>
      <c r="AK15" s="6">
        <v>0</v>
      </c>
      <c r="AL15" s="6">
        <f t="shared" si="15"/>
        <v>0</v>
      </c>
      <c r="AM15" s="6">
        <f t="shared" si="16"/>
        <v>0</v>
      </c>
      <c r="AN15" s="6">
        <v>0</v>
      </c>
      <c r="AO15" s="6">
        <f t="shared" si="17"/>
        <v>0</v>
      </c>
      <c r="AP15" s="6">
        <f t="shared" si="18"/>
        <v>0</v>
      </c>
      <c r="AQ15" s="6">
        <v>0</v>
      </c>
      <c r="AR15" s="6">
        <f t="shared" si="19"/>
        <v>0</v>
      </c>
      <c r="AS15" s="6">
        <f t="shared" si="20"/>
        <v>0</v>
      </c>
      <c r="AT15" s="6">
        <v>0</v>
      </c>
      <c r="AU15" s="6">
        <f t="shared" si="21"/>
        <v>0</v>
      </c>
      <c r="AV15" s="6">
        <f t="shared" si="22"/>
        <v>0</v>
      </c>
      <c r="AW15" s="6">
        <v>0</v>
      </c>
      <c r="AX15" s="6">
        <f t="shared" si="23"/>
        <v>0</v>
      </c>
      <c r="AY15" s="6">
        <f t="shared" si="24"/>
        <v>0</v>
      </c>
      <c r="AZ15" s="6">
        <v>0</v>
      </c>
      <c r="BA15" s="6">
        <f t="shared" si="25"/>
        <v>0</v>
      </c>
      <c r="BB15" s="6">
        <f t="shared" si="26"/>
        <v>0</v>
      </c>
      <c r="BC15" s="6">
        <v>0</v>
      </c>
      <c r="BD15" s="6">
        <f t="shared" si="27"/>
        <v>0</v>
      </c>
      <c r="BE15" s="6">
        <f t="shared" si="28"/>
        <v>0</v>
      </c>
      <c r="BF15" s="6">
        <v>0</v>
      </c>
      <c r="BG15" s="6">
        <f t="shared" si="29"/>
        <v>0</v>
      </c>
      <c r="BH15" s="6">
        <f t="shared" si="30"/>
        <v>0</v>
      </c>
      <c r="BI15" s="6">
        <v>0</v>
      </c>
      <c r="BJ15" s="6">
        <f t="shared" si="31"/>
        <v>0</v>
      </c>
      <c r="BK15" s="6">
        <f t="shared" si="32"/>
        <v>0</v>
      </c>
      <c r="BL15" s="6">
        <v>0</v>
      </c>
      <c r="BM15" s="6">
        <f t="shared" si="33"/>
        <v>0</v>
      </c>
      <c r="BN15" s="6">
        <f t="shared" si="34"/>
        <v>0</v>
      </c>
      <c r="BO15" s="6">
        <v>0</v>
      </c>
      <c r="BP15" s="6">
        <f t="shared" si="35"/>
        <v>0</v>
      </c>
      <c r="BQ15" s="6">
        <f t="shared" si="36"/>
        <v>0</v>
      </c>
      <c r="BR15" s="6">
        <v>0</v>
      </c>
      <c r="BS15" s="6">
        <f t="shared" si="37"/>
        <v>0</v>
      </c>
      <c r="BT15" s="6">
        <f t="shared" si="38"/>
        <v>0</v>
      </c>
      <c r="BU15" s="6">
        <v>0</v>
      </c>
      <c r="BV15" s="6">
        <f t="shared" si="39"/>
        <v>0</v>
      </c>
      <c r="BW15" s="6">
        <f t="shared" si="40"/>
        <v>0</v>
      </c>
      <c r="BX15" s="6">
        <v>0</v>
      </c>
      <c r="BY15" s="6">
        <f t="shared" si="41"/>
        <v>0</v>
      </c>
      <c r="BZ15" s="6">
        <f t="shared" si="42"/>
        <v>0</v>
      </c>
      <c r="CA15" s="6">
        <v>0</v>
      </c>
      <c r="CB15" s="6">
        <f t="shared" si="43"/>
        <v>0</v>
      </c>
      <c r="CC15" s="6">
        <f t="shared" si="44"/>
        <v>0</v>
      </c>
      <c r="CD15" s="6">
        <v>0</v>
      </c>
      <c r="CE15" s="6">
        <f t="shared" si="45"/>
        <v>0</v>
      </c>
      <c r="CF15" s="6">
        <f t="shared" si="46"/>
        <v>0</v>
      </c>
      <c r="CG15" s="6">
        <v>0</v>
      </c>
      <c r="CH15" s="6">
        <f t="shared" si="47"/>
        <v>0</v>
      </c>
      <c r="CI15" s="6">
        <f t="shared" si="48"/>
        <v>0</v>
      </c>
      <c r="CJ15" s="6">
        <v>0</v>
      </c>
      <c r="CK15" s="6">
        <f t="shared" si="49"/>
        <v>0</v>
      </c>
      <c r="CL15" s="6">
        <f t="shared" si="50"/>
        <v>0</v>
      </c>
      <c r="CM15" s="6">
        <v>0</v>
      </c>
      <c r="CN15" s="6">
        <f t="shared" si="51"/>
        <v>0</v>
      </c>
      <c r="CO15" s="6">
        <f t="shared" si="52"/>
        <v>0</v>
      </c>
      <c r="CP15" s="6">
        <v>0</v>
      </c>
      <c r="CQ15" s="6">
        <f t="shared" si="53"/>
        <v>0</v>
      </c>
      <c r="CR15" s="6">
        <f t="shared" si="54"/>
        <v>0</v>
      </c>
      <c r="CS15" s="6">
        <v>0</v>
      </c>
      <c r="CT15" s="6">
        <f t="shared" si="55"/>
        <v>0</v>
      </c>
      <c r="CU15" s="6">
        <f t="shared" si="56"/>
        <v>0</v>
      </c>
      <c r="CV15" s="6">
        <v>0</v>
      </c>
      <c r="CW15" s="6">
        <f t="shared" si="57"/>
        <v>0</v>
      </c>
      <c r="CX15" s="6">
        <f t="shared" si="58"/>
        <v>0</v>
      </c>
      <c r="CY15" s="6">
        <v>0</v>
      </c>
      <c r="CZ15" s="6">
        <f t="shared" si="59"/>
        <v>0</v>
      </c>
      <c r="DA15" s="6">
        <f t="shared" si="60"/>
        <v>0</v>
      </c>
      <c r="DB15" s="6">
        <v>0</v>
      </c>
      <c r="DC15" s="6">
        <f t="shared" si="61"/>
        <v>0</v>
      </c>
      <c r="DD15" s="6">
        <f t="shared" si="62"/>
        <v>0</v>
      </c>
      <c r="DE15" s="6">
        <v>0</v>
      </c>
      <c r="DF15" s="6">
        <f t="shared" si="63"/>
        <v>0</v>
      </c>
      <c r="DG15" s="6">
        <f t="shared" si="64"/>
        <v>0</v>
      </c>
      <c r="DH15" s="6">
        <v>0</v>
      </c>
      <c r="DI15" s="6">
        <f t="shared" si="65"/>
        <v>0</v>
      </c>
      <c r="DJ15" s="6">
        <f t="shared" si="66"/>
        <v>0</v>
      </c>
      <c r="DK15" s="6">
        <v>0</v>
      </c>
      <c r="DL15" s="6">
        <f t="shared" si="67"/>
        <v>0</v>
      </c>
      <c r="DM15" s="6">
        <f t="shared" si="68"/>
        <v>0</v>
      </c>
      <c r="DN15" s="6">
        <v>0</v>
      </c>
      <c r="DO15" s="6">
        <f t="shared" si="69"/>
        <v>0</v>
      </c>
      <c r="DP15" s="6">
        <f t="shared" si="70"/>
        <v>0</v>
      </c>
    </row>
    <row r="16" spans="1:120" x14ac:dyDescent="0.2">
      <c r="A16" s="21">
        <v>85</v>
      </c>
      <c r="B16" s="21" t="s">
        <v>612</v>
      </c>
      <c r="C16" s="21">
        <v>85250</v>
      </c>
      <c r="D16" s="21" t="s">
        <v>663</v>
      </c>
      <c r="E16" s="21" t="s">
        <v>633</v>
      </c>
      <c r="F16" s="22" t="s">
        <v>669</v>
      </c>
      <c r="G16" s="4" t="s">
        <v>128</v>
      </c>
      <c r="H16" s="6">
        <v>29855.05</v>
      </c>
      <c r="I16" s="6">
        <f t="shared" si="0"/>
        <v>81.794657534246568</v>
      </c>
      <c r="J16" s="6">
        <v>30023.052100000001</v>
      </c>
      <c r="K16" s="6">
        <v>18164.150000000001</v>
      </c>
      <c r="L16" s="6">
        <f t="shared" si="1"/>
        <v>49.628825136612029</v>
      </c>
      <c r="M16" s="6">
        <v>61251.929900000003</v>
      </c>
      <c r="N16" s="6">
        <v>12669.06</v>
      </c>
      <c r="O16" s="6">
        <f t="shared" si="71"/>
        <v>34.709753424657535</v>
      </c>
      <c r="P16" s="6">
        <v>75628.715200000006</v>
      </c>
      <c r="Q16" s="6">
        <v>7748.61</v>
      </c>
      <c r="R16" s="6">
        <f t="shared" si="72"/>
        <v>42.809999999999995</v>
      </c>
      <c r="S16" s="6">
        <v>56402.684699999998</v>
      </c>
      <c r="T16" s="6">
        <f t="shared" si="3"/>
        <v>56402.684699999998</v>
      </c>
      <c r="U16" s="6">
        <f t="shared" si="4"/>
        <v>154.52790328767122</v>
      </c>
      <c r="V16" s="6">
        <v>43978.582499999997</v>
      </c>
      <c r="W16" s="6">
        <f t="shared" si="5"/>
        <v>43978.582499999997</v>
      </c>
      <c r="X16" s="6">
        <f t="shared" si="6"/>
        <v>120.48926712328766</v>
      </c>
      <c r="Y16" s="6">
        <v>35186.907599999999</v>
      </c>
      <c r="Z16" s="6">
        <f t="shared" si="7"/>
        <v>35186.907599999999</v>
      </c>
      <c r="AA16" s="6">
        <f t="shared" si="8"/>
        <v>96.402486575342465</v>
      </c>
      <c r="AB16" s="6">
        <v>28925.4722</v>
      </c>
      <c r="AC16" s="6">
        <f t="shared" si="9"/>
        <v>28925.4722</v>
      </c>
      <c r="AD16" s="6">
        <f t="shared" si="10"/>
        <v>79.247869041095896</v>
      </c>
      <c r="AE16" s="6">
        <v>24237.340100000001</v>
      </c>
      <c r="AF16" s="6">
        <f t="shared" si="11"/>
        <v>24237.340100000001</v>
      </c>
      <c r="AG16" s="6">
        <f t="shared" si="12"/>
        <v>66.403671506849321</v>
      </c>
      <c r="AH16" s="6">
        <v>20680.259099999999</v>
      </c>
      <c r="AI16" s="6">
        <f t="shared" si="13"/>
        <v>20680.259099999999</v>
      </c>
      <c r="AJ16" s="6">
        <f t="shared" si="14"/>
        <v>56.658244109589042</v>
      </c>
      <c r="AK16" s="6">
        <v>0</v>
      </c>
      <c r="AL16" s="6">
        <f t="shared" si="15"/>
        <v>0</v>
      </c>
      <c r="AM16" s="6">
        <f t="shared" si="16"/>
        <v>0</v>
      </c>
      <c r="AN16" s="6">
        <v>0</v>
      </c>
      <c r="AO16" s="6">
        <f t="shared" si="17"/>
        <v>0</v>
      </c>
      <c r="AP16" s="6">
        <f t="shared" si="18"/>
        <v>0</v>
      </c>
      <c r="AQ16" s="6">
        <v>0</v>
      </c>
      <c r="AR16" s="6">
        <f t="shared" si="19"/>
        <v>0</v>
      </c>
      <c r="AS16" s="6">
        <f t="shared" si="20"/>
        <v>0</v>
      </c>
      <c r="AT16" s="6">
        <v>0</v>
      </c>
      <c r="AU16" s="6">
        <f t="shared" si="21"/>
        <v>0</v>
      </c>
      <c r="AV16" s="6">
        <f t="shared" si="22"/>
        <v>0</v>
      </c>
      <c r="AW16" s="6">
        <v>0</v>
      </c>
      <c r="AX16" s="6">
        <f t="shared" si="23"/>
        <v>0</v>
      </c>
      <c r="AY16" s="6">
        <f t="shared" si="24"/>
        <v>0</v>
      </c>
      <c r="AZ16" s="6">
        <v>0</v>
      </c>
      <c r="BA16" s="6">
        <f t="shared" si="25"/>
        <v>0</v>
      </c>
      <c r="BB16" s="6">
        <f t="shared" si="26"/>
        <v>0</v>
      </c>
      <c r="BC16" s="6">
        <v>0</v>
      </c>
      <c r="BD16" s="6">
        <f t="shared" si="27"/>
        <v>0</v>
      </c>
      <c r="BE16" s="6">
        <f t="shared" si="28"/>
        <v>0</v>
      </c>
      <c r="BF16" s="6">
        <v>0</v>
      </c>
      <c r="BG16" s="6">
        <f t="shared" si="29"/>
        <v>0</v>
      </c>
      <c r="BH16" s="6">
        <f t="shared" si="30"/>
        <v>0</v>
      </c>
      <c r="BI16" s="6">
        <v>0</v>
      </c>
      <c r="BJ16" s="6">
        <f t="shared" si="31"/>
        <v>0</v>
      </c>
      <c r="BK16" s="6">
        <f t="shared" si="32"/>
        <v>0</v>
      </c>
      <c r="BL16" s="6">
        <v>0</v>
      </c>
      <c r="BM16" s="6">
        <f t="shared" si="33"/>
        <v>0</v>
      </c>
      <c r="BN16" s="6">
        <f t="shared" si="34"/>
        <v>0</v>
      </c>
      <c r="BO16" s="6">
        <v>0</v>
      </c>
      <c r="BP16" s="6">
        <f t="shared" si="35"/>
        <v>0</v>
      </c>
      <c r="BQ16" s="6">
        <f t="shared" si="36"/>
        <v>0</v>
      </c>
      <c r="BR16" s="6">
        <v>0</v>
      </c>
      <c r="BS16" s="6">
        <f t="shared" si="37"/>
        <v>0</v>
      </c>
      <c r="BT16" s="6">
        <f t="shared" si="38"/>
        <v>0</v>
      </c>
      <c r="BU16" s="6">
        <v>0</v>
      </c>
      <c r="BV16" s="6">
        <f t="shared" si="39"/>
        <v>0</v>
      </c>
      <c r="BW16" s="6">
        <f t="shared" si="40"/>
        <v>0</v>
      </c>
      <c r="BX16" s="6">
        <v>0</v>
      </c>
      <c r="BY16" s="6">
        <f t="shared" si="41"/>
        <v>0</v>
      </c>
      <c r="BZ16" s="6">
        <f t="shared" si="42"/>
        <v>0</v>
      </c>
      <c r="CA16" s="6">
        <v>0</v>
      </c>
      <c r="CB16" s="6">
        <f t="shared" si="43"/>
        <v>0</v>
      </c>
      <c r="CC16" s="6">
        <f t="shared" si="44"/>
        <v>0</v>
      </c>
      <c r="CD16" s="6">
        <v>0</v>
      </c>
      <c r="CE16" s="6">
        <f t="shared" si="45"/>
        <v>0</v>
      </c>
      <c r="CF16" s="6">
        <f t="shared" si="46"/>
        <v>0</v>
      </c>
      <c r="CG16" s="6">
        <v>0</v>
      </c>
      <c r="CH16" s="6">
        <f t="shared" si="47"/>
        <v>0</v>
      </c>
      <c r="CI16" s="6">
        <f t="shared" si="48"/>
        <v>0</v>
      </c>
      <c r="CJ16" s="6">
        <v>0</v>
      </c>
      <c r="CK16" s="6">
        <f t="shared" si="49"/>
        <v>0</v>
      </c>
      <c r="CL16" s="6">
        <f t="shared" si="50"/>
        <v>0</v>
      </c>
      <c r="CM16" s="6">
        <v>0</v>
      </c>
      <c r="CN16" s="6">
        <f t="shared" si="51"/>
        <v>0</v>
      </c>
      <c r="CO16" s="6">
        <f t="shared" si="52"/>
        <v>0</v>
      </c>
      <c r="CP16" s="6">
        <v>0</v>
      </c>
      <c r="CQ16" s="6">
        <f t="shared" si="53"/>
        <v>0</v>
      </c>
      <c r="CR16" s="6">
        <f t="shared" si="54"/>
        <v>0</v>
      </c>
      <c r="CS16" s="6">
        <v>0</v>
      </c>
      <c r="CT16" s="6">
        <f t="shared" si="55"/>
        <v>0</v>
      </c>
      <c r="CU16" s="6">
        <f t="shared" si="56"/>
        <v>0</v>
      </c>
      <c r="CV16" s="6">
        <v>0</v>
      </c>
      <c r="CW16" s="6">
        <f t="shared" si="57"/>
        <v>0</v>
      </c>
      <c r="CX16" s="6">
        <f t="shared" si="58"/>
        <v>0</v>
      </c>
      <c r="CY16" s="6">
        <v>0</v>
      </c>
      <c r="CZ16" s="6">
        <f t="shared" si="59"/>
        <v>0</v>
      </c>
      <c r="DA16" s="6">
        <f t="shared" si="60"/>
        <v>0</v>
      </c>
      <c r="DB16" s="6">
        <v>0</v>
      </c>
      <c r="DC16" s="6">
        <f t="shared" si="61"/>
        <v>0</v>
      </c>
      <c r="DD16" s="6">
        <f t="shared" si="62"/>
        <v>0</v>
      </c>
      <c r="DE16" s="6">
        <v>0</v>
      </c>
      <c r="DF16" s="6">
        <f t="shared" si="63"/>
        <v>0</v>
      </c>
      <c r="DG16" s="6">
        <f t="shared" si="64"/>
        <v>0</v>
      </c>
      <c r="DH16" s="6">
        <v>0</v>
      </c>
      <c r="DI16" s="6">
        <f t="shared" si="65"/>
        <v>0</v>
      </c>
      <c r="DJ16" s="6">
        <f t="shared" si="66"/>
        <v>0</v>
      </c>
      <c r="DK16" s="6">
        <v>0</v>
      </c>
      <c r="DL16" s="6">
        <f t="shared" si="67"/>
        <v>0</v>
      </c>
      <c r="DM16" s="6">
        <f t="shared" si="68"/>
        <v>0</v>
      </c>
      <c r="DN16" s="6">
        <v>0</v>
      </c>
      <c r="DO16" s="6">
        <f t="shared" si="69"/>
        <v>0</v>
      </c>
      <c r="DP16" s="6">
        <f t="shared" si="70"/>
        <v>0</v>
      </c>
    </row>
    <row r="17" spans="1:120" x14ac:dyDescent="0.2">
      <c r="A17" s="21">
        <v>81</v>
      </c>
      <c r="B17" s="21" t="s">
        <v>132</v>
      </c>
      <c r="C17" s="21">
        <v>81794</v>
      </c>
      <c r="D17" s="21" t="s">
        <v>680</v>
      </c>
      <c r="E17" s="21" t="s">
        <v>671</v>
      </c>
      <c r="F17" s="22" t="s">
        <v>666</v>
      </c>
      <c r="G17" s="4" t="s">
        <v>129</v>
      </c>
      <c r="H17" s="6">
        <v>1721646.22</v>
      </c>
      <c r="I17" s="6">
        <f t="shared" si="0"/>
        <v>4716.8389589041099</v>
      </c>
      <c r="J17" s="6">
        <v>2043850.0190000001</v>
      </c>
      <c r="K17" s="6">
        <v>1686826.6</v>
      </c>
      <c r="L17" s="6">
        <f t="shared" si="1"/>
        <v>4608.8158469945356</v>
      </c>
      <c r="M17" s="6">
        <v>2382556.7132999999</v>
      </c>
      <c r="N17" s="6">
        <v>1601418.43</v>
      </c>
      <c r="O17" s="6">
        <f t="shared" si="71"/>
        <v>4387.4477534246571</v>
      </c>
      <c r="P17" s="6">
        <v>1843136.4124</v>
      </c>
      <c r="Q17" s="6">
        <v>987073.11</v>
      </c>
      <c r="R17" s="6">
        <f t="shared" si="72"/>
        <v>5453.4425966850831</v>
      </c>
      <c r="S17" s="6">
        <v>1136247.3629000001</v>
      </c>
      <c r="T17" s="6">
        <f t="shared" si="3"/>
        <v>1136247.3629000001</v>
      </c>
      <c r="U17" s="6">
        <f t="shared" si="4"/>
        <v>3113.0064736986305</v>
      </c>
      <c r="V17" s="6">
        <v>1159170.4203999999</v>
      </c>
      <c r="W17" s="6">
        <f t="shared" si="5"/>
        <v>1159170.4203999999</v>
      </c>
      <c r="X17" s="6">
        <f t="shared" si="6"/>
        <v>3175.8093709589039</v>
      </c>
      <c r="Y17" s="6">
        <v>1224375.4933</v>
      </c>
      <c r="Z17" s="6">
        <f t="shared" si="7"/>
        <v>1224375.4933</v>
      </c>
      <c r="AA17" s="6">
        <f t="shared" si="8"/>
        <v>3354.4534063013698</v>
      </c>
      <c r="AB17" s="6">
        <v>985153.80279999995</v>
      </c>
      <c r="AC17" s="6">
        <f t="shared" si="9"/>
        <v>985153.80279999995</v>
      </c>
      <c r="AD17" s="6">
        <f t="shared" si="10"/>
        <v>2699.0515145205477</v>
      </c>
      <c r="AE17" s="6">
        <v>527159.30310000002</v>
      </c>
      <c r="AF17" s="6">
        <f t="shared" si="11"/>
        <v>527159.30310000002</v>
      </c>
      <c r="AG17" s="6">
        <f t="shared" si="12"/>
        <v>1444.2720632876712</v>
      </c>
      <c r="AH17" s="6">
        <v>36236.708899999998</v>
      </c>
      <c r="AI17" s="6">
        <f t="shared" si="13"/>
        <v>36236.708899999998</v>
      </c>
      <c r="AJ17" s="6">
        <f t="shared" si="14"/>
        <v>99.278654520547946</v>
      </c>
      <c r="AK17" s="6">
        <v>0</v>
      </c>
      <c r="AL17" s="6">
        <f t="shared" si="15"/>
        <v>0</v>
      </c>
      <c r="AM17" s="6">
        <f t="shared" si="16"/>
        <v>0</v>
      </c>
      <c r="AN17" s="6">
        <v>0</v>
      </c>
      <c r="AO17" s="6">
        <f t="shared" si="17"/>
        <v>0</v>
      </c>
      <c r="AP17" s="6">
        <f t="shared" si="18"/>
        <v>0</v>
      </c>
      <c r="AQ17" s="6">
        <v>0</v>
      </c>
      <c r="AR17" s="6">
        <f t="shared" si="19"/>
        <v>0</v>
      </c>
      <c r="AS17" s="6">
        <f t="shared" si="20"/>
        <v>0</v>
      </c>
      <c r="AT17" s="6">
        <v>0</v>
      </c>
      <c r="AU17" s="6">
        <f t="shared" si="21"/>
        <v>0</v>
      </c>
      <c r="AV17" s="6">
        <f t="shared" si="22"/>
        <v>0</v>
      </c>
      <c r="AW17" s="6">
        <v>0</v>
      </c>
      <c r="AX17" s="6">
        <f t="shared" si="23"/>
        <v>0</v>
      </c>
      <c r="AY17" s="6">
        <f t="shared" si="24"/>
        <v>0</v>
      </c>
      <c r="AZ17" s="6">
        <v>0</v>
      </c>
      <c r="BA17" s="6">
        <f t="shared" si="25"/>
        <v>0</v>
      </c>
      <c r="BB17" s="6">
        <f t="shared" si="26"/>
        <v>0</v>
      </c>
      <c r="BC17" s="6">
        <v>0</v>
      </c>
      <c r="BD17" s="6">
        <f t="shared" si="27"/>
        <v>0</v>
      </c>
      <c r="BE17" s="6">
        <f t="shared" si="28"/>
        <v>0</v>
      </c>
      <c r="BF17" s="6">
        <v>0</v>
      </c>
      <c r="BG17" s="6">
        <f t="shared" si="29"/>
        <v>0</v>
      </c>
      <c r="BH17" s="6">
        <f t="shared" si="30"/>
        <v>0</v>
      </c>
      <c r="BI17" s="6">
        <v>0</v>
      </c>
      <c r="BJ17" s="6">
        <f t="shared" si="31"/>
        <v>0</v>
      </c>
      <c r="BK17" s="6">
        <f t="shared" si="32"/>
        <v>0</v>
      </c>
      <c r="BL17" s="6">
        <v>0</v>
      </c>
      <c r="BM17" s="6">
        <f t="shared" si="33"/>
        <v>0</v>
      </c>
      <c r="BN17" s="6">
        <f t="shared" si="34"/>
        <v>0</v>
      </c>
      <c r="BO17" s="6">
        <v>0</v>
      </c>
      <c r="BP17" s="6">
        <f t="shared" si="35"/>
        <v>0</v>
      </c>
      <c r="BQ17" s="6">
        <f t="shared" si="36"/>
        <v>0</v>
      </c>
      <c r="BR17" s="6">
        <v>0</v>
      </c>
      <c r="BS17" s="6">
        <f t="shared" si="37"/>
        <v>0</v>
      </c>
      <c r="BT17" s="6">
        <f t="shared" si="38"/>
        <v>0</v>
      </c>
      <c r="BU17" s="6">
        <v>0</v>
      </c>
      <c r="BV17" s="6">
        <f t="shared" si="39"/>
        <v>0</v>
      </c>
      <c r="BW17" s="6">
        <f t="shared" si="40"/>
        <v>0</v>
      </c>
      <c r="BX17" s="6">
        <v>0</v>
      </c>
      <c r="BY17" s="6">
        <f t="shared" si="41"/>
        <v>0</v>
      </c>
      <c r="BZ17" s="6">
        <f t="shared" si="42"/>
        <v>0</v>
      </c>
      <c r="CA17" s="6">
        <v>0</v>
      </c>
      <c r="CB17" s="6">
        <f t="shared" si="43"/>
        <v>0</v>
      </c>
      <c r="CC17" s="6">
        <f t="shared" si="44"/>
        <v>0</v>
      </c>
      <c r="CD17" s="6">
        <v>0</v>
      </c>
      <c r="CE17" s="6">
        <f t="shared" si="45"/>
        <v>0</v>
      </c>
      <c r="CF17" s="6">
        <f t="shared" si="46"/>
        <v>0</v>
      </c>
      <c r="CG17" s="6">
        <v>0</v>
      </c>
      <c r="CH17" s="6">
        <f t="shared" si="47"/>
        <v>0</v>
      </c>
      <c r="CI17" s="6">
        <f t="shared" si="48"/>
        <v>0</v>
      </c>
      <c r="CJ17" s="6">
        <v>0</v>
      </c>
      <c r="CK17" s="6">
        <f t="shared" si="49"/>
        <v>0</v>
      </c>
      <c r="CL17" s="6">
        <f t="shared" si="50"/>
        <v>0</v>
      </c>
      <c r="CM17" s="6">
        <v>0</v>
      </c>
      <c r="CN17" s="6">
        <f t="shared" si="51"/>
        <v>0</v>
      </c>
      <c r="CO17" s="6">
        <f t="shared" si="52"/>
        <v>0</v>
      </c>
      <c r="CP17" s="6">
        <v>0</v>
      </c>
      <c r="CQ17" s="6">
        <f t="shared" si="53"/>
        <v>0</v>
      </c>
      <c r="CR17" s="6">
        <f t="shared" si="54"/>
        <v>0</v>
      </c>
      <c r="CS17" s="6">
        <v>0</v>
      </c>
      <c r="CT17" s="6">
        <f t="shared" si="55"/>
        <v>0</v>
      </c>
      <c r="CU17" s="6">
        <f t="shared" si="56"/>
        <v>0</v>
      </c>
      <c r="CV17" s="6">
        <v>0</v>
      </c>
      <c r="CW17" s="6">
        <f t="shared" si="57"/>
        <v>0</v>
      </c>
      <c r="CX17" s="6">
        <f t="shared" si="58"/>
        <v>0</v>
      </c>
      <c r="CY17" s="6">
        <v>0</v>
      </c>
      <c r="CZ17" s="6">
        <f t="shared" si="59"/>
        <v>0</v>
      </c>
      <c r="DA17" s="6">
        <f t="shared" si="60"/>
        <v>0</v>
      </c>
      <c r="DB17" s="6">
        <v>0</v>
      </c>
      <c r="DC17" s="6">
        <f t="shared" si="61"/>
        <v>0</v>
      </c>
      <c r="DD17" s="6">
        <f t="shared" si="62"/>
        <v>0</v>
      </c>
      <c r="DE17" s="6">
        <v>0</v>
      </c>
      <c r="DF17" s="6">
        <f t="shared" si="63"/>
        <v>0</v>
      </c>
      <c r="DG17" s="6">
        <f t="shared" si="64"/>
        <v>0</v>
      </c>
      <c r="DH17" s="6">
        <v>0</v>
      </c>
      <c r="DI17" s="6">
        <f t="shared" si="65"/>
        <v>0</v>
      </c>
      <c r="DJ17" s="6">
        <f t="shared" si="66"/>
        <v>0</v>
      </c>
      <c r="DK17" s="6">
        <v>0</v>
      </c>
      <c r="DL17" s="6">
        <f t="shared" si="67"/>
        <v>0</v>
      </c>
      <c r="DM17" s="6">
        <f t="shared" si="68"/>
        <v>0</v>
      </c>
      <c r="DN17" s="6">
        <v>0</v>
      </c>
      <c r="DO17" s="6">
        <f t="shared" si="69"/>
        <v>0</v>
      </c>
      <c r="DP17" s="6">
        <f t="shared" si="70"/>
        <v>0</v>
      </c>
    </row>
    <row r="18" spans="1:120" x14ac:dyDescent="0.2">
      <c r="A18" s="21">
        <v>50</v>
      </c>
      <c r="B18" s="21" t="s">
        <v>675</v>
      </c>
      <c r="C18" s="21">
        <v>50001</v>
      </c>
      <c r="D18" s="21" t="s">
        <v>681</v>
      </c>
      <c r="E18" s="21" t="s">
        <v>522</v>
      </c>
      <c r="F18" s="22" t="s">
        <v>666</v>
      </c>
      <c r="G18" s="4" t="s">
        <v>130</v>
      </c>
      <c r="H18" s="6">
        <v>814272.92</v>
      </c>
      <c r="I18" s="6">
        <f t="shared" si="0"/>
        <v>2230.8847123287674</v>
      </c>
      <c r="J18" s="6">
        <v>2205470.2198999999</v>
      </c>
      <c r="K18" s="6">
        <v>969219.42</v>
      </c>
      <c r="L18" s="6">
        <f t="shared" si="1"/>
        <v>2648.140491803279</v>
      </c>
      <c r="M18" s="6">
        <v>2475240.5241</v>
      </c>
      <c r="N18" s="6">
        <v>1055075.05</v>
      </c>
      <c r="O18" s="6">
        <f t="shared" si="71"/>
        <v>2890.6165753424657</v>
      </c>
      <c r="P18" s="6">
        <v>1895818.7653000001</v>
      </c>
      <c r="Q18" s="6">
        <v>451842.15</v>
      </c>
      <c r="R18" s="6">
        <f t="shared" si="72"/>
        <v>2496.3654696132598</v>
      </c>
      <c r="S18" s="6">
        <v>1408339.3541000001</v>
      </c>
      <c r="T18" s="6">
        <f t="shared" si="3"/>
        <v>1408339.3541000001</v>
      </c>
      <c r="U18" s="6">
        <f t="shared" si="4"/>
        <v>3858.4639838356165</v>
      </c>
      <c r="V18" s="6">
        <v>1159015.3077</v>
      </c>
      <c r="W18" s="6">
        <f t="shared" si="5"/>
        <v>1159015.3077</v>
      </c>
      <c r="X18" s="6">
        <f t="shared" si="6"/>
        <v>3175.3844046575341</v>
      </c>
      <c r="Y18" s="6">
        <v>864030.43810000003</v>
      </c>
      <c r="Z18" s="6">
        <f t="shared" si="7"/>
        <v>864030.43810000003</v>
      </c>
      <c r="AA18" s="6">
        <f t="shared" si="8"/>
        <v>2367.2066797260277</v>
      </c>
      <c r="AB18" s="6">
        <v>627748.81310000003</v>
      </c>
      <c r="AC18" s="6">
        <f t="shared" si="9"/>
        <v>627748.81310000003</v>
      </c>
      <c r="AD18" s="6">
        <f t="shared" si="10"/>
        <v>1719.8597619178083</v>
      </c>
      <c r="AE18" s="6">
        <v>457194.20130000002</v>
      </c>
      <c r="AF18" s="6">
        <f t="shared" si="11"/>
        <v>457194.20130000002</v>
      </c>
      <c r="AG18" s="6">
        <f t="shared" si="12"/>
        <v>1252.5868528767123</v>
      </c>
      <c r="AH18" s="6">
        <v>0</v>
      </c>
      <c r="AI18" s="6">
        <f t="shared" si="13"/>
        <v>0</v>
      </c>
      <c r="AJ18" s="6">
        <f t="shared" si="14"/>
        <v>0</v>
      </c>
      <c r="AK18" s="6">
        <v>0</v>
      </c>
      <c r="AL18" s="6">
        <f t="shared" si="15"/>
        <v>0</v>
      </c>
      <c r="AM18" s="6">
        <f t="shared" si="16"/>
        <v>0</v>
      </c>
      <c r="AN18" s="6">
        <v>0</v>
      </c>
      <c r="AO18" s="6">
        <f t="shared" si="17"/>
        <v>0</v>
      </c>
      <c r="AP18" s="6">
        <f t="shared" si="18"/>
        <v>0</v>
      </c>
      <c r="AQ18" s="6">
        <v>0</v>
      </c>
      <c r="AR18" s="6">
        <f t="shared" si="19"/>
        <v>0</v>
      </c>
      <c r="AS18" s="6">
        <f t="shared" si="20"/>
        <v>0</v>
      </c>
      <c r="AT18" s="6">
        <v>0</v>
      </c>
      <c r="AU18" s="6">
        <f t="shared" si="21"/>
        <v>0</v>
      </c>
      <c r="AV18" s="6">
        <f t="shared" si="22"/>
        <v>0</v>
      </c>
      <c r="AW18" s="6">
        <v>0</v>
      </c>
      <c r="AX18" s="6">
        <f t="shared" si="23"/>
        <v>0</v>
      </c>
      <c r="AY18" s="6">
        <f t="shared" si="24"/>
        <v>0</v>
      </c>
      <c r="AZ18" s="6">
        <v>0</v>
      </c>
      <c r="BA18" s="6">
        <f t="shared" si="25"/>
        <v>0</v>
      </c>
      <c r="BB18" s="6">
        <f t="shared" si="26"/>
        <v>0</v>
      </c>
      <c r="BC18" s="6">
        <v>0</v>
      </c>
      <c r="BD18" s="6">
        <f t="shared" si="27"/>
        <v>0</v>
      </c>
      <c r="BE18" s="6">
        <f t="shared" si="28"/>
        <v>0</v>
      </c>
      <c r="BF18" s="6">
        <v>0</v>
      </c>
      <c r="BG18" s="6">
        <f t="shared" si="29"/>
        <v>0</v>
      </c>
      <c r="BH18" s="6">
        <f t="shared" si="30"/>
        <v>0</v>
      </c>
      <c r="BI18" s="6">
        <v>0</v>
      </c>
      <c r="BJ18" s="6">
        <f t="shared" si="31"/>
        <v>0</v>
      </c>
      <c r="BK18" s="6">
        <f t="shared" si="32"/>
        <v>0</v>
      </c>
      <c r="BL18" s="6">
        <v>0</v>
      </c>
      <c r="BM18" s="6">
        <f t="shared" si="33"/>
        <v>0</v>
      </c>
      <c r="BN18" s="6">
        <f t="shared" si="34"/>
        <v>0</v>
      </c>
      <c r="BO18" s="6">
        <v>0</v>
      </c>
      <c r="BP18" s="6">
        <f t="shared" si="35"/>
        <v>0</v>
      </c>
      <c r="BQ18" s="6">
        <f t="shared" si="36"/>
        <v>0</v>
      </c>
      <c r="BR18" s="6">
        <v>0</v>
      </c>
      <c r="BS18" s="6">
        <f t="shared" si="37"/>
        <v>0</v>
      </c>
      <c r="BT18" s="6">
        <f t="shared" si="38"/>
        <v>0</v>
      </c>
      <c r="BU18" s="6">
        <v>0</v>
      </c>
      <c r="BV18" s="6">
        <f t="shared" si="39"/>
        <v>0</v>
      </c>
      <c r="BW18" s="6">
        <f t="shared" si="40"/>
        <v>0</v>
      </c>
      <c r="BX18" s="6">
        <v>0</v>
      </c>
      <c r="BY18" s="6">
        <f t="shared" si="41"/>
        <v>0</v>
      </c>
      <c r="BZ18" s="6">
        <f t="shared" si="42"/>
        <v>0</v>
      </c>
      <c r="CA18" s="6">
        <v>0</v>
      </c>
      <c r="CB18" s="6">
        <f t="shared" si="43"/>
        <v>0</v>
      </c>
      <c r="CC18" s="6">
        <f t="shared" si="44"/>
        <v>0</v>
      </c>
      <c r="CD18" s="6">
        <v>0</v>
      </c>
      <c r="CE18" s="6">
        <f t="shared" si="45"/>
        <v>0</v>
      </c>
      <c r="CF18" s="6">
        <f t="shared" si="46"/>
        <v>0</v>
      </c>
      <c r="CG18" s="6">
        <v>0</v>
      </c>
      <c r="CH18" s="6">
        <f t="shared" si="47"/>
        <v>0</v>
      </c>
      <c r="CI18" s="6">
        <f t="shared" si="48"/>
        <v>0</v>
      </c>
      <c r="CJ18" s="6">
        <v>0</v>
      </c>
      <c r="CK18" s="6">
        <f t="shared" si="49"/>
        <v>0</v>
      </c>
      <c r="CL18" s="6">
        <f t="shared" si="50"/>
        <v>0</v>
      </c>
      <c r="CM18" s="6">
        <v>0</v>
      </c>
      <c r="CN18" s="6">
        <f t="shared" si="51"/>
        <v>0</v>
      </c>
      <c r="CO18" s="6">
        <f t="shared" si="52"/>
        <v>0</v>
      </c>
      <c r="CP18" s="6">
        <v>0</v>
      </c>
      <c r="CQ18" s="6">
        <f t="shared" si="53"/>
        <v>0</v>
      </c>
      <c r="CR18" s="6">
        <f t="shared" si="54"/>
        <v>0</v>
      </c>
      <c r="CS18" s="6">
        <v>0</v>
      </c>
      <c r="CT18" s="6">
        <f t="shared" si="55"/>
        <v>0</v>
      </c>
      <c r="CU18" s="6">
        <f t="shared" si="56"/>
        <v>0</v>
      </c>
      <c r="CV18" s="6">
        <v>0</v>
      </c>
      <c r="CW18" s="6">
        <f t="shared" si="57"/>
        <v>0</v>
      </c>
      <c r="CX18" s="6">
        <f t="shared" si="58"/>
        <v>0</v>
      </c>
      <c r="CY18" s="6">
        <v>0</v>
      </c>
      <c r="CZ18" s="6">
        <f t="shared" si="59"/>
        <v>0</v>
      </c>
      <c r="DA18" s="6">
        <f t="shared" si="60"/>
        <v>0</v>
      </c>
      <c r="DB18" s="6">
        <v>0</v>
      </c>
      <c r="DC18" s="6">
        <f t="shared" si="61"/>
        <v>0</v>
      </c>
      <c r="DD18" s="6">
        <f t="shared" si="62"/>
        <v>0</v>
      </c>
      <c r="DE18" s="6">
        <v>0</v>
      </c>
      <c r="DF18" s="6">
        <f t="shared" si="63"/>
        <v>0</v>
      </c>
      <c r="DG18" s="6">
        <f t="shared" si="64"/>
        <v>0</v>
      </c>
      <c r="DH18" s="6">
        <v>0</v>
      </c>
      <c r="DI18" s="6">
        <f t="shared" si="65"/>
        <v>0</v>
      </c>
      <c r="DJ18" s="6">
        <f t="shared" si="66"/>
        <v>0</v>
      </c>
      <c r="DK18" s="6">
        <v>0</v>
      </c>
      <c r="DL18" s="6">
        <f t="shared" si="67"/>
        <v>0</v>
      </c>
      <c r="DM18" s="6">
        <f t="shared" si="68"/>
        <v>0</v>
      </c>
      <c r="DN18" s="6">
        <v>0</v>
      </c>
      <c r="DO18" s="6">
        <f t="shared" si="69"/>
        <v>0</v>
      </c>
      <c r="DP18" s="6">
        <f t="shared" si="70"/>
        <v>0</v>
      </c>
    </row>
    <row r="19" spans="1:120" x14ac:dyDescent="0.2">
      <c r="A19" s="21">
        <v>81</v>
      </c>
      <c r="B19" s="21" t="s">
        <v>132</v>
      </c>
      <c r="C19" s="21">
        <v>81065</v>
      </c>
      <c r="D19" s="21" t="s">
        <v>682</v>
      </c>
      <c r="E19" s="21" t="s">
        <v>683</v>
      </c>
      <c r="F19" s="22" t="s">
        <v>662</v>
      </c>
      <c r="G19" s="4" t="s">
        <v>131</v>
      </c>
      <c r="H19" s="6">
        <v>17354.830000000002</v>
      </c>
      <c r="I19" s="6">
        <f t="shared" si="0"/>
        <v>47.547479452054802</v>
      </c>
      <c r="J19" s="6">
        <v>15881.019399999999</v>
      </c>
      <c r="K19" s="6">
        <v>8766.4500000000007</v>
      </c>
      <c r="L19" s="6">
        <f t="shared" si="1"/>
        <v>23.952049180327872</v>
      </c>
      <c r="M19" s="6">
        <v>13777.3626</v>
      </c>
      <c r="N19" s="6">
        <v>6378.41</v>
      </c>
      <c r="O19" s="6">
        <f t="shared" si="71"/>
        <v>17.475095890410959</v>
      </c>
      <c r="P19" s="6">
        <v>11987</v>
      </c>
      <c r="Q19" s="6">
        <v>3537.03</v>
      </c>
      <c r="R19" s="6">
        <f t="shared" si="72"/>
        <v>19.541602209944752</v>
      </c>
      <c r="S19" s="6">
        <v>10430</v>
      </c>
      <c r="T19" s="6">
        <f t="shared" si="3"/>
        <v>10430</v>
      </c>
      <c r="U19" s="6">
        <f t="shared" si="4"/>
        <v>28.575342465753426</v>
      </c>
      <c r="V19" s="6">
        <v>773</v>
      </c>
      <c r="W19" s="6">
        <f t="shared" si="5"/>
        <v>773</v>
      </c>
      <c r="X19" s="6">
        <f t="shared" si="6"/>
        <v>2.117808219178082</v>
      </c>
      <c r="Y19" s="6">
        <v>0</v>
      </c>
      <c r="Z19" s="6">
        <f t="shared" si="7"/>
        <v>0</v>
      </c>
      <c r="AA19" s="6">
        <f t="shared" si="8"/>
        <v>0</v>
      </c>
      <c r="AB19" s="6">
        <v>0</v>
      </c>
      <c r="AC19" s="6">
        <f t="shared" si="9"/>
        <v>0</v>
      </c>
      <c r="AD19" s="6">
        <f t="shared" si="10"/>
        <v>0</v>
      </c>
      <c r="AE19" s="6">
        <v>0</v>
      </c>
      <c r="AF19" s="6">
        <f t="shared" si="11"/>
        <v>0</v>
      </c>
      <c r="AG19" s="6">
        <f t="shared" si="12"/>
        <v>0</v>
      </c>
      <c r="AH19" s="6">
        <v>0</v>
      </c>
      <c r="AI19" s="6">
        <f t="shared" si="13"/>
        <v>0</v>
      </c>
      <c r="AJ19" s="6">
        <f t="shared" si="14"/>
        <v>0</v>
      </c>
      <c r="AK19" s="6">
        <v>0</v>
      </c>
      <c r="AL19" s="6">
        <f t="shared" si="15"/>
        <v>0</v>
      </c>
      <c r="AM19" s="6">
        <f t="shared" si="16"/>
        <v>0</v>
      </c>
      <c r="AN19" s="6">
        <v>0</v>
      </c>
      <c r="AO19" s="6">
        <f t="shared" si="17"/>
        <v>0</v>
      </c>
      <c r="AP19" s="6">
        <f t="shared" si="18"/>
        <v>0</v>
      </c>
      <c r="AQ19" s="6">
        <v>0</v>
      </c>
      <c r="AR19" s="6">
        <f t="shared" si="19"/>
        <v>0</v>
      </c>
      <c r="AS19" s="6">
        <f t="shared" si="20"/>
        <v>0</v>
      </c>
      <c r="AT19" s="6">
        <v>0</v>
      </c>
      <c r="AU19" s="6">
        <f t="shared" si="21"/>
        <v>0</v>
      </c>
      <c r="AV19" s="6">
        <f t="shared" si="22"/>
        <v>0</v>
      </c>
      <c r="AW19" s="6">
        <v>0</v>
      </c>
      <c r="AX19" s="6">
        <f t="shared" si="23"/>
        <v>0</v>
      </c>
      <c r="AY19" s="6">
        <f t="shared" si="24"/>
        <v>0</v>
      </c>
      <c r="AZ19" s="6">
        <v>0</v>
      </c>
      <c r="BA19" s="6">
        <f t="shared" si="25"/>
        <v>0</v>
      </c>
      <c r="BB19" s="6">
        <f t="shared" si="26"/>
        <v>0</v>
      </c>
      <c r="BC19" s="6">
        <v>0</v>
      </c>
      <c r="BD19" s="6">
        <f t="shared" si="27"/>
        <v>0</v>
      </c>
      <c r="BE19" s="6">
        <f t="shared" si="28"/>
        <v>0</v>
      </c>
      <c r="BF19" s="6">
        <v>0</v>
      </c>
      <c r="BG19" s="6">
        <f t="shared" si="29"/>
        <v>0</v>
      </c>
      <c r="BH19" s="6">
        <f t="shared" si="30"/>
        <v>0</v>
      </c>
      <c r="BI19" s="6">
        <v>0</v>
      </c>
      <c r="BJ19" s="6">
        <f t="shared" si="31"/>
        <v>0</v>
      </c>
      <c r="BK19" s="6">
        <f t="shared" si="32"/>
        <v>0</v>
      </c>
      <c r="BL19" s="6">
        <v>0</v>
      </c>
      <c r="BM19" s="6">
        <f t="shared" si="33"/>
        <v>0</v>
      </c>
      <c r="BN19" s="6">
        <f t="shared" si="34"/>
        <v>0</v>
      </c>
      <c r="BO19" s="6">
        <v>0</v>
      </c>
      <c r="BP19" s="6">
        <f t="shared" si="35"/>
        <v>0</v>
      </c>
      <c r="BQ19" s="6">
        <f t="shared" si="36"/>
        <v>0</v>
      </c>
      <c r="BR19" s="6">
        <v>0</v>
      </c>
      <c r="BS19" s="6">
        <f t="shared" si="37"/>
        <v>0</v>
      </c>
      <c r="BT19" s="6">
        <f t="shared" si="38"/>
        <v>0</v>
      </c>
      <c r="BU19" s="6">
        <v>0</v>
      </c>
      <c r="BV19" s="6">
        <f t="shared" si="39"/>
        <v>0</v>
      </c>
      <c r="BW19" s="6">
        <f t="shared" si="40"/>
        <v>0</v>
      </c>
      <c r="BX19" s="6">
        <v>0</v>
      </c>
      <c r="BY19" s="6">
        <f t="shared" si="41"/>
        <v>0</v>
      </c>
      <c r="BZ19" s="6">
        <f t="shared" si="42"/>
        <v>0</v>
      </c>
      <c r="CA19" s="6">
        <v>0</v>
      </c>
      <c r="CB19" s="6">
        <f t="shared" si="43"/>
        <v>0</v>
      </c>
      <c r="CC19" s="6">
        <f t="shared" si="44"/>
        <v>0</v>
      </c>
      <c r="CD19" s="6">
        <v>0</v>
      </c>
      <c r="CE19" s="6">
        <f t="shared" si="45"/>
        <v>0</v>
      </c>
      <c r="CF19" s="6">
        <f t="shared" si="46"/>
        <v>0</v>
      </c>
      <c r="CG19" s="6">
        <v>0</v>
      </c>
      <c r="CH19" s="6">
        <f t="shared" si="47"/>
        <v>0</v>
      </c>
      <c r="CI19" s="6">
        <f t="shared" si="48"/>
        <v>0</v>
      </c>
      <c r="CJ19" s="6">
        <v>0</v>
      </c>
      <c r="CK19" s="6">
        <f t="shared" si="49"/>
        <v>0</v>
      </c>
      <c r="CL19" s="6">
        <f t="shared" si="50"/>
        <v>0</v>
      </c>
      <c r="CM19" s="6">
        <v>0</v>
      </c>
      <c r="CN19" s="6">
        <f t="shared" si="51"/>
        <v>0</v>
      </c>
      <c r="CO19" s="6">
        <f t="shared" si="52"/>
        <v>0</v>
      </c>
      <c r="CP19" s="6">
        <v>0</v>
      </c>
      <c r="CQ19" s="6">
        <f t="shared" si="53"/>
        <v>0</v>
      </c>
      <c r="CR19" s="6">
        <f t="shared" si="54"/>
        <v>0</v>
      </c>
      <c r="CS19" s="6">
        <v>0</v>
      </c>
      <c r="CT19" s="6">
        <f t="shared" si="55"/>
        <v>0</v>
      </c>
      <c r="CU19" s="6">
        <f t="shared" si="56"/>
        <v>0</v>
      </c>
      <c r="CV19" s="6">
        <v>0</v>
      </c>
      <c r="CW19" s="6">
        <f t="shared" si="57"/>
        <v>0</v>
      </c>
      <c r="CX19" s="6">
        <f t="shared" si="58"/>
        <v>0</v>
      </c>
      <c r="CY19" s="6">
        <v>0</v>
      </c>
      <c r="CZ19" s="6">
        <f t="shared" si="59"/>
        <v>0</v>
      </c>
      <c r="DA19" s="6">
        <f t="shared" si="60"/>
        <v>0</v>
      </c>
      <c r="DB19" s="6">
        <v>0</v>
      </c>
      <c r="DC19" s="6">
        <f t="shared" si="61"/>
        <v>0</v>
      </c>
      <c r="DD19" s="6">
        <f t="shared" si="62"/>
        <v>0</v>
      </c>
      <c r="DE19" s="6">
        <v>0</v>
      </c>
      <c r="DF19" s="6">
        <f t="shared" si="63"/>
        <v>0</v>
      </c>
      <c r="DG19" s="6">
        <f t="shared" si="64"/>
        <v>0</v>
      </c>
      <c r="DH19" s="6">
        <v>0</v>
      </c>
      <c r="DI19" s="6">
        <f t="shared" si="65"/>
        <v>0</v>
      </c>
      <c r="DJ19" s="6">
        <f t="shared" si="66"/>
        <v>0</v>
      </c>
      <c r="DK19" s="6">
        <v>0</v>
      </c>
      <c r="DL19" s="6">
        <f t="shared" si="67"/>
        <v>0</v>
      </c>
      <c r="DM19" s="6">
        <f t="shared" si="68"/>
        <v>0</v>
      </c>
      <c r="DN19" s="6">
        <v>0</v>
      </c>
      <c r="DO19" s="6">
        <f t="shared" si="69"/>
        <v>0</v>
      </c>
      <c r="DP19" s="6">
        <f t="shared" si="70"/>
        <v>0</v>
      </c>
    </row>
    <row r="20" spans="1:120" x14ac:dyDescent="0.2">
      <c r="A20" s="21">
        <v>81</v>
      </c>
      <c r="B20" s="21" t="s">
        <v>132</v>
      </c>
      <c r="C20" s="21">
        <v>81736</v>
      </c>
      <c r="D20" s="21" t="s">
        <v>684</v>
      </c>
      <c r="E20" s="21" t="s">
        <v>671</v>
      </c>
      <c r="F20" s="22" t="s">
        <v>666</v>
      </c>
      <c r="G20" s="4" t="s">
        <v>132</v>
      </c>
      <c r="H20" s="6">
        <v>148.61000000000001</v>
      </c>
      <c r="I20" s="6">
        <f t="shared" si="0"/>
        <v>0.40715068493150691</v>
      </c>
      <c r="J20" s="6">
        <v>1827566.2372000001</v>
      </c>
      <c r="K20" s="6">
        <v>354106.89</v>
      </c>
      <c r="L20" s="6">
        <f t="shared" si="1"/>
        <v>967.50516393442626</v>
      </c>
      <c r="M20" s="6">
        <v>1750063.5548</v>
      </c>
      <c r="N20" s="6">
        <v>62839.42</v>
      </c>
      <c r="O20" s="6">
        <f t="shared" si="71"/>
        <v>172.16279452054795</v>
      </c>
      <c r="P20" s="6">
        <v>1639464.6865999999</v>
      </c>
      <c r="Q20" s="6">
        <v>41745.85</v>
      </c>
      <c r="R20" s="6">
        <f t="shared" si="72"/>
        <v>230.64005524861878</v>
      </c>
      <c r="S20" s="6">
        <v>1502278.7916999999</v>
      </c>
      <c r="T20" s="6">
        <f t="shared" si="3"/>
        <v>1502278.7916999999</v>
      </c>
      <c r="U20" s="6">
        <f t="shared" si="4"/>
        <v>4115.832306027397</v>
      </c>
      <c r="V20" s="6">
        <v>1699212.9975999999</v>
      </c>
      <c r="W20" s="6">
        <f t="shared" si="5"/>
        <v>1699212.9975999999</v>
      </c>
      <c r="X20" s="6">
        <f t="shared" si="6"/>
        <v>4655.3780756164379</v>
      </c>
      <c r="Y20" s="6">
        <v>1063164.4613000001</v>
      </c>
      <c r="Z20" s="6">
        <f t="shared" si="7"/>
        <v>1063164.4613000001</v>
      </c>
      <c r="AA20" s="6">
        <f t="shared" si="8"/>
        <v>2912.7793460273974</v>
      </c>
      <c r="AB20" s="6">
        <v>688117.01390000002</v>
      </c>
      <c r="AC20" s="6">
        <f t="shared" si="9"/>
        <v>688117.01390000002</v>
      </c>
      <c r="AD20" s="6">
        <f t="shared" si="10"/>
        <v>1885.2520928767124</v>
      </c>
      <c r="AE20" s="6">
        <v>443541.84139999998</v>
      </c>
      <c r="AF20" s="6">
        <f t="shared" si="11"/>
        <v>443541.84139999998</v>
      </c>
      <c r="AG20" s="6">
        <f t="shared" si="12"/>
        <v>1215.1831271232877</v>
      </c>
      <c r="AH20" s="6">
        <v>242302.02489999999</v>
      </c>
      <c r="AI20" s="6">
        <f t="shared" si="13"/>
        <v>242302.02489999999</v>
      </c>
      <c r="AJ20" s="6">
        <f t="shared" si="14"/>
        <v>663.84116410958904</v>
      </c>
      <c r="AK20" s="6">
        <v>160919.5607</v>
      </c>
      <c r="AL20" s="6">
        <f t="shared" si="15"/>
        <v>160919.5607</v>
      </c>
      <c r="AM20" s="6">
        <f t="shared" si="16"/>
        <v>440.87550876712328</v>
      </c>
      <c r="AN20" s="6">
        <v>71350.206000000006</v>
      </c>
      <c r="AO20" s="6">
        <f t="shared" si="17"/>
        <v>71350.206000000006</v>
      </c>
      <c r="AP20" s="6">
        <f t="shared" si="18"/>
        <v>195.48001643835619</v>
      </c>
      <c r="AQ20" s="6">
        <v>0</v>
      </c>
      <c r="AR20" s="6">
        <f t="shared" si="19"/>
        <v>0</v>
      </c>
      <c r="AS20" s="6">
        <f t="shared" si="20"/>
        <v>0</v>
      </c>
      <c r="AT20" s="6">
        <v>0</v>
      </c>
      <c r="AU20" s="6">
        <f t="shared" si="21"/>
        <v>0</v>
      </c>
      <c r="AV20" s="6">
        <f t="shared" si="22"/>
        <v>0</v>
      </c>
      <c r="AW20" s="6">
        <v>0</v>
      </c>
      <c r="AX20" s="6">
        <f t="shared" si="23"/>
        <v>0</v>
      </c>
      <c r="AY20" s="6">
        <f t="shared" si="24"/>
        <v>0</v>
      </c>
      <c r="AZ20" s="6">
        <v>0</v>
      </c>
      <c r="BA20" s="6">
        <f t="shared" si="25"/>
        <v>0</v>
      </c>
      <c r="BB20" s="6">
        <f t="shared" si="26"/>
        <v>0</v>
      </c>
      <c r="BC20" s="6">
        <v>0</v>
      </c>
      <c r="BD20" s="6">
        <f t="shared" si="27"/>
        <v>0</v>
      </c>
      <c r="BE20" s="6">
        <f t="shared" si="28"/>
        <v>0</v>
      </c>
      <c r="BF20" s="6">
        <v>0</v>
      </c>
      <c r="BG20" s="6">
        <f t="shared" si="29"/>
        <v>0</v>
      </c>
      <c r="BH20" s="6">
        <f t="shared" si="30"/>
        <v>0</v>
      </c>
      <c r="BI20" s="6">
        <v>0</v>
      </c>
      <c r="BJ20" s="6">
        <f t="shared" si="31"/>
        <v>0</v>
      </c>
      <c r="BK20" s="6">
        <f t="shared" si="32"/>
        <v>0</v>
      </c>
      <c r="BL20" s="6">
        <v>0</v>
      </c>
      <c r="BM20" s="6">
        <f t="shared" si="33"/>
        <v>0</v>
      </c>
      <c r="BN20" s="6">
        <f t="shared" si="34"/>
        <v>0</v>
      </c>
      <c r="BO20" s="6">
        <v>0</v>
      </c>
      <c r="BP20" s="6">
        <f t="shared" si="35"/>
        <v>0</v>
      </c>
      <c r="BQ20" s="6">
        <f t="shared" si="36"/>
        <v>0</v>
      </c>
      <c r="BR20" s="6">
        <v>0</v>
      </c>
      <c r="BS20" s="6">
        <f t="shared" si="37"/>
        <v>0</v>
      </c>
      <c r="BT20" s="6">
        <f t="shared" si="38"/>
        <v>0</v>
      </c>
      <c r="BU20" s="6">
        <v>0</v>
      </c>
      <c r="BV20" s="6">
        <f t="shared" si="39"/>
        <v>0</v>
      </c>
      <c r="BW20" s="6">
        <f t="shared" si="40"/>
        <v>0</v>
      </c>
      <c r="BX20" s="6">
        <v>0</v>
      </c>
      <c r="BY20" s="6">
        <f t="shared" si="41"/>
        <v>0</v>
      </c>
      <c r="BZ20" s="6">
        <f t="shared" si="42"/>
        <v>0</v>
      </c>
      <c r="CA20" s="6">
        <v>0</v>
      </c>
      <c r="CB20" s="6">
        <f t="shared" si="43"/>
        <v>0</v>
      </c>
      <c r="CC20" s="6">
        <f t="shared" si="44"/>
        <v>0</v>
      </c>
      <c r="CD20" s="6">
        <v>0</v>
      </c>
      <c r="CE20" s="6">
        <f t="shared" si="45"/>
        <v>0</v>
      </c>
      <c r="CF20" s="6">
        <f t="shared" si="46"/>
        <v>0</v>
      </c>
      <c r="CG20" s="6">
        <v>0</v>
      </c>
      <c r="CH20" s="6">
        <f t="shared" si="47"/>
        <v>0</v>
      </c>
      <c r="CI20" s="6">
        <f t="shared" si="48"/>
        <v>0</v>
      </c>
      <c r="CJ20" s="6">
        <v>0</v>
      </c>
      <c r="CK20" s="6">
        <f t="shared" si="49"/>
        <v>0</v>
      </c>
      <c r="CL20" s="6">
        <f t="shared" si="50"/>
        <v>0</v>
      </c>
      <c r="CM20" s="6">
        <v>0</v>
      </c>
      <c r="CN20" s="6">
        <f t="shared" si="51"/>
        <v>0</v>
      </c>
      <c r="CO20" s="6">
        <f t="shared" si="52"/>
        <v>0</v>
      </c>
      <c r="CP20" s="6">
        <v>0</v>
      </c>
      <c r="CQ20" s="6">
        <f t="shared" si="53"/>
        <v>0</v>
      </c>
      <c r="CR20" s="6">
        <f t="shared" si="54"/>
        <v>0</v>
      </c>
      <c r="CS20" s="6">
        <v>0</v>
      </c>
      <c r="CT20" s="6">
        <f t="shared" si="55"/>
        <v>0</v>
      </c>
      <c r="CU20" s="6">
        <f t="shared" si="56"/>
        <v>0</v>
      </c>
      <c r="CV20" s="6">
        <v>0</v>
      </c>
      <c r="CW20" s="6">
        <f t="shared" si="57"/>
        <v>0</v>
      </c>
      <c r="CX20" s="6">
        <f t="shared" si="58"/>
        <v>0</v>
      </c>
      <c r="CY20" s="6">
        <v>0</v>
      </c>
      <c r="CZ20" s="6">
        <f t="shared" si="59"/>
        <v>0</v>
      </c>
      <c r="DA20" s="6">
        <f t="shared" si="60"/>
        <v>0</v>
      </c>
      <c r="DB20" s="6">
        <v>0</v>
      </c>
      <c r="DC20" s="6">
        <f t="shared" si="61"/>
        <v>0</v>
      </c>
      <c r="DD20" s="6">
        <f t="shared" si="62"/>
        <v>0</v>
      </c>
      <c r="DE20" s="6">
        <v>0</v>
      </c>
      <c r="DF20" s="6">
        <f t="shared" si="63"/>
        <v>0</v>
      </c>
      <c r="DG20" s="6">
        <f t="shared" si="64"/>
        <v>0</v>
      </c>
      <c r="DH20" s="6">
        <v>0</v>
      </c>
      <c r="DI20" s="6">
        <f t="shared" si="65"/>
        <v>0</v>
      </c>
      <c r="DJ20" s="6">
        <f t="shared" si="66"/>
        <v>0</v>
      </c>
      <c r="DK20" s="6">
        <v>0</v>
      </c>
      <c r="DL20" s="6">
        <f t="shared" si="67"/>
        <v>0</v>
      </c>
      <c r="DM20" s="6">
        <f t="shared" si="68"/>
        <v>0</v>
      </c>
      <c r="DN20" s="6">
        <v>0</v>
      </c>
      <c r="DO20" s="6">
        <f t="shared" si="69"/>
        <v>0</v>
      </c>
      <c r="DP20" s="6">
        <f t="shared" si="70"/>
        <v>0</v>
      </c>
    </row>
    <row r="21" spans="1:120" x14ac:dyDescent="0.2">
      <c r="A21" s="21">
        <v>5</v>
      </c>
      <c r="B21" s="21" t="s">
        <v>685</v>
      </c>
      <c r="C21" s="21">
        <v>5585</v>
      </c>
      <c r="D21" s="21" t="s">
        <v>686</v>
      </c>
      <c r="E21" s="21" t="s">
        <v>522</v>
      </c>
      <c r="F21" s="22" t="s">
        <v>666</v>
      </c>
      <c r="G21" s="4" t="s">
        <v>133</v>
      </c>
      <c r="H21" s="6">
        <v>541812.15</v>
      </c>
      <c r="I21" s="6">
        <f t="shared" si="0"/>
        <v>1484.4168493150685</v>
      </c>
      <c r="J21" s="6">
        <v>536979</v>
      </c>
      <c r="K21" s="6">
        <v>496758.95</v>
      </c>
      <c r="L21" s="6">
        <f t="shared" si="1"/>
        <v>1357.2648907103826</v>
      </c>
      <c r="M21" s="6">
        <v>444328</v>
      </c>
      <c r="N21" s="6">
        <v>554382.63</v>
      </c>
      <c r="O21" s="6">
        <f t="shared" si="71"/>
        <v>1518.8565205479451</v>
      </c>
      <c r="P21" s="6">
        <v>368732</v>
      </c>
      <c r="Q21" s="6">
        <v>243361.56</v>
      </c>
      <c r="R21" s="6">
        <f t="shared" si="72"/>
        <v>1344.539005524862</v>
      </c>
      <c r="S21" s="6">
        <v>307136</v>
      </c>
      <c r="T21" s="6">
        <f t="shared" si="3"/>
        <v>307136</v>
      </c>
      <c r="U21" s="6">
        <f t="shared" si="4"/>
        <v>841.46849315068494</v>
      </c>
      <c r="V21" s="6">
        <v>0</v>
      </c>
      <c r="W21" s="6">
        <f t="shared" si="5"/>
        <v>0</v>
      </c>
      <c r="X21" s="6">
        <f t="shared" si="6"/>
        <v>0</v>
      </c>
      <c r="Y21" s="6">
        <v>0</v>
      </c>
      <c r="Z21" s="6">
        <f t="shared" si="7"/>
        <v>0</v>
      </c>
      <c r="AA21" s="6">
        <f t="shared" si="8"/>
        <v>0</v>
      </c>
      <c r="AB21" s="6">
        <v>0</v>
      </c>
      <c r="AC21" s="6">
        <f t="shared" si="9"/>
        <v>0</v>
      </c>
      <c r="AD21" s="6">
        <f t="shared" si="10"/>
        <v>0</v>
      </c>
      <c r="AE21" s="6">
        <v>0</v>
      </c>
      <c r="AF21" s="6">
        <f t="shared" si="11"/>
        <v>0</v>
      </c>
      <c r="AG21" s="6">
        <f t="shared" si="12"/>
        <v>0</v>
      </c>
      <c r="AH21" s="6">
        <v>0</v>
      </c>
      <c r="AI21" s="6">
        <f t="shared" si="13"/>
        <v>0</v>
      </c>
      <c r="AJ21" s="6">
        <f t="shared" si="14"/>
        <v>0</v>
      </c>
      <c r="AK21" s="6">
        <v>0</v>
      </c>
      <c r="AL21" s="6">
        <f t="shared" si="15"/>
        <v>0</v>
      </c>
      <c r="AM21" s="6">
        <f t="shared" si="16"/>
        <v>0</v>
      </c>
      <c r="AN21" s="6">
        <v>0</v>
      </c>
      <c r="AO21" s="6">
        <f t="shared" si="17"/>
        <v>0</v>
      </c>
      <c r="AP21" s="6">
        <f t="shared" si="18"/>
        <v>0</v>
      </c>
      <c r="AQ21" s="6">
        <v>0</v>
      </c>
      <c r="AR21" s="6">
        <f t="shared" si="19"/>
        <v>0</v>
      </c>
      <c r="AS21" s="6">
        <f t="shared" si="20"/>
        <v>0</v>
      </c>
      <c r="AT21" s="6">
        <v>0</v>
      </c>
      <c r="AU21" s="6">
        <f t="shared" si="21"/>
        <v>0</v>
      </c>
      <c r="AV21" s="6">
        <f t="shared" si="22"/>
        <v>0</v>
      </c>
      <c r="AW21" s="6">
        <v>0</v>
      </c>
      <c r="AX21" s="6">
        <f t="shared" si="23"/>
        <v>0</v>
      </c>
      <c r="AY21" s="6">
        <f t="shared" si="24"/>
        <v>0</v>
      </c>
      <c r="AZ21" s="6">
        <v>0</v>
      </c>
      <c r="BA21" s="6">
        <f t="shared" si="25"/>
        <v>0</v>
      </c>
      <c r="BB21" s="6">
        <f t="shared" si="26"/>
        <v>0</v>
      </c>
      <c r="BC21" s="6">
        <v>0</v>
      </c>
      <c r="BD21" s="6">
        <f t="shared" si="27"/>
        <v>0</v>
      </c>
      <c r="BE21" s="6">
        <f t="shared" si="28"/>
        <v>0</v>
      </c>
      <c r="BF21" s="6">
        <v>0</v>
      </c>
      <c r="BG21" s="6">
        <f t="shared" si="29"/>
        <v>0</v>
      </c>
      <c r="BH21" s="6">
        <f t="shared" si="30"/>
        <v>0</v>
      </c>
      <c r="BI21" s="6">
        <v>0</v>
      </c>
      <c r="BJ21" s="6">
        <f t="shared" si="31"/>
        <v>0</v>
      </c>
      <c r="BK21" s="6">
        <f t="shared" si="32"/>
        <v>0</v>
      </c>
      <c r="BL21" s="6">
        <v>0</v>
      </c>
      <c r="BM21" s="6">
        <f t="shared" si="33"/>
        <v>0</v>
      </c>
      <c r="BN21" s="6">
        <f t="shared" si="34"/>
        <v>0</v>
      </c>
      <c r="BO21" s="6">
        <v>0</v>
      </c>
      <c r="BP21" s="6">
        <f t="shared" si="35"/>
        <v>0</v>
      </c>
      <c r="BQ21" s="6">
        <f t="shared" si="36"/>
        <v>0</v>
      </c>
      <c r="BR21" s="6">
        <v>0</v>
      </c>
      <c r="BS21" s="6">
        <f t="shared" si="37"/>
        <v>0</v>
      </c>
      <c r="BT21" s="6">
        <f t="shared" si="38"/>
        <v>0</v>
      </c>
      <c r="BU21" s="6">
        <v>0</v>
      </c>
      <c r="BV21" s="6">
        <f t="shared" si="39"/>
        <v>0</v>
      </c>
      <c r="BW21" s="6">
        <f t="shared" si="40"/>
        <v>0</v>
      </c>
      <c r="BX21" s="6">
        <v>0</v>
      </c>
      <c r="BY21" s="6">
        <f t="shared" si="41"/>
        <v>0</v>
      </c>
      <c r="BZ21" s="6">
        <f t="shared" si="42"/>
        <v>0</v>
      </c>
      <c r="CA21" s="6">
        <v>0</v>
      </c>
      <c r="CB21" s="6">
        <f t="shared" si="43"/>
        <v>0</v>
      </c>
      <c r="CC21" s="6">
        <f t="shared" si="44"/>
        <v>0</v>
      </c>
      <c r="CD21" s="6">
        <v>0</v>
      </c>
      <c r="CE21" s="6">
        <f t="shared" si="45"/>
        <v>0</v>
      </c>
      <c r="CF21" s="6">
        <f t="shared" si="46"/>
        <v>0</v>
      </c>
      <c r="CG21" s="6">
        <v>0</v>
      </c>
      <c r="CH21" s="6">
        <f t="shared" si="47"/>
        <v>0</v>
      </c>
      <c r="CI21" s="6">
        <f t="shared" si="48"/>
        <v>0</v>
      </c>
      <c r="CJ21" s="6">
        <v>0</v>
      </c>
      <c r="CK21" s="6">
        <f t="shared" si="49"/>
        <v>0</v>
      </c>
      <c r="CL21" s="6">
        <f t="shared" si="50"/>
        <v>0</v>
      </c>
      <c r="CM21" s="6">
        <v>0</v>
      </c>
      <c r="CN21" s="6">
        <f t="shared" si="51"/>
        <v>0</v>
      </c>
      <c r="CO21" s="6">
        <f t="shared" si="52"/>
        <v>0</v>
      </c>
      <c r="CP21" s="6">
        <v>0</v>
      </c>
      <c r="CQ21" s="6">
        <f t="shared" si="53"/>
        <v>0</v>
      </c>
      <c r="CR21" s="6">
        <f t="shared" si="54"/>
        <v>0</v>
      </c>
      <c r="CS21" s="6">
        <v>0</v>
      </c>
      <c r="CT21" s="6">
        <f t="shared" si="55"/>
        <v>0</v>
      </c>
      <c r="CU21" s="6">
        <f t="shared" si="56"/>
        <v>0</v>
      </c>
      <c r="CV21" s="6">
        <v>0</v>
      </c>
      <c r="CW21" s="6">
        <f t="shared" si="57"/>
        <v>0</v>
      </c>
      <c r="CX21" s="6">
        <f t="shared" si="58"/>
        <v>0</v>
      </c>
      <c r="CY21" s="6">
        <v>0</v>
      </c>
      <c r="CZ21" s="6">
        <f t="shared" si="59"/>
        <v>0</v>
      </c>
      <c r="DA21" s="6">
        <f t="shared" si="60"/>
        <v>0</v>
      </c>
      <c r="DB21" s="6">
        <v>0</v>
      </c>
      <c r="DC21" s="6">
        <f t="shared" si="61"/>
        <v>0</v>
      </c>
      <c r="DD21" s="6">
        <f t="shared" si="62"/>
        <v>0</v>
      </c>
      <c r="DE21" s="6">
        <v>0</v>
      </c>
      <c r="DF21" s="6">
        <f t="shared" si="63"/>
        <v>0</v>
      </c>
      <c r="DG21" s="6">
        <f t="shared" si="64"/>
        <v>0</v>
      </c>
      <c r="DH21" s="6">
        <v>0</v>
      </c>
      <c r="DI21" s="6">
        <f t="shared" si="65"/>
        <v>0</v>
      </c>
      <c r="DJ21" s="6">
        <f t="shared" si="66"/>
        <v>0</v>
      </c>
      <c r="DK21" s="6">
        <v>0</v>
      </c>
      <c r="DL21" s="6">
        <f t="shared" si="67"/>
        <v>0</v>
      </c>
      <c r="DM21" s="6">
        <f t="shared" si="68"/>
        <v>0</v>
      </c>
      <c r="DN21" s="6">
        <v>0</v>
      </c>
      <c r="DO21" s="6">
        <f t="shared" si="69"/>
        <v>0</v>
      </c>
      <c r="DP21" s="6">
        <f t="shared" si="70"/>
        <v>0</v>
      </c>
    </row>
    <row r="22" spans="1:120" x14ac:dyDescent="0.2">
      <c r="A22" s="21">
        <v>41</v>
      </c>
      <c r="B22" s="21" t="s">
        <v>687</v>
      </c>
      <c r="C22" s="21">
        <v>41016</v>
      </c>
      <c r="D22" s="21" t="s">
        <v>688</v>
      </c>
      <c r="E22" s="21" t="s">
        <v>522</v>
      </c>
      <c r="F22" s="22" t="s">
        <v>666</v>
      </c>
      <c r="G22" s="4" t="s">
        <v>134</v>
      </c>
      <c r="H22" s="6">
        <v>92138.82</v>
      </c>
      <c r="I22" s="6">
        <f t="shared" si="0"/>
        <v>252.43512328767125</v>
      </c>
      <c r="J22" s="6">
        <v>76783</v>
      </c>
      <c r="K22" s="6">
        <v>78195.19</v>
      </c>
      <c r="L22" s="6">
        <f t="shared" si="1"/>
        <v>213.64806010928962</v>
      </c>
      <c r="M22" s="6">
        <v>61875</v>
      </c>
      <c r="N22" s="6">
        <v>70600.39</v>
      </c>
      <c r="O22" s="6">
        <f t="shared" si="71"/>
        <v>193.42572602739725</v>
      </c>
      <c r="P22" s="6">
        <v>46581</v>
      </c>
      <c r="Q22" s="6">
        <v>36546.69</v>
      </c>
      <c r="R22" s="6">
        <f t="shared" si="72"/>
        <v>201.9154143646409</v>
      </c>
      <c r="S22" s="6">
        <v>35137</v>
      </c>
      <c r="T22" s="6">
        <f t="shared" si="3"/>
        <v>35137</v>
      </c>
      <c r="U22" s="6">
        <f t="shared" si="4"/>
        <v>96.265753424657532</v>
      </c>
      <c r="V22" s="6">
        <v>26622</v>
      </c>
      <c r="W22" s="6">
        <f t="shared" si="5"/>
        <v>26622</v>
      </c>
      <c r="X22" s="6">
        <f t="shared" si="6"/>
        <v>72.936986301369856</v>
      </c>
      <c r="Y22" s="6">
        <v>20095</v>
      </c>
      <c r="Z22" s="6">
        <f t="shared" si="7"/>
        <v>20095</v>
      </c>
      <c r="AA22" s="6">
        <f t="shared" si="8"/>
        <v>55.054794520547944</v>
      </c>
      <c r="AB22" s="6">
        <v>13946</v>
      </c>
      <c r="AC22" s="6">
        <f t="shared" si="9"/>
        <v>13946</v>
      </c>
      <c r="AD22" s="6">
        <f t="shared" si="10"/>
        <v>38.208219178082189</v>
      </c>
      <c r="AE22" s="6">
        <v>10696</v>
      </c>
      <c r="AF22" s="6">
        <f t="shared" si="11"/>
        <v>10696</v>
      </c>
      <c r="AG22" s="6">
        <f t="shared" si="12"/>
        <v>29.304109589041097</v>
      </c>
      <c r="AH22" s="6">
        <v>8229</v>
      </c>
      <c r="AI22" s="6">
        <f t="shared" si="13"/>
        <v>8229</v>
      </c>
      <c r="AJ22" s="6">
        <f t="shared" si="14"/>
        <v>22.545205479452054</v>
      </c>
      <c r="AK22" s="6">
        <v>0</v>
      </c>
      <c r="AL22" s="6">
        <f t="shared" si="15"/>
        <v>0</v>
      </c>
      <c r="AM22" s="6">
        <f t="shared" si="16"/>
        <v>0</v>
      </c>
      <c r="AN22" s="6">
        <v>0</v>
      </c>
      <c r="AO22" s="6">
        <f t="shared" si="17"/>
        <v>0</v>
      </c>
      <c r="AP22" s="6">
        <f t="shared" si="18"/>
        <v>0</v>
      </c>
      <c r="AQ22" s="6">
        <v>0</v>
      </c>
      <c r="AR22" s="6">
        <f t="shared" si="19"/>
        <v>0</v>
      </c>
      <c r="AS22" s="6">
        <f t="shared" si="20"/>
        <v>0</v>
      </c>
      <c r="AT22" s="6">
        <v>0</v>
      </c>
      <c r="AU22" s="6">
        <f t="shared" si="21"/>
        <v>0</v>
      </c>
      <c r="AV22" s="6">
        <f t="shared" si="22"/>
        <v>0</v>
      </c>
      <c r="AW22" s="6">
        <v>0</v>
      </c>
      <c r="AX22" s="6">
        <f t="shared" si="23"/>
        <v>0</v>
      </c>
      <c r="AY22" s="6">
        <f t="shared" si="24"/>
        <v>0</v>
      </c>
      <c r="AZ22" s="6">
        <v>0</v>
      </c>
      <c r="BA22" s="6">
        <f t="shared" si="25"/>
        <v>0</v>
      </c>
      <c r="BB22" s="6">
        <f t="shared" si="26"/>
        <v>0</v>
      </c>
      <c r="BC22" s="6">
        <v>0</v>
      </c>
      <c r="BD22" s="6">
        <f t="shared" si="27"/>
        <v>0</v>
      </c>
      <c r="BE22" s="6">
        <f t="shared" si="28"/>
        <v>0</v>
      </c>
      <c r="BF22" s="6">
        <v>0</v>
      </c>
      <c r="BG22" s="6">
        <f t="shared" si="29"/>
        <v>0</v>
      </c>
      <c r="BH22" s="6">
        <f t="shared" si="30"/>
        <v>0</v>
      </c>
      <c r="BI22" s="6">
        <v>0</v>
      </c>
      <c r="BJ22" s="6">
        <f t="shared" si="31"/>
        <v>0</v>
      </c>
      <c r="BK22" s="6">
        <f t="shared" si="32"/>
        <v>0</v>
      </c>
      <c r="BL22" s="6">
        <v>0</v>
      </c>
      <c r="BM22" s="6">
        <f t="shared" si="33"/>
        <v>0</v>
      </c>
      <c r="BN22" s="6">
        <f t="shared" si="34"/>
        <v>0</v>
      </c>
      <c r="BO22" s="6">
        <v>0</v>
      </c>
      <c r="BP22" s="6">
        <f t="shared" si="35"/>
        <v>0</v>
      </c>
      <c r="BQ22" s="6">
        <f t="shared" si="36"/>
        <v>0</v>
      </c>
      <c r="BR22" s="6">
        <v>0</v>
      </c>
      <c r="BS22" s="6">
        <f t="shared" si="37"/>
        <v>0</v>
      </c>
      <c r="BT22" s="6">
        <f t="shared" si="38"/>
        <v>0</v>
      </c>
      <c r="BU22" s="6">
        <v>0</v>
      </c>
      <c r="BV22" s="6">
        <f t="shared" si="39"/>
        <v>0</v>
      </c>
      <c r="BW22" s="6">
        <f t="shared" si="40"/>
        <v>0</v>
      </c>
      <c r="BX22" s="6">
        <v>0</v>
      </c>
      <c r="BY22" s="6">
        <f t="shared" si="41"/>
        <v>0</v>
      </c>
      <c r="BZ22" s="6">
        <f t="shared" si="42"/>
        <v>0</v>
      </c>
      <c r="CA22" s="6">
        <v>0</v>
      </c>
      <c r="CB22" s="6">
        <f t="shared" si="43"/>
        <v>0</v>
      </c>
      <c r="CC22" s="6">
        <f t="shared" si="44"/>
        <v>0</v>
      </c>
      <c r="CD22" s="6">
        <v>0</v>
      </c>
      <c r="CE22" s="6">
        <f t="shared" si="45"/>
        <v>0</v>
      </c>
      <c r="CF22" s="6">
        <f t="shared" si="46"/>
        <v>0</v>
      </c>
      <c r="CG22" s="6">
        <v>0</v>
      </c>
      <c r="CH22" s="6">
        <f t="shared" si="47"/>
        <v>0</v>
      </c>
      <c r="CI22" s="6">
        <f t="shared" si="48"/>
        <v>0</v>
      </c>
      <c r="CJ22" s="6">
        <v>0</v>
      </c>
      <c r="CK22" s="6">
        <f t="shared" si="49"/>
        <v>0</v>
      </c>
      <c r="CL22" s="6">
        <f t="shared" si="50"/>
        <v>0</v>
      </c>
      <c r="CM22" s="6">
        <v>0</v>
      </c>
      <c r="CN22" s="6">
        <f t="shared" si="51"/>
        <v>0</v>
      </c>
      <c r="CO22" s="6">
        <f t="shared" si="52"/>
        <v>0</v>
      </c>
      <c r="CP22" s="6">
        <v>0</v>
      </c>
      <c r="CQ22" s="6">
        <f t="shared" si="53"/>
        <v>0</v>
      </c>
      <c r="CR22" s="6">
        <f t="shared" si="54"/>
        <v>0</v>
      </c>
      <c r="CS22" s="6">
        <v>0</v>
      </c>
      <c r="CT22" s="6">
        <f t="shared" si="55"/>
        <v>0</v>
      </c>
      <c r="CU22" s="6">
        <f t="shared" si="56"/>
        <v>0</v>
      </c>
      <c r="CV22" s="6">
        <v>0</v>
      </c>
      <c r="CW22" s="6">
        <f t="shared" si="57"/>
        <v>0</v>
      </c>
      <c r="CX22" s="6">
        <f t="shared" si="58"/>
        <v>0</v>
      </c>
      <c r="CY22" s="6">
        <v>0</v>
      </c>
      <c r="CZ22" s="6">
        <f t="shared" si="59"/>
        <v>0</v>
      </c>
      <c r="DA22" s="6">
        <f t="shared" si="60"/>
        <v>0</v>
      </c>
      <c r="DB22" s="6">
        <v>0</v>
      </c>
      <c r="DC22" s="6">
        <f t="shared" si="61"/>
        <v>0</v>
      </c>
      <c r="DD22" s="6">
        <f t="shared" si="62"/>
        <v>0</v>
      </c>
      <c r="DE22" s="6">
        <v>0</v>
      </c>
      <c r="DF22" s="6">
        <f t="shared" si="63"/>
        <v>0</v>
      </c>
      <c r="DG22" s="6">
        <f t="shared" si="64"/>
        <v>0</v>
      </c>
      <c r="DH22" s="6">
        <v>0</v>
      </c>
      <c r="DI22" s="6">
        <f t="shared" si="65"/>
        <v>0</v>
      </c>
      <c r="DJ22" s="6">
        <f t="shared" si="66"/>
        <v>0</v>
      </c>
      <c r="DK22" s="6">
        <v>0</v>
      </c>
      <c r="DL22" s="6">
        <f t="shared" si="67"/>
        <v>0</v>
      </c>
      <c r="DM22" s="6">
        <f t="shared" si="68"/>
        <v>0</v>
      </c>
      <c r="DN22" s="6">
        <v>0</v>
      </c>
      <c r="DO22" s="6">
        <f t="shared" si="69"/>
        <v>0</v>
      </c>
      <c r="DP22" s="6">
        <f t="shared" si="70"/>
        <v>0</v>
      </c>
    </row>
    <row r="23" spans="1:120" x14ac:dyDescent="0.2">
      <c r="A23" s="21">
        <v>68</v>
      </c>
      <c r="B23" s="21" t="s">
        <v>673</v>
      </c>
      <c r="C23" s="21">
        <v>68655</v>
      </c>
      <c r="D23" s="21" t="s">
        <v>689</v>
      </c>
      <c r="E23" s="21" t="s">
        <v>522</v>
      </c>
      <c r="F23" s="22" t="s">
        <v>659</v>
      </c>
      <c r="G23" s="4" t="s">
        <v>135</v>
      </c>
      <c r="H23" s="6">
        <v>127288.8</v>
      </c>
      <c r="I23" s="6">
        <f t="shared" si="0"/>
        <v>348.7364383561644</v>
      </c>
      <c r="J23" s="6">
        <v>133080</v>
      </c>
      <c r="K23" s="6">
        <v>128232.26</v>
      </c>
      <c r="L23" s="6">
        <f t="shared" si="1"/>
        <v>350.36136612021858</v>
      </c>
      <c r="M23" s="6">
        <v>127358</v>
      </c>
      <c r="N23" s="6">
        <v>118875.17</v>
      </c>
      <c r="O23" s="6">
        <f t="shared" si="71"/>
        <v>325.68539726027399</v>
      </c>
      <c r="P23" s="6">
        <v>104705</v>
      </c>
      <c r="Q23" s="6">
        <v>58380.17</v>
      </c>
      <c r="R23" s="6">
        <f t="shared" si="72"/>
        <v>322.54237569060774</v>
      </c>
      <c r="S23" s="6">
        <v>75824</v>
      </c>
      <c r="T23" s="6">
        <f t="shared" si="3"/>
        <v>75824</v>
      </c>
      <c r="U23" s="6">
        <f t="shared" si="4"/>
        <v>207.73698630136985</v>
      </c>
      <c r="V23" s="6">
        <v>55035</v>
      </c>
      <c r="W23" s="6">
        <f t="shared" si="5"/>
        <v>55035</v>
      </c>
      <c r="X23" s="6">
        <f t="shared" si="6"/>
        <v>150.78082191780823</v>
      </c>
      <c r="Y23" s="6">
        <v>39726</v>
      </c>
      <c r="Z23" s="6">
        <f t="shared" si="7"/>
        <v>39726</v>
      </c>
      <c r="AA23" s="6">
        <f t="shared" si="8"/>
        <v>108.83835616438355</v>
      </c>
      <c r="AB23" s="6">
        <v>28770</v>
      </c>
      <c r="AC23" s="6">
        <f t="shared" si="9"/>
        <v>28770</v>
      </c>
      <c r="AD23" s="6">
        <f t="shared" si="10"/>
        <v>78.821917808219183</v>
      </c>
      <c r="AE23" s="6">
        <v>0</v>
      </c>
      <c r="AF23" s="6">
        <f t="shared" si="11"/>
        <v>0</v>
      </c>
      <c r="AG23" s="6">
        <f t="shared" si="12"/>
        <v>0</v>
      </c>
      <c r="AH23" s="6">
        <v>0</v>
      </c>
      <c r="AI23" s="6">
        <f t="shared" si="13"/>
        <v>0</v>
      </c>
      <c r="AJ23" s="6">
        <f t="shared" si="14"/>
        <v>0</v>
      </c>
      <c r="AK23" s="6">
        <v>0</v>
      </c>
      <c r="AL23" s="6">
        <f t="shared" si="15"/>
        <v>0</v>
      </c>
      <c r="AM23" s="6">
        <f t="shared" si="16"/>
        <v>0</v>
      </c>
      <c r="AN23" s="6">
        <v>0</v>
      </c>
      <c r="AO23" s="6">
        <f t="shared" si="17"/>
        <v>0</v>
      </c>
      <c r="AP23" s="6">
        <f t="shared" si="18"/>
        <v>0</v>
      </c>
      <c r="AQ23" s="6">
        <v>0</v>
      </c>
      <c r="AR23" s="6">
        <f t="shared" si="19"/>
        <v>0</v>
      </c>
      <c r="AS23" s="6">
        <f t="shared" si="20"/>
        <v>0</v>
      </c>
      <c r="AT23" s="6">
        <v>0</v>
      </c>
      <c r="AU23" s="6">
        <f t="shared" si="21"/>
        <v>0</v>
      </c>
      <c r="AV23" s="6">
        <f t="shared" si="22"/>
        <v>0</v>
      </c>
      <c r="AW23" s="6">
        <v>0</v>
      </c>
      <c r="AX23" s="6">
        <f t="shared" si="23"/>
        <v>0</v>
      </c>
      <c r="AY23" s="6">
        <f t="shared" si="24"/>
        <v>0</v>
      </c>
      <c r="AZ23" s="6">
        <v>0</v>
      </c>
      <c r="BA23" s="6">
        <f t="shared" si="25"/>
        <v>0</v>
      </c>
      <c r="BB23" s="6">
        <f t="shared" si="26"/>
        <v>0</v>
      </c>
      <c r="BC23" s="6">
        <v>0</v>
      </c>
      <c r="BD23" s="6">
        <f t="shared" si="27"/>
        <v>0</v>
      </c>
      <c r="BE23" s="6">
        <f t="shared" si="28"/>
        <v>0</v>
      </c>
      <c r="BF23" s="6">
        <v>0</v>
      </c>
      <c r="BG23" s="6">
        <f t="shared" si="29"/>
        <v>0</v>
      </c>
      <c r="BH23" s="6">
        <f t="shared" si="30"/>
        <v>0</v>
      </c>
      <c r="BI23" s="6">
        <v>0</v>
      </c>
      <c r="BJ23" s="6">
        <f t="shared" si="31"/>
        <v>0</v>
      </c>
      <c r="BK23" s="6">
        <f t="shared" si="32"/>
        <v>0</v>
      </c>
      <c r="BL23" s="6">
        <v>0</v>
      </c>
      <c r="BM23" s="6">
        <f t="shared" si="33"/>
        <v>0</v>
      </c>
      <c r="BN23" s="6">
        <f t="shared" si="34"/>
        <v>0</v>
      </c>
      <c r="BO23" s="6">
        <v>0</v>
      </c>
      <c r="BP23" s="6">
        <f t="shared" si="35"/>
        <v>0</v>
      </c>
      <c r="BQ23" s="6">
        <f t="shared" si="36"/>
        <v>0</v>
      </c>
      <c r="BR23" s="6">
        <v>0</v>
      </c>
      <c r="BS23" s="6">
        <f t="shared" si="37"/>
        <v>0</v>
      </c>
      <c r="BT23" s="6">
        <f t="shared" si="38"/>
        <v>0</v>
      </c>
      <c r="BU23" s="6">
        <v>0</v>
      </c>
      <c r="BV23" s="6">
        <f t="shared" si="39"/>
        <v>0</v>
      </c>
      <c r="BW23" s="6">
        <f t="shared" si="40"/>
        <v>0</v>
      </c>
      <c r="BX23" s="6">
        <v>0</v>
      </c>
      <c r="BY23" s="6">
        <f t="shared" si="41"/>
        <v>0</v>
      </c>
      <c r="BZ23" s="6">
        <f t="shared" si="42"/>
        <v>0</v>
      </c>
      <c r="CA23" s="6">
        <v>0</v>
      </c>
      <c r="CB23" s="6">
        <f t="shared" si="43"/>
        <v>0</v>
      </c>
      <c r="CC23" s="6">
        <f t="shared" si="44"/>
        <v>0</v>
      </c>
      <c r="CD23" s="6">
        <v>0</v>
      </c>
      <c r="CE23" s="6">
        <f t="shared" si="45"/>
        <v>0</v>
      </c>
      <c r="CF23" s="6">
        <f t="shared" si="46"/>
        <v>0</v>
      </c>
      <c r="CG23" s="6">
        <v>0</v>
      </c>
      <c r="CH23" s="6">
        <f t="shared" si="47"/>
        <v>0</v>
      </c>
      <c r="CI23" s="6">
        <f t="shared" si="48"/>
        <v>0</v>
      </c>
      <c r="CJ23" s="6">
        <v>0</v>
      </c>
      <c r="CK23" s="6">
        <f t="shared" si="49"/>
        <v>0</v>
      </c>
      <c r="CL23" s="6">
        <f t="shared" si="50"/>
        <v>0</v>
      </c>
      <c r="CM23" s="6">
        <v>0</v>
      </c>
      <c r="CN23" s="6">
        <f t="shared" si="51"/>
        <v>0</v>
      </c>
      <c r="CO23" s="6">
        <f t="shared" si="52"/>
        <v>0</v>
      </c>
      <c r="CP23" s="6">
        <v>0</v>
      </c>
      <c r="CQ23" s="6">
        <f t="shared" si="53"/>
        <v>0</v>
      </c>
      <c r="CR23" s="6">
        <f t="shared" si="54"/>
        <v>0</v>
      </c>
      <c r="CS23" s="6">
        <v>0</v>
      </c>
      <c r="CT23" s="6">
        <f t="shared" si="55"/>
        <v>0</v>
      </c>
      <c r="CU23" s="6">
        <f t="shared" si="56"/>
        <v>0</v>
      </c>
      <c r="CV23" s="6">
        <v>0</v>
      </c>
      <c r="CW23" s="6">
        <f t="shared" si="57"/>
        <v>0</v>
      </c>
      <c r="CX23" s="6">
        <f t="shared" si="58"/>
        <v>0</v>
      </c>
      <c r="CY23" s="6">
        <v>0</v>
      </c>
      <c r="CZ23" s="6">
        <f t="shared" si="59"/>
        <v>0</v>
      </c>
      <c r="DA23" s="6">
        <f t="shared" si="60"/>
        <v>0</v>
      </c>
      <c r="DB23" s="6">
        <v>0</v>
      </c>
      <c r="DC23" s="6">
        <f t="shared" si="61"/>
        <v>0</v>
      </c>
      <c r="DD23" s="6">
        <f t="shared" si="62"/>
        <v>0</v>
      </c>
      <c r="DE23" s="6">
        <v>0</v>
      </c>
      <c r="DF23" s="6">
        <f t="shared" si="63"/>
        <v>0</v>
      </c>
      <c r="DG23" s="6">
        <f t="shared" si="64"/>
        <v>0</v>
      </c>
      <c r="DH23" s="6">
        <v>0</v>
      </c>
      <c r="DI23" s="6">
        <f t="shared" si="65"/>
        <v>0</v>
      </c>
      <c r="DJ23" s="6">
        <f t="shared" si="66"/>
        <v>0</v>
      </c>
      <c r="DK23" s="6">
        <v>0</v>
      </c>
      <c r="DL23" s="6">
        <f t="shared" si="67"/>
        <v>0</v>
      </c>
      <c r="DM23" s="6">
        <f t="shared" si="68"/>
        <v>0</v>
      </c>
      <c r="DN23" s="6">
        <v>0</v>
      </c>
      <c r="DO23" s="6">
        <f t="shared" si="69"/>
        <v>0</v>
      </c>
      <c r="DP23" s="6">
        <f t="shared" si="70"/>
        <v>0</v>
      </c>
    </row>
    <row r="24" spans="1:120" x14ac:dyDescent="0.2">
      <c r="A24" s="21">
        <v>85</v>
      </c>
      <c r="B24" s="21" t="s">
        <v>612</v>
      </c>
      <c r="C24" s="21">
        <v>85430</v>
      </c>
      <c r="D24" s="21" t="s">
        <v>672</v>
      </c>
      <c r="E24" s="21" t="s">
        <v>690</v>
      </c>
      <c r="F24" s="22" t="s">
        <v>669</v>
      </c>
      <c r="G24" s="4" t="s">
        <v>136</v>
      </c>
      <c r="H24" s="6">
        <v>70551.320000000007</v>
      </c>
      <c r="I24" s="6">
        <f t="shared" si="0"/>
        <v>193.29128767123291</v>
      </c>
      <c r="J24" s="6">
        <v>60288.515899999999</v>
      </c>
      <c r="K24" s="6">
        <v>56138.21</v>
      </c>
      <c r="L24" s="6">
        <f t="shared" si="1"/>
        <v>153.38308743169398</v>
      </c>
      <c r="M24" s="6">
        <v>50722.435799999999</v>
      </c>
      <c r="N24" s="6">
        <v>45188.05</v>
      </c>
      <c r="O24" s="6">
        <f t="shared" si="71"/>
        <v>123.80287671232878</v>
      </c>
      <c r="P24" s="6">
        <v>42801.374199999998</v>
      </c>
      <c r="Q24" s="6">
        <v>18590.47</v>
      </c>
      <c r="R24" s="6">
        <f t="shared" si="72"/>
        <v>102.70977900552487</v>
      </c>
      <c r="S24" s="6">
        <v>36117.304499999998</v>
      </c>
      <c r="T24" s="6">
        <f t="shared" si="3"/>
        <v>36117.304499999998</v>
      </c>
      <c r="U24" s="6">
        <f t="shared" si="4"/>
        <v>98.951519178082194</v>
      </c>
      <c r="V24" s="6">
        <v>30553.644100000001</v>
      </c>
      <c r="W24" s="6">
        <f t="shared" si="5"/>
        <v>30553.644100000001</v>
      </c>
      <c r="X24" s="6">
        <f t="shared" si="6"/>
        <v>83.708613972602748</v>
      </c>
      <c r="Y24" s="6">
        <v>0</v>
      </c>
      <c r="Z24" s="6">
        <f t="shared" si="7"/>
        <v>0</v>
      </c>
      <c r="AA24" s="6">
        <f t="shared" si="8"/>
        <v>0</v>
      </c>
      <c r="AB24" s="6">
        <v>0</v>
      </c>
      <c r="AC24" s="6">
        <f t="shared" si="9"/>
        <v>0</v>
      </c>
      <c r="AD24" s="6">
        <f t="shared" si="10"/>
        <v>0</v>
      </c>
      <c r="AE24" s="6">
        <v>0</v>
      </c>
      <c r="AF24" s="6">
        <f t="shared" si="11"/>
        <v>0</v>
      </c>
      <c r="AG24" s="6">
        <f t="shared" si="12"/>
        <v>0</v>
      </c>
      <c r="AH24" s="6">
        <v>0</v>
      </c>
      <c r="AI24" s="6">
        <f t="shared" si="13"/>
        <v>0</v>
      </c>
      <c r="AJ24" s="6">
        <f t="shared" si="14"/>
        <v>0</v>
      </c>
      <c r="AK24" s="6">
        <v>0</v>
      </c>
      <c r="AL24" s="6">
        <f t="shared" si="15"/>
        <v>0</v>
      </c>
      <c r="AM24" s="6">
        <f t="shared" si="16"/>
        <v>0</v>
      </c>
      <c r="AN24" s="6">
        <v>0</v>
      </c>
      <c r="AO24" s="6">
        <f t="shared" si="17"/>
        <v>0</v>
      </c>
      <c r="AP24" s="6">
        <f t="shared" si="18"/>
        <v>0</v>
      </c>
      <c r="AQ24" s="6">
        <v>0</v>
      </c>
      <c r="AR24" s="6">
        <f t="shared" si="19"/>
        <v>0</v>
      </c>
      <c r="AS24" s="6">
        <f t="shared" si="20"/>
        <v>0</v>
      </c>
      <c r="AT24" s="6">
        <v>0</v>
      </c>
      <c r="AU24" s="6">
        <f t="shared" si="21"/>
        <v>0</v>
      </c>
      <c r="AV24" s="6">
        <f t="shared" si="22"/>
        <v>0</v>
      </c>
      <c r="AW24" s="6">
        <v>0</v>
      </c>
      <c r="AX24" s="6">
        <f t="shared" si="23"/>
        <v>0</v>
      </c>
      <c r="AY24" s="6">
        <f t="shared" si="24"/>
        <v>0</v>
      </c>
      <c r="AZ24" s="6">
        <v>0</v>
      </c>
      <c r="BA24" s="6">
        <f t="shared" si="25"/>
        <v>0</v>
      </c>
      <c r="BB24" s="6">
        <f t="shared" si="26"/>
        <v>0</v>
      </c>
      <c r="BC24" s="6">
        <v>0</v>
      </c>
      <c r="BD24" s="6">
        <f t="shared" si="27"/>
        <v>0</v>
      </c>
      <c r="BE24" s="6">
        <f t="shared" si="28"/>
        <v>0</v>
      </c>
      <c r="BF24" s="6">
        <v>0</v>
      </c>
      <c r="BG24" s="6">
        <f t="shared" si="29"/>
        <v>0</v>
      </c>
      <c r="BH24" s="6">
        <f t="shared" si="30"/>
        <v>0</v>
      </c>
      <c r="BI24" s="6">
        <v>0</v>
      </c>
      <c r="BJ24" s="6">
        <f t="shared" si="31"/>
        <v>0</v>
      </c>
      <c r="BK24" s="6">
        <f t="shared" si="32"/>
        <v>0</v>
      </c>
      <c r="BL24" s="6">
        <v>0</v>
      </c>
      <c r="BM24" s="6">
        <f t="shared" si="33"/>
        <v>0</v>
      </c>
      <c r="BN24" s="6">
        <f t="shared" si="34"/>
        <v>0</v>
      </c>
      <c r="BO24" s="6">
        <v>0</v>
      </c>
      <c r="BP24" s="6">
        <f t="shared" si="35"/>
        <v>0</v>
      </c>
      <c r="BQ24" s="6">
        <f t="shared" si="36"/>
        <v>0</v>
      </c>
      <c r="BR24" s="6">
        <v>0</v>
      </c>
      <c r="BS24" s="6">
        <f t="shared" si="37"/>
        <v>0</v>
      </c>
      <c r="BT24" s="6">
        <f t="shared" si="38"/>
        <v>0</v>
      </c>
      <c r="BU24" s="6">
        <v>0</v>
      </c>
      <c r="BV24" s="6">
        <f t="shared" si="39"/>
        <v>0</v>
      </c>
      <c r="BW24" s="6">
        <f t="shared" si="40"/>
        <v>0</v>
      </c>
      <c r="BX24" s="6">
        <v>0</v>
      </c>
      <c r="BY24" s="6">
        <f t="shared" si="41"/>
        <v>0</v>
      </c>
      <c r="BZ24" s="6">
        <f t="shared" si="42"/>
        <v>0</v>
      </c>
      <c r="CA24" s="6">
        <v>0</v>
      </c>
      <c r="CB24" s="6">
        <f t="shared" si="43"/>
        <v>0</v>
      </c>
      <c r="CC24" s="6">
        <f t="shared" si="44"/>
        <v>0</v>
      </c>
      <c r="CD24" s="6">
        <v>0</v>
      </c>
      <c r="CE24" s="6">
        <f t="shared" si="45"/>
        <v>0</v>
      </c>
      <c r="CF24" s="6">
        <f t="shared" si="46"/>
        <v>0</v>
      </c>
      <c r="CG24" s="6">
        <v>0</v>
      </c>
      <c r="CH24" s="6">
        <f t="shared" si="47"/>
        <v>0</v>
      </c>
      <c r="CI24" s="6">
        <f t="shared" si="48"/>
        <v>0</v>
      </c>
      <c r="CJ24" s="6">
        <v>0</v>
      </c>
      <c r="CK24" s="6">
        <f t="shared" si="49"/>
        <v>0</v>
      </c>
      <c r="CL24" s="6">
        <f t="shared" si="50"/>
        <v>0</v>
      </c>
      <c r="CM24" s="6">
        <v>0</v>
      </c>
      <c r="CN24" s="6">
        <f t="shared" si="51"/>
        <v>0</v>
      </c>
      <c r="CO24" s="6">
        <f t="shared" si="52"/>
        <v>0</v>
      </c>
      <c r="CP24" s="6">
        <v>0</v>
      </c>
      <c r="CQ24" s="6">
        <f t="shared" si="53"/>
        <v>0</v>
      </c>
      <c r="CR24" s="6">
        <f t="shared" si="54"/>
        <v>0</v>
      </c>
      <c r="CS24" s="6">
        <v>0</v>
      </c>
      <c r="CT24" s="6">
        <f t="shared" si="55"/>
        <v>0</v>
      </c>
      <c r="CU24" s="6">
        <f t="shared" si="56"/>
        <v>0</v>
      </c>
      <c r="CV24" s="6">
        <v>0</v>
      </c>
      <c r="CW24" s="6">
        <f t="shared" si="57"/>
        <v>0</v>
      </c>
      <c r="CX24" s="6">
        <f t="shared" si="58"/>
        <v>0</v>
      </c>
      <c r="CY24" s="6">
        <v>0</v>
      </c>
      <c r="CZ24" s="6">
        <f t="shared" si="59"/>
        <v>0</v>
      </c>
      <c r="DA24" s="6">
        <f t="shared" si="60"/>
        <v>0</v>
      </c>
      <c r="DB24" s="6">
        <v>0</v>
      </c>
      <c r="DC24" s="6">
        <f t="shared" si="61"/>
        <v>0</v>
      </c>
      <c r="DD24" s="6">
        <f t="shared" si="62"/>
        <v>0</v>
      </c>
      <c r="DE24" s="6">
        <v>0</v>
      </c>
      <c r="DF24" s="6">
        <f t="shared" si="63"/>
        <v>0</v>
      </c>
      <c r="DG24" s="6">
        <f t="shared" si="64"/>
        <v>0</v>
      </c>
      <c r="DH24" s="6">
        <v>0</v>
      </c>
      <c r="DI24" s="6">
        <f t="shared" si="65"/>
        <v>0</v>
      </c>
      <c r="DJ24" s="6">
        <f t="shared" si="66"/>
        <v>0</v>
      </c>
      <c r="DK24" s="6">
        <v>0</v>
      </c>
      <c r="DL24" s="6">
        <f t="shared" si="67"/>
        <v>0</v>
      </c>
      <c r="DM24" s="6">
        <f t="shared" si="68"/>
        <v>0</v>
      </c>
      <c r="DN24" s="6">
        <v>0</v>
      </c>
      <c r="DO24" s="6">
        <f t="shared" si="69"/>
        <v>0</v>
      </c>
      <c r="DP24" s="6">
        <f t="shared" si="70"/>
        <v>0</v>
      </c>
    </row>
    <row r="25" spans="1:120" x14ac:dyDescent="0.2">
      <c r="A25" s="21">
        <v>85</v>
      </c>
      <c r="B25" s="21" t="s">
        <v>612</v>
      </c>
      <c r="C25" s="21">
        <v>85410</v>
      </c>
      <c r="D25" s="21" t="s">
        <v>691</v>
      </c>
      <c r="E25" s="21" t="s">
        <v>638</v>
      </c>
      <c r="F25" s="22" t="s">
        <v>669</v>
      </c>
      <c r="G25" s="4" t="s">
        <v>137</v>
      </c>
      <c r="H25" s="6">
        <v>342454.98</v>
      </c>
      <c r="I25" s="6">
        <f t="shared" si="0"/>
        <v>938.23282191780822</v>
      </c>
      <c r="J25" s="6">
        <v>151431.29209999999</v>
      </c>
      <c r="K25" s="6">
        <v>505337.83</v>
      </c>
      <c r="L25" s="6">
        <f t="shared" si="1"/>
        <v>1380.7044535519126</v>
      </c>
      <c r="M25" s="6">
        <v>196035.55069999999</v>
      </c>
      <c r="N25" s="6">
        <v>1853303</v>
      </c>
      <c r="O25" s="6">
        <f t="shared" si="71"/>
        <v>5077.5424657534249</v>
      </c>
      <c r="P25" s="6">
        <v>159698.05110000001</v>
      </c>
      <c r="Q25" s="6">
        <v>887399.79</v>
      </c>
      <c r="R25" s="6">
        <f t="shared" si="72"/>
        <v>4902.7612707182325</v>
      </c>
      <c r="S25" s="6">
        <v>90223.592399999994</v>
      </c>
      <c r="T25" s="6">
        <f t="shared" si="3"/>
        <v>90223.592399999994</v>
      </c>
      <c r="U25" s="6">
        <f t="shared" si="4"/>
        <v>247.18792438356164</v>
      </c>
      <c r="V25" s="6">
        <v>66702.089300000007</v>
      </c>
      <c r="W25" s="6">
        <f t="shared" si="5"/>
        <v>66702.089300000007</v>
      </c>
      <c r="X25" s="6">
        <f t="shared" si="6"/>
        <v>182.74545013698631</v>
      </c>
      <c r="Y25" s="6">
        <v>37723.049599999998</v>
      </c>
      <c r="Z25" s="6">
        <f t="shared" si="7"/>
        <v>37723.049599999998</v>
      </c>
      <c r="AA25" s="6">
        <f t="shared" si="8"/>
        <v>103.35082082191781</v>
      </c>
      <c r="AB25" s="6">
        <v>12761.552299999999</v>
      </c>
      <c r="AC25" s="6">
        <f t="shared" si="9"/>
        <v>12761.552299999999</v>
      </c>
      <c r="AD25" s="6">
        <f t="shared" si="10"/>
        <v>34.963156986301371</v>
      </c>
      <c r="AE25" s="6">
        <v>0</v>
      </c>
      <c r="AF25" s="6">
        <f t="shared" si="11"/>
        <v>0</v>
      </c>
      <c r="AG25" s="6">
        <f t="shared" si="12"/>
        <v>0</v>
      </c>
      <c r="AH25" s="6">
        <v>0</v>
      </c>
      <c r="AI25" s="6">
        <f t="shared" si="13"/>
        <v>0</v>
      </c>
      <c r="AJ25" s="6">
        <f t="shared" si="14"/>
        <v>0</v>
      </c>
      <c r="AK25" s="6">
        <v>0</v>
      </c>
      <c r="AL25" s="6">
        <f t="shared" si="15"/>
        <v>0</v>
      </c>
      <c r="AM25" s="6">
        <f t="shared" si="16"/>
        <v>0</v>
      </c>
      <c r="AN25" s="6">
        <v>0</v>
      </c>
      <c r="AO25" s="6">
        <f t="shared" si="17"/>
        <v>0</v>
      </c>
      <c r="AP25" s="6">
        <f t="shared" si="18"/>
        <v>0</v>
      </c>
      <c r="AQ25" s="6">
        <v>0</v>
      </c>
      <c r="AR25" s="6">
        <f t="shared" si="19"/>
        <v>0</v>
      </c>
      <c r="AS25" s="6">
        <f t="shared" si="20"/>
        <v>0</v>
      </c>
      <c r="AT25" s="6">
        <v>0</v>
      </c>
      <c r="AU25" s="6">
        <f t="shared" si="21"/>
        <v>0</v>
      </c>
      <c r="AV25" s="6">
        <f t="shared" si="22"/>
        <v>0</v>
      </c>
      <c r="AW25" s="6">
        <v>0</v>
      </c>
      <c r="AX25" s="6">
        <f t="shared" si="23"/>
        <v>0</v>
      </c>
      <c r="AY25" s="6">
        <f t="shared" si="24"/>
        <v>0</v>
      </c>
      <c r="AZ25" s="6">
        <v>0</v>
      </c>
      <c r="BA25" s="6">
        <f t="shared" si="25"/>
        <v>0</v>
      </c>
      <c r="BB25" s="6">
        <f t="shared" si="26"/>
        <v>0</v>
      </c>
      <c r="BC25" s="6">
        <v>0</v>
      </c>
      <c r="BD25" s="6">
        <f t="shared" si="27"/>
        <v>0</v>
      </c>
      <c r="BE25" s="6">
        <f t="shared" si="28"/>
        <v>0</v>
      </c>
      <c r="BF25" s="6">
        <v>0</v>
      </c>
      <c r="BG25" s="6">
        <f t="shared" si="29"/>
        <v>0</v>
      </c>
      <c r="BH25" s="6">
        <f t="shared" si="30"/>
        <v>0</v>
      </c>
      <c r="BI25" s="6">
        <v>0</v>
      </c>
      <c r="BJ25" s="6">
        <f t="shared" si="31"/>
        <v>0</v>
      </c>
      <c r="BK25" s="6">
        <f t="shared" si="32"/>
        <v>0</v>
      </c>
      <c r="BL25" s="6">
        <v>0</v>
      </c>
      <c r="BM25" s="6">
        <f t="shared" si="33"/>
        <v>0</v>
      </c>
      <c r="BN25" s="6">
        <f t="shared" si="34"/>
        <v>0</v>
      </c>
      <c r="BO25" s="6">
        <v>0</v>
      </c>
      <c r="BP25" s="6">
        <f t="shared" si="35"/>
        <v>0</v>
      </c>
      <c r="BQ25" s="6">
        <f t="shared" si="36"/>
        <v>0</v>
      </c>
      <c r="BR25" s="6">
        <v>0</v>
      </c>
      <c r="BS25" s="6">
        <f t="shared" si="37"/>
        <v>0</v>
      </c>
      <c r="BT25" s="6">
        <f t="shared" si="38"/>
        <v>0</v>
      </c>
      <c r="BU25" s="6">
        <v>0</v>
      </c>
      <c r="BV25" s="6">
        <f t="shared" si="39"/>
        <v>0</v>
      </c>
      <c r="BW25" s="6">
        <f t="shared" si="40"/>
        <v>0</v>
      </c>
      <c r="BX25" s="6">
        <v>0</v>
      </c>
      <c r="BY25" s="6">
        <f t="shared" si="41"/>
        <v>0</v>
      </c>
      <c r="BZ25" s="6">
        <f t="shared" si="42"/>
        <v>0</v>
      </c>
      <c r="CA25" s="6">
        <v>0</v>
      </c>
      <c r="CB25" s="6">
        <f t="shared" si="43"/>
        <v>0</v>
      </c>
      <c r="CC25" s="6">
        <f t="shared" si="44"/>
        <v>0</v>
      </c>
      <c r="CD25" s="6">
        <v>0</v>
      </c>
      <c r="CE25" s="6">
        <f t="shared" si="45"/>
        <v>0</v>
      </c>
      <c r="CF25" s="6">
        <f t="shared" si="46"/>
        <v>0</v>
      </c>
      <c r="CG25" s="6">
        <v>0</v>
      </c>
      <c r="CH25" s="6">
        <f t="shared" si="47"/>
        <v>0</v>
      </c>
      <c r="CI25" s="6">
        <f t="shared" si="48"/>
        <v>0</v>
      </c>
      <c r="CJ25" s="6">
        <v>0</v>
      </c>
      <c r="CK25" s="6">
        <f t="shared" si="49"/>
        <v>0</v>
      </c>
      <c r="CL25" s="6">
        <f t="shared" si="50"/>
        <v>0</v>
      </c>
      <c r="CM25" s="6">
        <v>0</v>
      </c>
      <c r="CN25" s="6">
        <f t="shared" si="51"/>
        <v>0</v>
      </c>
      <c r="CO25" s="6">
        <f t="shared" si="52"/>
        <v>0</v>
      </c>
      <c r="CP25" s="6">
        <v>0</v>
      </c>
      <c r="CQ25" s="6">
        <f t="shared" si="53"/>
        <v>0</v>
      </c>
      <c r="CR25" s="6">
        <f t="shared" si="54"/>
        <v>0</v>
      </c>
      <c r="CS25" s="6">
        <v>0</v>
      </c>
      <c r="CT25" s="6">
        <f t="shared" si="55"/>
        <v>0</v>
      </c>
      <c r="CU25" s="6">
        <f t="shared" si="56"/>
        <v>0</v>
      </c>
      <c r="CV25" s="6">
        <v>0</v>
      </c>
      <c r="CW25" s="6">
        <f t="shared" si="57"/>
        <v>0</v>
      </c>
      <c r="CX25" s="6">
        <f t="shared" si="58"/>
        <v>0</v>
      </c>
      <c r="CY25" s="6">
        <v>0</v>
      </c>
      <c r="CZ25" s="6">
        <f t="shared" si="59"/>
        <v>0</v>
      </c>
      <c r="DA25" s="6">
        <f t="shared" si="60"/>
        <v>0</v>
      </c>
      <c r="DB25" s="6">
        <v>0</v>
      </c>
      <c r="DC25" s="6">
        <f t="shared" si="61"/>
        <v>0</v>
      </c>
      <c r="DD25" s="6">
        <f t="shared" si="62"/>
        <v>0</v>
      </c>
      <c r="DE25" s="6">
        <v>0</v>
      </c>
      <c r="DF25" s="6">
        <f t="shared" si="63"/>
        <v>0</v>
      </c>
      <c r="DG25" s="6">
        <f t="shared" si="64"/>
        <v>0</v>
      </c>
      <c r="DH25" s="6">
        <v>0</v>
      </c>
      <c r="DI25" s="6">
        <f t="shared" si="65"/>
        <v>0</v>
      </c>
      <c r="DJ25" s="6">
        <f t="shared" si="66"/>
        <v>0</v>
      </c>
      <c r="DK25" s="6">
        <v>0</v>
      </c>
      <c r="DL25" s="6">
        <f t="shared" si="67"/>
        <v>0</v>
      </c>
      <c r="DM25" s="6">
        <f t="shared" si="68"/>
        <v>0</v>
      </c>
      <c r="DN25" s="6">
        <v>0</v>
      </c>
      <c r="DO25" s="6">
        <f t="shared" si="69"/>
        <v>0</v>
      </c>
      <c r="DP25" s="6">
        <f t="shared" si="70"/>
        <v>0</v>
      </c>
    </row>
    <row r="26" spans="1:120" x14ac:dyDescent="0.2">
      <c r="A26" s="21">
        <v>85</v>
      </c>
      <c r="B26" s="21" t="s">
        <v>612</v>
      </c>
      <c r="C26" s="21">
        <v>85250</v>
      </c>
      <c r="D26" s="21" t="s">
        <v>663</v>
      </c>
      <c r="E26" s="21" t="s">
        <v>542</v>
      </c>
      <c r="F26" s="22" t="s">
        <v>669</v>
      </c>
      <c r="G26" s="4" t="s">
        <v>138</v>
      </c>
      <c r="H26" s="6">
        <v>11842.91</v>
      </c>
      <c r="I26" s="6">
        <f t="shared" si="0"/>
        <v>32.446328767123291</v>
      </c>
      <c r="J26" s="6">
        <v>12561</v>
      </c>
      <c r="K26" s="6">
        <v>4463.25</v>
      </c>
      <c r="L26" s="6">
        <f t="shared" si="1"/>
        <v>12.194672131147541</v>
      </c>
      <c r="M26" s="6">
        <v>19636</v>
      </c>
      <c r="N26" s="6"/>
      <c r="O26" s="6"/>
      <c r="P26" s="6">
        <v>16148</v>
      </c>
      <c r="Q26" s="6"/>
      <c r="R26" s="6"/>
      <c r="S26" s="6">
        <v>12617</v>
      </c>
      <c r="T26" s="6">
        <f t="shared" si="3"/>
        <v>12617</v>
      </c>
      <c r="U26" s="6">
        <f t="shared" si="4"/>
        <v>34.56712328767123</v>
      </c>
      <c r="V26" s="6">
        <v>9880</v>
      </c>
      <c r="W26" s="6">
        <f t="shared" si="5"/>
        <v>9880</v>
      </c>
      <c r="X26" s="6">
        <f t="shared" si="6"/>
        <v>27.068493150684933</v>
      </c>
      <c r="Y26" s="6">
        <v>0</v>
      </c>
      <c r="Z26" s="6">
        <f t="shared" si="7"/>
        <v>0</v>
      </c>
      <c r="AA26" s="6">
        <f t="shared" si="8"/>
        <v>0</v>
      </c>
      <c r="AB26" s="6">
        <v>0</v>
      </c>
      <c r="AC26" s="6">
        <f t="shared" si="9"/>
        <v>0</v>
      </c>
      <c r="AD26" s="6">
        <f t="shared" si="10"/>
        <v>0</v>
      </c>
      <c r="AE26" s="6">
        <v>0</v>
      </c>
      <c r="AF26" s="6">
        <f t="shared" si="11"/>
        <v>0</v>
      </c>
      <c r="AG26" s="6">
        <f t="shared" si="12"/>
        <v>0</v>
      </c>
      <c r="AH26" s="6">
        <v>0</v>
      </c>
      <c r="AI26" s="6">
        <f t="shared" si="13"/>
        <v>0</v>
      </c>
      <c r="AJ26" s="6">
        <f t="shared" si="14"/>
        <v>0</v>
      </c>
      <c r="AK26" s="6">
        <v>0</v>
      </c>
      <c r="AL26" s="6">
        <f t="shared" si="15"/>
        <v>0</v>
      </c>
      <c r="AM26" s="6">
        <f t="shared" si="16"/>
        <v>0</v>
      </c>
      <c r="AN26" s="6">
        <v>0</v>
      </c>
      <c r="AO26" s="6">
        <f t="shared" si="17"/>
        <v>0</v>
      </c>
      <c r="AP26" s="6">
        <f t="shared" si="18"/>
        <v>0</v>
      </c>
      <c r="AQ26" s="6">
        <v>0</v>
      </c>
      <c r="AR26" s="6">
        <f t="shared" si="19"/>
        <v>0</v>
      </c>
      <c r="AS26" s="6">
        <f t="shared" si="20"/>
        <v>0</v>
      </c>
      <c r="AT26" s="6">
        <v>0</v>
      </c>
      <c r="AU26" s="6">
        <f t="shared" si="21"/>
        <v>0</v>
      </c>
      <c r="AV26" s="6">
        <f t="shared" si="22"/>
        <v>0</v>
      </c>
      <c r="AW26" s="6">
        <v>0</v>
      </c>
      <c r="AX26" s="6">
        <f t="shared" si="23"/>
        <v>0</v>
      </c>
      <c r="AY26" s="6">
        <f t="shared" si="24"/>
        <v>0</v>
      </c>
      <c r="AZ26" s="6">
        <v>0</v>
      </c>
      <c r="BA26" s="6">
        <f t="shared" si="25"/>
        <v>0</v>
      </c>
      <c r="BB26" s="6">
        <f t="shared" si="26"/>
        <v>0</v>
      </c>
      <c r="BC26" s="6">
        <v>0</v>
      </c>
      <c r="BD26" s="6">
        <f t="shared" si="27"/>
        <v>0</v>
      </c>
      <c r="BE26" s="6">
        <f t="shared" si="28"/>
        <v>0</v>
      </c>
      <c r="BF26" s="6">
        <v>0</v>
      </c>
      <c r="BG26" s="6">
        <f t="shared" si="29"/>
        <v>0</v>
      </c>
      <c r="BH26" s="6">
        <f t="shared" si="30"/>
        <v>0</v>
      </c>
      <c r="BI26" s="6">
        <v>0</v>
      </c>
      <c r="BJ26" s="6">
        <f t="shared" si="31"/>
        <v>0</v>
      </c>
      <c r="BK26" s="6">
        <f t="shared" si="32"/>
        <v>0</v>
      </c>
      <c r="BL26" s="6">
        <v>0</v>
      </c>
      <c r="BM26" s="6">
        <f t="shared" si="33"/>
        <v>0</v>
      </c>
      <c r="BN26" s="6">
        <f t="shared" si="34"/>
        <v>0</v>
      </c>
      <c r="BO26" s="6">
        <v>0</v>
      </c>
      <c r="BP26" s="6">
        <f t="shared" si="35"/>
        <v>0</v>
      </c>
      <c r="BQ26" s="6">
        <f t="shared" si="36"/>
        <v>0</v>
      </c>
      <c r="BR26" s="6">
        <v>0</v>
      </c>
      <c r="BS26" s="6">
        <f t="shared" si="37"/>
        <v>0</v>
      </c>
      <c r="BT26" s="6">
        <f t="shared" si="38"/>
        <v>0</v>
      </c>
      <c r="BU26" s="6">
        <v>0</v>
      </c>
      <c r="BV26" s="6">
        <f t="shared" si="39"/>
        <v>0</v>
      </c>
      <c r="BW26" s="6">
        <f t="shared" si="40"/>
        <v>0</v>
      </c>
      <c r="BX26" s="6">
        <v>0</v>
      </c>
      <c r="BY26" s="6">
        <f t="shared" si="41"/>
        <v>0</v>
      </c>
      <c r="BZ26" s="6">
        <f t="shared" si="42"/>
        <v>0</v>
      </c>
      <c r="CA26" s="6">
        <v>0</v>
      </c>
      <c r="CB26" s="6">
        <f t="shared" si="43"/>
        <v>0</v>
      </c>
      <c r="CC26" s="6">
        <f t="shared" si="44"/>
        <v>0</v>
      </c>
      <c r="CD26" s="6">
        <v>0</v>
      </c>
      <c r="CE26" s="6">
        <f t="shared" si="45"/>
        <v>0</v>
      </c>
      <c r="CF26" s="6">
        <f t="shared" si="46"/>
        <v>0</v>
      </c>
      <c r="CG26" s="6">
        <v>0</v>
      </c>
      <c r="CH26" s="6">
        <f t="shared" si="47"/>
        <v>0</v>
      </c>
      <c r="CI26" s="6">
        <f t="shared" si="48"/>
        <v>0</v>
      </c>
      <c r="CJ26" s="6">
        <v>0</v>
      </c>
      <c r="CK26" s="6">
        <f t="shared" si="49"/>
        <v>0</v>
      </c>
      <c r="CL26" s="6">
        <f t="shared" si="50"/>
        <v>0</v>
      </c>
      <c r="CM26" s="6">
        <v>0</v>
      </c>
      <c r="CN26" s="6">
        <f t="shared" si="51"/>
        <v>0</v>
      </c>
      <c r="CO26" s="6">
        <f t="shared" si="52"/>
        <v>0</v>
      </c>
      <c r="CP26" s="6">
        <v>0</v>
      </c>
      <c r="CQ26" s="6">
        <f t="shared" si="53"/>
        <v>0</v>
      </c>
      <c r="CR26" s="6">
        <f t="shared" si="54"/>
        <v>0</v>
      </c>
      <c r="CS26" s="6">
        <v>0</v>
      </c>
      <c r="CT26" s="6">
        <f t="shared" si="55"/>
        <v>0</v>
      </c>
      <c r="CU26" s="6">
        <f t="shared" si="56"/>
        <v>0</v>
      </c>
      <c r="CV26" s="6">
        <v>0</v>
      </c>
      <c r="CW26" s="6">
        <f t="shared" si="57"/>
        <v>0</v>
      </c>
      <c r="CX26" s="6">
        <f t="shared" si="58"/>
        <v>0</v>
      </c>
      <c r="CY26" s="6">
        <v>0</v>
      </c>
      <c r="CZ26" s="6">
        <f t="shared" si="59"/>
        <v>0</v>
      </c>
      <c r="DA26" s="6">
        <f t="shared" si="60"/>
        <v>0</v>
      </c>
      <c r="DB26" s="6">
        <v>0</v>
      </c>
      <c r="DC26" s="6">
        <f t="shared" si="61"/>
        <v>0</v>
      </c>
      <c r="DD26" s="6">
        <f t="shared" si="62"/>
        <v>0</v>
      </c>
      <c r="DE26" s="6">
        <v>0</v>
      </c>
      <c r="DF26" s="6">
        <f t="shared" si="63"/>
        <v>0</v>
      </c>
      <c r="DG26" s="6">
        <f t="shared" si="64"/>
        <v>0</v>
      </c>
      <c r="DH26" s="6">
        <v>0</v>
      </c>
      <c r="DI26" s="6">
        <f t="shared" si="65"/>
        <v>0</v>
      </c>
      <c r="DJ26" s="6">
        <f t="shared" si="66"/>
        <v>0</v>
      </c>
      <c r="DK26" s="6">
        <v>0</v>
      </c>
      <c r="DL26" s="6">
        <f t="shared" si="67"/>
        <v>0</v>
      </c>
      <c r="DM26" s="6">
        <f t="shared" si="68"/>
        <v>0</v>
      </c>
      <c r="DN26" s="6">
        <v>0</v>
      </c>
      <c r="DO26" s="6">
        <f t="shared" si="69"/>
        <v>0</v>
      </c>
      <c r="DP26" s="6">
        <f t="shared" si="70"/>
        <v>0</v>
      </c>
    </row>
    <row r="27" spans="1:120" x14ac:dyDescent="0.2">
      <c r="A27" s="21">
        <v>85</v>
      </c>
      <c r="B27" s="21" t="s">
        <v>612</v>
      </c>
      <c r="C27" s="21">
        <v>85440</v>
      </c>
      <c r="D27" s="21" t="s">
        <v>692</v>
      </c>
      <c r="E27" s="21" t="s">
        <v>638</v>
      </c>
      <c r="F27" s="22" t="s">
        <v>669</v>
      </c>
      <c r="G27" s="4" t="s">
        <v>139</v>
      </c>
      <c r="H27" s="6">
        <v>2971655.04</v>
      </c>
      <c r="I27" s="6">
        <f t="shared" si="0"/>
        <v>8141.5206575342463</v>
      </c>
      <c r="J27" s="6">
        <v>2952640.3695</v>
      </c>
      <c r="K27" s="6">
        <v>3030078.12</v>
      </c>
      <c r="L27" s="6">
        <f t="shared" si="1"/>
        <v>8278.9019672131144</v>
      </c>
      <c r="M27" s="6">
        <v>2141992.1883</v>
      </c>
      <c r="N27" s="6">
        <v>1832609.99</v>
      </c>
      <c r="O27" s="6">
        <f t="shared" ref="O27:O57" si="73">N27/365</f>
        <v>5020.8492876712326</v>
      </c>
      <c r="P27" s="6">
        <v>1647836.5571000001</v>
      </c>
      <c r="Q27" s="6">
        <v>670857.89</v>
      </c>
      <c r="R27" s="6">
        <f t="shared" ref="R27:R41" si="74">Q27/181</f>
        <v>3706.397182320442</v>
      </c>
      <c r="S27" s="6">
        <v>1317139.4482</v>
      </c>
      <c r="T27" s="6">
        <f t="shared" si="3"/>
        <v>1317139.4482</v>
      </c>
      <c r="U27" s="6">
        <f t="shared" si="4"/>
        <v>3608.6012279452052</v>
      </c>
      <c r="V27" s="6">
        <v>1066438.7120000001</v>
      </c>
      <c r="W27" s="6">
        <f t="shared" si="5"/>
        <v>1066438.7120000001</v>
      </c>
      <c r="X27" s="6">
        <f t="shared" si="6"/>
        <v>2921.7498958904112</v>
      </c>
      <c r="Y27" s="6">
        <v>848856.35690000001</v>
      </c>
      <c r="Z27" s="6">
        <f t="shared" si="7"/>
        <v>848856.35690000001</v>
      </c>
      <c r="AA27" s="6">
        <f t="shared" si="8"/>
        <v>2325.6338545205481</v>
      </c>
      <c r="AB27" s="6">
        <v>672778.31640000001</v>
      </c>
      <c r="AC27" s="6">
        <f t="shared" si="9"/>
        <v>672778.31640000001</v>
      </c>
      <c r="AD27" s="6">
        <f t="shared" si="10"/>
        <v>1843.228264109589</v>
      </c>
      <c r="AE27" s="6">
        <v>537262.83019999997</v>
      </c>
      <c r="AF27" s="6">
        <f t="shared" si="11"/>
        <v>537262.83019999997</v>
      </c>
      <c r="AG27" s="6">
        <f t="shared" si="12"/>
        <v>1471.9529594520548</v>
      </c>
      <c r="AH27" s="6">
        <v>445808.99249999999</v>
      </c>
      <c r="AI27" s="6">
        <f t="shared" si="13"/>
        <v>445808.99249999999</v>
      </c>
      <c r="AJ27" s="6">
        <f t="shared" si="14"/>
        <v>1221.3944999999999</v>
      </c>
      <c r="AK27" s="6">
        <v>363984.76640000002</v>
      </c>
      <c r="AL27" s="6">
        <f t="shared" si="15"/>
        <v>363984.76640000002</v>
      </c>
      <c r="AM27" s="6">
        <f t="shared" si="16"/>
        <v>997.2185380821918</v>
      </c>
      <c r="AN27" s="6">
        <v>276829.6176</v>
      </c>
      <c r="AO27" s="6">
        <f t="shared" si="17"/>
        <v>276829.6176</v>
      </c>
      <c r="AP27" s="6">
        <f t="shared" si="18"/>
        <v>758.43730849315068</v>
      </c>
      <c r="AQ27" s="6">
        <v>202408.87729999999</v>
      </c>
      <c r="AR27" s="6">
        <f t="shared" si="19"/>
        <v>202408.87729999999</v>
      </c>
      <c r="AS27" s="6">
        <f t="shared" si="20"/>
        <v>554.54486931506847</v>
      </c>
      <c r="AT27" s="6">
        <v>138560.11610000001</v>
      </c>
      <c r="AU27" s="6">
        <f t="shared" si="21"/>
        <v>138560.11610000001</v>
      </c>
      <c r="AV27" s="6">
        <f t="shared" si="22"/>
        <v>379.61675643835622</v>
      </c>
      <c r="AW27" s="6">
        <v>102873.6992</v>
      </c>
      <c r="AX27" s="6">
        <f t="shared" si="23"/>
        <v>102873.6992</v>
      </c>
      <c r="AY27" s="6">
        <f t="shared" si="24"/>
        <v>281.84575123287669</v>
      </c>
      <c r="AZ27" s="6">
        <v>81099.082999999999</v>
      </c>
      <c r="BA27" s="6">
        <f t="shared" si="25"/>
        <v>81099.082999999999</v>
      </c>
      <c r="BB27" s="6">
        <f t="shared" si="26"/>
        <v>222.18926849315068</v>
      </c>
      <c r="BC27" s="6">
        <v>0</v>
      </c>
      <c r="BD27" s="6">
        <f t="shared" si="27"/>
        <v>0</v>
      </c>
      <c r="BE27" s="6">
        <f t="shared" si="28"/>
        <v>0</v>
      </c>
      <c r="BF27" s="6">
        <v>0</v>
      </c>
      <c r="BG27" s="6">
        <f t="shared" si="29"/>
        <v>0</v>
      </c>
      <c r="BH27" s="6">
        <f t="shared" si="30"/>
        <v>0</v>
      </c>
      <c r="BI27" s="6">
        <v>0</v>
      </c>
      <c r="BJ27" s="6">
        <f t="shared" si="31"/>
        <v>0</v>
      </c>
      <c r="BK27" s="6">
        <f t="shared" si="32"/>
        <v>0</v>
      </c>
      <c r="BL27" s="6">
        <v>0</v>
      </c>
      <c r="BM27" s="6">
        <f t="shared" si="33"/>
        <v>0</v>
      </c>
      <c r="BN27" s="6">
        <f t="shared" si="34"/>
        <v>0</v>
      </c>
      <c r="BO27" s="6">
        <v>0</v>
      </c>
      <c r="BP27" s="6">
        <f t="shared" si="35"/>
        <v>0</v>
      </c>
      <c r="BQ27" s="6">
        <f t="shared" si="36"/>
        <v>0</v>
      </c>
      <c r="BR27" s="6">
        <v>0</v>
      </c>
      <c r="BS27" s="6">
        <f t="shared" si="37"/>
        <v>0</v>
      </c>
      <c r="BT27" s="6">
        <f t="shared" si="38"/>
        <v>0</v>
      </c>
      <c r="BU27" s="6">
        <v>0</v>
      </c>
      <c r="BV27" s="6">
        <f t="shared" si="39"/>
        <v>0</v>
      </c>
      <c r="BW27" s="6">
        <f t="shared" si="40"/>
        <v>0</v>
      </c>
      <c r="BX27" s="6">
        <v>0</v>
      </c>
      <c r="BY27" s="6">
        <f t="shared" si="41"/>
        <v>0</v>
      </c>
      <c r="BZ27" s="6">
        <f t="shared" si="42"/>
        <v>0</v>
      </c>
      <c r="CA27" s="6">
        <v>0</v>
      </c>
      <c r="CB27" s="6">
        <f t="shared" si="43"/>
        <v>0</v>
      </c>
      <c r="CC27" s="6">
        <f t="shared" si="44"/>
        <v>0</v>
      </c>
      <c r="CD27" s="6">
        <v>0</v>
      </c>
      <c r="CE27" s="6">
        <f t="shared" si="45"/>
        <v>0</v>
      </c>
      <c r="CF27" s="6">
        <f t="shared" si="46"/>
        <v>0</v>
      </c>
      <c r="CG27" s="6">
        <v>0</v>
      </c>
      <c r="CH27" s="6">
        <f t="shared" si="47"/>
        <v>0</v>
      </c>
      <c r="CI27" s="6">
        <f t="shared" si="48"/>
        <v>0</v>
      </c>
      <c r="CJ27" s="6">
        <v>0</v>
      </c>
      <c r="CK27" s="6">
        <f t="shared" si="49"/>
        <v>0</v>
      </c>
      <c r="CL27" s="6">
        <f t="shared" si="50"/>
        <v>0</v>
      </c>
      <c r="CM27" s="6">
        <v>0</v>
      </c>
      <c r="CN27" s="6">
        <f t="shared" si="51"/>
        <v>0</v>
      </c>
      <c r="CO27" s="6">
        <f t="shared" si="52"/>
        <v>0</v>
      </c>
      <c r="CP27" s="6">
        <v>0</v>
      </c>
      <c r="CQ27" s="6">
        <f t="shared" si="53"/>
        <v>0</v>
      </c>
      <c r="CR27" s="6">
        <f t="shared" si="54"/>
        <v>0</v>
      </c>
      <c r="CS27" s="6">
        <v>0</v>
      </c>
      <c r="CT27" s="6">
        <f t="shared" si="55"/>
        <v>0</v>
      </c>
      <c r="CU27" s="6">
        <f t="shared" si="56"/>
        <v>0</v>
      </c>
      <c r="CV27" s="6">
        <v>0</v>
      </c>
      <c r="CW27" s="6">
        <f t="shared" si="57"/>
        <v>0</v>
      </c>
      <c r="CX27" s="6">
        <f t="shared" si="58"/>
        <v>0</v>
      </c>
      <c r="CY27" s="6">
        <v>0</v>
      </c>
      <c r="CZ27" s="6">
        <f t="shared" si="59"/>
        <v>0</v>
      </c>
      <c r="DA27" s="6">
        <f t="shared" si="60"/>
        <v>0</v>
      </c>
      <c r="DB27" s="6">
        <v>0</v>
      </c>
      <c r="DC27" s="6">
        <f t="shared" si="61"/>
        <v>0</v>
      </c>
      <c r="DD27" s="6">
        <f t="shared" si="62"/>
        <v>0</v>
      </c>
      <c r="DE27" s="6">
        <v>0</v>
      </c>
      <c r="DF27" s="6">
        <f t="shared" si="63"/>
        <v>0</v>
      </c>
      <c r="DG27" s="6">
        <f t="shared" si="64"/>
        <v>0</v>
      </c>
      <c r="DH27" s="6">
        <v>0</v>
      </c>
      <c r="DI27" s="6">
        <f t="shared" si="65"/>
        <v>0</v>
      </c>
      <c r="DJ27" s="6">
        <f t="shared" si="66"/>
        <v>0</v>
      </c>
      <c r="DK27" s="6">
        <v>0</v>
      </c>
      <c r="DL27" s="6">
        <f t="shared" si="67"/>
        <v>0</v>
      </c>
      <c r="DM27" s="6">
        <f t="shared" si="68"/>
        <v>0</v>
      </c>
      <c r="DN27" s="6">
        <v>0</v>
      </c>
      <c r="DO27" s="6">
        <f t="shared" si="69"/>
        <v>0</v>
      </c>
      <c r="DP27" s="6">
        <f t="shared" si="70"/>
        <v>0</v>
      </c>
    </row>
    <row r="28" spans="1:120" x14ac:dyDescent="0.2">
      <c r="A28" s="21">
        <v>41</v>
      </c>
      <c r="B28" s="21" t="s">
        <v>687</v>
      </c>
      <c r="C28" s="21">
        <v>41016</v>
      </c>
      <c r="D28" s="21" t="s">
        <v>688</v>
      </c>
      <c r="E28" s="21" t="s">
        <v>522</v>
      </c>
      <c r="F28" s="22" t="s">
        <v>666</v>
      </c>
      <c r="G28" s="4" t="s">
        <v>140</v>
      </c>
      <c r="H28" s="6">
        <v>207694.84</v>
      </c>
      <c r="I28" s="6">
        <f t="shared" si="0"/>
        <v>569.02695890410962</v>
      </c>
      <c r="J28" s="6">
        <v>201517</v>
      </c>
      <c r="K28" s="6">
        <v>197653.41</v>
      </c>
      <c r="L28" s="6">
        <f t="shared" si="1"/>
        <v>540.03663934426231</v>
      </c>
      <c r="M28" s="6">
        <v>193946</v>
      </c>
      <c r="N28" s="6">
        <v>181421.12</v>
      </c>
      <c r="O28" s="6">
        <f t="shared" si="73"/>
        <v>497.04416438356162</v>
      </c>
      <c r="P28" s="6">
        <v>178517</v>
      </c>
      <c r="Q28" s="6">
        <v>91099.44</v>
      </c>
      <c r="R28" s="6">
        <f t="shared" si="74"/>
        <v>503.31182320441991</v>
      </c>
      <c r="S28" s="6">
        <v>164373</v>
      </c>
      <c r="T28" s="6">
        <f t="shared" si="3"/>
        <v>164373</v>
      </c>
      <c r="U28" s="6">
        <f t="shared" si="4"/>
        <v>450.33698630136985</v>
      </c>
      <c r="V28" s="6">
        <v>151815</v>
      </c>
      <c r="W28" s="6">
        <f t="shared" si="5"/>
        <v>151815</v>
      </c>
      <c r="X28" s="6">
        <f t="shared" si="6"/>
        <v>415.93150684931504</v>
      </c>
      <c r="Y28" s="6">
        <v>139502</v>
      </c>
      <c r="Z28" s="6">
        <f t="shared" si="7"/>
        <v>139502</v>
      </c>
      <c r="AA28" s="6">
        <f t="shared" si="8"/>
        <v>382.19726027397257</v>
      </c>
      <c r="AB28" s="6">
        <v>128601</v>
      </c>
      <c r="AC28" s="6">
        <f t="shared" si="9"/>
        <v>128601</v>
      </c>
      <c r="AD28" s="6">
        <f t="shared" si="10"/>
        <v>352.33150684931508</v>
      </c>
      <c r="AE28" s="6">
        <v>118589</v>
      </c>
      <c r="AF28" s="6">
        <f t="shared" si="11"/>
        <v>118589</v>
      </c>
      <c r="AG28" s="6">
        <f t="shared" si="12"/>
        <v>324.90136986301371</v>
      </c>
      <c r="AH28" s="6">
        <v>103114</v>
      </c>
      <c r="AI28" s="6">
        <f t="shared" si="13"/>
        <v>103114</v>
      </c>
      <c r="AJ28" s="6">
        <f t="shared" si="14"/>
        <v>282.50410958904109</v>
      </c>
      <c r="AK28" s="6">
        <v>87202</v>
      </c>
      <c r="AL28" s="6">
        <f t="shared" si="15"/>
        <v>87202</v>
      </c>
      <c r="AM28" s="6">
        <f t="shared" si="16"/>
        <v>238.9095890410959</v>
      </c>
      <c r="AN28" s="6">
        <v>80796</v>
      </c>
      <c r="AO28" s="6">
        <f t="shared" si="17"/>
        <v>80796</v>
      </c>
      <c r="AP28" s="6">
        <f t="shared" si="18"/>
        <v>221.35890410958905</v>
      </c>
      <c r="AQ28" s="6">
        <v>74880</v>
      </c>
      <c r="AR28" s="6">
        <f t="shared" si="19"/>
        <v>74880</v>
      </c>
      <c r="AS28" s="6">
        <f t="shared" si="20"/>
        <v>205.15068493150685</v>
      </c>
      <c r="AT28" s="6">
        <v>68697</v>
      </c>
      <c r="AU28" s="6">
        <f t="shared" si="21"/>
        <v>68697</v>
      </c>
      <c r="AV28" s="6">
        <f t="shared" si="22"/>
        <v>188.21095890410959</v>
      </c>
      <c r="AW28" s="6">
        <v>63120</v>
      </c>
      <c r="AX28" s="6">
        <f t="shared" si="23"/>
        <v>63120</v>
      </c>
      <c r="AY28" s="6">
        <f t="shared" si="24"/>
        <v>172.93150684931507</v>
      </c>
      <c r="AZ28" s="6">
        <v>58622</v>
      </c>
      <c r="BA28" s="6">
        <f t="shared" si="25"/>
        <v>58622</v>
      </c>
      <c r="BB28" s="6">
        <f t="shared" si="26"/>
        <v>160.60821917808218</v>
      </c>
      <c r="BC28" s="6">
        <v>54443</v>
      </c>
      <c r="BD28" s="6">
        <f t="shared" si="27"/>
        <v>54443</v>
      </c>
      <c r="BE28" s="6">
        <f t="shared" si="28"/>
        <v>149.15890410958903</v>
      </c>
      <c r="BF28" s="6">
        <v>0</v>
      </c>
      <c r="BG28" s="6">
        <f t="shared" si="29"/>
        <v>0</v>
      </c>
      <c r="BH28" s="6">
        <f t="shared" si="30"/>
        <v>0</v>
      </c>
      <c r="BI28" s="6">
        <v>0</v>
      </c>
      <c r="BJ28" s="6">
        <f t="shared" si="31"/>
        <v>0</v>
      </c>
      <c r="BK28" s="6">
        <f t="shared" si="32"/>
        <v>0</v>
      </c>
      <c r="BL28" s="6">
        <v>0</v>
      </c>
      <c r="BM28" s="6">
        <f t="shared" si="33"/>
        <v>0</v>
      </c>
      <c r="BN28" s="6">
        <f t="shared" si="34"/>
        <v>0</v>
      </c>
      <c r="BO28" s="6">
        <v>0</v>
      </c>
      <c r="BP28" s="6">
        <f t="shared" si="35"/>
        <v>0</v>
      </c>
      <c r="BQ28" s="6">
        <f t="shared" si="36"/>
        <v>0</v>
      </c>
      <c r="BR28" s="6">
        <v>0</v>
      </c>
      <c r="BS28" s="6">
        <f t="shared" si="37"/>
        <v>0</v>
      </c>
      <c r="BT28" s="6">
        <f t="shared" si="38"/>
        <v>0</v>
      </c>
      <c r="BU28" s="6">
        <v>0</v>
      </c>
      <c r="BV28" s="6">
        <f t="shared" si="39"/>
        <v>0</v>
      </c>
      <c r="BW28" s="6">
        <f t="shared" si="40"/>
        <v>0</v>
      </c>
      <c r="BX28" s="6">
        <v>0</v>
      </c>
      <c r="BY28" s="6">
        <f t="shared" si="41"/>
        <v>0</v>
      </c>
      <c r="BZ28" s="6">
        <f t="shared" si="42"/>
        <v>0</v>
      </c>
      <c r="CA28" s="6">
        <v>0</v>
      </c>
      <c r="CB28" s="6">
        <f t="shared" si="43"/>
        <v>0</v>
      </c>
      <c r="CC28" s="6">
        <f t="shared" si="44"/>
        <v>0</v>
      </c>
      <c r="CD28" s="6">
        <v>0</v>
      </c>
      <c r="CE28" s="6">
        <f t="shared" si="45"/>
        <v>0</v>
      </c>
      <c r="CF28" s="6">
        <f t="shared" si="46"/>
        <v>0</v>
      </c>
      <c r="CG28" s="6">
        <v>0</v>
      </c>
      <c r="CH28" s="6">
        <f t="shared" si="47"/>
        <v>0</v>
      </c>
      <c r="CI28" s="6">
        <f t="shared" si="48"/>
        <v>0</v>
      </c>
      <c r="CJ28" s="6">
        <v>0</v>
      </c>
      <c r="CK28" s="6">
        <f t="shared" si="49"/>
        <v>0</v>
      </c>
      <c r="CL28" s="6">
        <f t="shared" si="50"/>
        <v>0</v>
      </c>
      <c r="CM28" s="6">
        <v>0</v>
      </c>
      <c r="CN28" s="6">
        <f t="shared" si="51"/>
        <v>0</v>
      </c>
      <c r="CO28" s="6">
        <f t="shared" si="52"/>
        <v>0</v>
      </c>
      <c r="CP28" s="6">
        <v>0</v>
      </c>
      <c r="CQ28" s="6">
        <f t="shared" si="53"/>
        <v>0</v>
      </c>
      <c r="CR28" s="6">
        <f t="shared" si="54"/>
        <v>0</v>
      </c>
      <c r="CS28" s="6">
        <v>0</v>
      </c>
      <c r="CT28" s="6">
        <f t="shared" si="55"/>
        <v>0</v>
      </c>
      <c r="CU28" s="6">
        <f t="shared" si="56"/>
        <v>0</v>
      </c>
      <c r="CV28" s="6">
        <v>0</v>
      </c>
      <c r="CW28" s="6">
        <f t="shared" si="57"/>
        <v>0</v>
      </c>
      <c r="CX28" s="6">
        <f t="shared" si="58"/>
        <v>0</v>
      </c>
      <c r="CY28" s="6">
        <v>0</v>
      </c>
      <c r="CZ28" s="6">
        <f t="shared" si="59"/>
        <v>0</v>
      </c>
      <c r="DA28" s="6">
        <f t="shared" si="60"/>
        <v>0</v>
      </c>
      <c r="DB28" s="6">
        <v>0</v>
      </c>
      <c r="DC28" s="6">
        <f t="shared" si="61"/>
        <v>0</v>
      </c>
      <c r="DD28" s="6">
        <f t="shared" si="62"/>
        <v>0</v>
      </c>
      <c r="DE28" s="6">
        <v>0</v>
      </c>
      <c r="DF28" s="6">
        <f t="shared" si="63"/>
        <v>0</v>
      </c>
      <c r="DG28" s="6">
        <f t="shared" si="64"/>
        <v>0</v>
      </c>
      <c r="DH28" s="6">
        <v>0</v>
      </c>
      <c r="DI28" s="6">
        <f t="shared" si="65"/>
        <v>0</v>
      </c>
      <c r="DJ28" s="6">
        <f t="shared" si="66"/>
        <v>0</v>
      </c>
      <c r="DK28" s="6">
        <v>0</v>
      </c>
      <c r="DL28" s="6">
        <f t="shared" si="67"/>
        <v>0</v>
      </c>
      <c r="DM28" s="6">
        <f t="shared" si="68"/>
        <v>0</v>
      </c>
      <c r="DN28" s="6">
        <v>0</v>
      </c>
      <c r="DO28" s="6">
        <f t="shared" si="69"/>
        <v>0</v>
      </c>
      <c r="DP28" s="6">
        <f t="shared" si="70"/>
        <v>0</v>
      </c>
    </row>
    <row r="29" spans="1:120" x14ac:dyDescent="0.2">
      <c r="A29" s="21">
        <v>85</v>
      </c>
      <c r="B29" s="21" t="s">
        <v>612</v>
      </c>
      <c r="C29" s="21">
        <v>85325</v>
      </c>
      <c r="D29" s="21" t="s">
        <v>670</v>
      </c>
      <c r="E29" s="21" t="s">
        <v>611</v>
      </c>
      <c r="F29" s="22" t="s">
        <v>662</v>
      </c>
      <c r="G29" s="4" t="s">
        <v>141</v>
      </c>
      <c r="H29" s="6">
        <v>74247.520000000004</v>
      </c>
      <c r="I29" s="6">
        <f t="shared" si="0"/>
        <v>203.41786301369865</v>
      </c>
      <c r="J29" s="6">
        <v>67927.991800000003</v>
      </c>
      <c r="K29" s="6">
        <v>71801.14</v>
      </c>
      <c r="L29" s="6">
        <f t="shared" si="1"/>
        <v>196.17797814207651</v>
      </c>
      <c r="M29" s="6">
        <v>62833.392399999997</v>
      </c>
      <c r="N29" s="6">
        <v>30487.74</v>
      </c>
      <c r="O29" s="6">
        <f t="shared" si="73"/>
        <v>83.528054794520557</v>
      </c>
      <c r="P29" s="6">
        <v>58120.887999999999</v>
      </c>
      <c r="Q29" s="6">
        <v>40661.58</v>
      </c>
      <c r="R29" s="6">
        <f t="shared" si="74"/>
        <v>224.64961325966851</v>
      </c>
      <c r="S29" s="6">
        <v>53761.821400000001</v>
      </c>
      <c r="T29" s="6">
        <f t="shared" si="3"/>
        <v>53761.821400000001</v>
      </c>
      <c r="U29" s="6">
        <f t="shared" si="4"/>
        <v>147.29266136986303</v>
      </c>
      <c r="V29" s="6">
        <v>49729.684800000003</v>
      </c>
      <c r="W29" s="6">
        <f t="shared" si="5"/>
        <v>49729.684800000003</v>
      </c>
      <c r="X29" s="6">
        <f t="shared" si="6"/>
        <v>136.24571178082192</v>
      </c>
      <c r="Y29" s="6">
        <v>19603.365600000001</v>
      </c>
      <c r="Z29" s="6">
        <f t="shared" si="7"/>
        <v>19603.365600000001</v>
      </c>
      <c r="AA29" s="6">
        <f t="shared" si="8"/>
        <v>53.70785095890411</v>
      </c>
      <c r="AB29" s="6">
        <v>0</v>
      </c>
      <c r="AC29" s="6">
        <f t="shared" si="9"/>
        <v>0</v>
      </c>
      <c r="AD29" s="6">
        <f t="shared" si="10"/>
        <v>0</v>
      </c>
      <c r="AE29" s="6">
        <v>0</v>
      </c>
      <c r="AF29" s="6">
        <f t="shared" si="11"/>
        <v>0</v>
      </c>
      <c r="AG29" s="6">
        <f t="shared" si="12"/>
        <v>0</v>
      </c>
      <c r="AH29" s="6">
        <v>0</v>
      </c>
      <c r="AI29" s="6">
        <f t="shared" si="13"/>
        <v>0</v>
      </c>
      <c r="AJ29" s="6">
        <f t="shared" si="14"/>
        <v>0</v>
      </c>
      <c r="AK29" s="6">
        <v>0</v>
      </c>
      <c r="AL29" s="6">
        <f t="shared" si="15"/>
        <v>0</v>
      </c>
      <c r="AM29" s="6">
        <f t="shared" si="16"/>
        <v>0</v>
      </c>
      <c r="AN29" s="6">
        <v>0</v>
      </c>
      <c r="AO29" s="6">
        <f t="shared" si="17"/>
        <v>0</v>
      </c>
      <c r="AP29" s="6">
        <f t="shared" si="18"/>
        <v>0</v>
      </c>
      <c r="AQ29" s="6">
        <v>0</v>
      </c>
      <c r="AR29" s="6">
        <f t="shared" si="19"/>
        <v>0</v>
      </c>
      <c r="AS29" s="6">
        <f t="shared" si="20"/>
        <v>0</v>
      </c>
      <c r="AT29" s="6">
        <v>0</v>
      </c>
      <c r="AU29" s="6">
        <f t="shared" si="21"/>
        <v>0</v>
      </c>
      <c r="AV29" s="6">
        <f t="shared" si="22"/>
        <v>0</v>
      </c>
      <c r="AW29" s="6">
        <v>0</v>
      </c>
      <c r="AX29" s="6">
        <f t="shared" si="23"/>
        <v>0</v>
      </c>
      <c r="AY29" s="6">
        <f t="shared" si="24"/>
        <v>0</v>
      </c>
      <c r="AZ29" s="6">
        <v>0</v>
      </c>
      <c r="BA29" s="6">
        <f t="shared" si="25"/>
        <v>0</v>
      </c>
      <c r="BB29" s="6">
        <f t="shared" si="26"/>
        <v>0</v>
      </c>
      <c r="BC29" s="6">
        <v>0</v>
      </c>
      <c r="BD29" s="6">
        <f t="shared" si="27"/>
        <v>0</v>
      </c>
      <c r="BE29" s="6">
        <f t="shared" si="28"/>
        <v>0</v>
      </c>
      <c r="BF29" s="6">
        <v>0</v>
      </c>
      <c r="BG29" s="6">
        <f t="shared" si="29"/>
        <v>0</v>
      </c>
      <c r="BH29" s="6">
        <f t="shared" si="30"/>
        <v>0</v>
      </c>
      <c r="BI29" s="6">
        <v>0</v>
      </c>
      <c r="BJ29" s="6">
        <f t="shared" si="31"/>
        <v>0</v>
      </c>
      <c r="BK29" s="6">
        <f t="shared" si="32"/>
        <v>0</v>
      </c>
      <c r="BL29" s="6">
        <v>0</v>
      </c>
      <c r="BM29" s="6">
        <f t="shared" si="33"/>
        <v>0</v>
      </c>
      <c r="BN29" s="6">
        <f t="shared" si="34"/>
        <v>0</v>
      </c>
      <c r="BO29" s="6">
        <v>0</v>
      </c>
      <c r="BP29" s="6">
        <f t="shared" si="35"/>
        <v>0</v>
      </c>
      <c r="BQ29" s="6">
        <f t="shared" si="36"/>
        <v>0</v>
      </c>
      <c r="BR29" s="6">
        <v>0</v>
      </c>
      <c r="BS29" s="6">
        <f t="shared" si="37"/>
        <v>0</v>
      </c>
      <c r="BT29" s="6">
        <f t="shared" si="38"/>
        <v>0</v>
      </c>
      <c r="BU29" s="6">
        <v>0</v>
      </c>
      <c r="BV29" s="6">
        <f t="shared" si="39"/>
        <v>0</v>
      </c>
      <c r="BW29" s="6">
        <f t="shared" si="40"/>
        <v>0</v>
      </c>
      <c r="BX29" s="6">
        <v>0</v>
      </c>
      <c r="BY29" s="6">
        <f t="shared" si="41"/>
        <v>0</v>
      </c>
      <c r="BZ29" s="6">
        <f t="shared" si="42"/>
        <v>0</v>
      </c>
      <c r="CA29" s="6">
        <v>0</v>
      </c>
      <c r="CB29" s="6">
        <f t="shared" si="43"/>
        <v>0</v>
      </c>
      <c r="CC29" s="6">
        <f t="shared" si="44"/>
        <v>0</v>
      </c>
      <c r="CD29" s="6">
        <v>0</v>
      </c>
      <c r="CE29" s="6">
        <f t="shared" si="45"/>
        <v>0</v>
      </c>
      <c r="CF29" s="6">
        <f t="shared" si="46"/>
        <v>0</v>
      </c>
      <c r="CG29" s="6">
        <v>0</v>
      </c>
      <c r="CH29" s="6">
        <f t="shared" si="47"/>
        <v>0</v>
      </c>
      <c r="CI29" s="6">
        <f t="shared" si="48"/>
        <v>0</v>
      </c>
      <c r="CJ29" s="6">
        <v>0</v>
      </c>
      <c r="CK29" s="6">
        <f t="shared" si="49"/>
        <v>0</v>
      </c>
      <c r="CL29" s="6">
        <f t="shared" si="50"/>
        <v>0</v>
      </c>
      <c r="CM29" s="6">
        <v>0</v>
      </c>
      <c r="CN29" s="6">
        <f t="shared" si="51"/>
        <v>0</v>
      </c>
      <c r="CO29" s="6">
        <f t="shared" si="52"/>
        <v>0</v>
      </c>
      <c r="CP29" s="6">
        <v>0</v>
      </c>
      <c r="CQ29" s="6">
        <f t="shared" si="53"/>
        <v>0</v>
      </c>
      <c r="CR29" s="6">
        <f t="shared" si="54"/>
        <v>0</v>
      </c>
      <c r="CS29" s="6">
        <v>0</v>
      </c>
      <c r="CT29" s="6">
        <f t="shared" si="55"/>
        <v>0</v>
      </c>
      <c r="CU29" s="6">
        <f t="shared" si="56"/>
        <v>0</v>
      </c>
      <c r="CV29" s="6">
        <v>0</v>
      </c>
      <c r="CW29" s="6">
        <f t="shared" si="57"/>
        <v>0</v>
      </c>
      <c r="CX29" s="6">
        <f t="shared" si="58"/>
        <v>0</v>
      </c>
      <c r="CY29" s="6">
        <v>0</v>
      </c>
      <c r="CZ29" s="6">
        <f t="shared" si="59"/>
        <v>0</v>
      </c>
      <c r="DA29" s="6">
        <f t="shared" si="60"/>
        <v>0</v>
      </c>
      <c r="DB29" s="6">
        <v>0</v>
      </c>
      <c r="DC29" s="6">
        <f t="shared" si="61"/>
        <v>0</v>
      </c>
      <c r="DD29" s="6">
        <f t="shared" si="62"/>
        <v>0</v>
      </c>
      <c r="DE29" s="6">
        <v>0</v>
      </c>
      <c r="DF29" s="6">
        <f t="shared" si="63"/>
        <v>0</v>
      </c>
      <c r="DG29" s="6">
        <f t="shared" si="64"/>
        <v>0</v>
      </c>
      <c r="DH29" s="6">
        <v>0</v>
      </c>
      <c r="DI29" s="6">
        <f t="shared" si="65"/>
        <v>0</v>
      </c>
      <c r="DJ29" s="6">
        <f t="shared" si="66"/>
        <v>0</v>
      </c>
      <c r="DK29" s="6">
        <v>0</v>
      </c>
      <c r="DL29" s="6">
        <f t="shared" si="67"/>
        <v>0</v>
      </c>
      <c r="DM29" s="6">
        <f t="shared" si="68"/>
        <v>0</v>
      </c>
      <c r="DN29" s="6">
        <v>0</v>
      </c>
      <c r="DO29" s="6">
        <f t="shared" si="69"/>
        <v>0</v>
      </c>
      <c r="DP29" s="6">
        <f t="shared" si="70"/>
        <v>0</v>
      </c>
    </row>
    <row r="30" spans="1:120" x14ac:dyDescent="0.2">
      <c r="A30" s="21">
        <v>85</v>
      </c>
      <c r="B30" s="21" t="s">
        <v>612</v>
      </c>
      <c r="C30" s="21">
        <v>85230</v>
      </c>
      <c r="D30" s="21" t="s">
        <v>614</v>
      </c>
      <c r="E30" s="21" t="s">
        <v>542</v>
      </c>
      <c r="F30" s="22" t="s">
        <v>693</v>
      </c>
      <c r="G30" s="4" t="s">
        <v>142</v>
      </c>
      <c r="H30" s="6">
        <v>102259.1</v>
      </c>
      <c r="I30" s="6">
        <f t="shared" si="0"/>
        <v>280.16191780821919</v>
      </c>
      <c r="J30" s="6">
        <v>70369</v>
      </c>
      <c r="K30" s="6">
        <v>74099.22</v>
      </c>
      <c r="L30" s="6">
        <f t="shared" si="1"/>
        <v>202.45688524590165</v>
      </c>
      <c r="M30" s="6">
        <v>50330</v>
      </c>
      <c r="N30" s="6">
        <v>46399.14</v>
      </c>
      <c r="O30" s="6">
        <f t="shared" si="73"/>
        <v>127.12093150684932</v>
      </c>
      <c r="P30" s="6">
        <v>36153</v>
      </c>
      <c r="Q30" s="6">
        <v>28459.42</v>
      </c>
      <c r="R30" s="6">
        <f t="shared" si="74"/>
        <v>157.23436464088397</v>
      </c>
      <c r="S30" s="6">
        <v>25786</v>
      </c>
      <c r="T30" s="6">
        <f t="shared" si="3"/>
        <v>25786</v>
      </c>
      <c r="U30" s="6">
        <f t="shared" si="4"/>
        <v>70.646575342465752</v>
      </c>
      <c r="V30" s="6">
        <v>0</v>
      </c>
      <c r="W30" s="6">
        <f t="shared" si="5"/>
        <v>0</v>
      </c>
      <c r="X30" s="6">
        <f t="shared" si="6"/>
        <v>0</v>
      </c>
      <c r="Y30" s="6">
        <v>0</v>
      </c>
      <c r="Z30" s="6">
        <f t="shared" si="7"/>
        <v>0</v>
      </c>
      <c r="AA30" s="6">
        <f t="shared" si="8"/>
        <v>0</v>
      </c>
      <c r="AB30" s="6">
        <v>0</v>
      </c>
      <c r="AC30" s="6">
        <f t="shared" si="9"/>
        <v>0</v>
      </c>
      <c r="AD30" s="6">
        <f t="shared" si="10"/>
        <v>0</v>
      </c>
      <c r="AE30" s="6">
        <v>0</v>
      </c>
      <c r="AF30" s="6">
        <f t="shared" si="11"/>
        <v>0</v>
      </c>
      <c r="AG30" s="6">
        <f t="shared" si="12"/>
        <v>0</v>
      </c>
      <c r="AH30" s="6">
        <v>0</v>
      </c>
      <c r="AI30" s="6">
        <f t="shared" si="13"/>
        <v>0</v>
      </c>
      <c r="AJ30" s="6">
        <f t="shared" si="14"/>
        <v>0</v>
      </c>
      <c r="AK30" s="6">
        <v>0</v>
      </c>
      <c r="AL30" s="6">
        <f t="shared" si="15"/>
        <v>0</v>
      </c>
      <c r="AM30" s="6">
        <f t="shared" si="16"/>
        <v>0</v>
      </c>
      <c r="AN30" s="6">
        <v>0</v>
      </c>
      <c r="AO30" s="6">
        <f t="shared" si="17"/>
        <v>0</v>
      </c>
      <c r="AP30" s="6">
        <f t="shared" si="18"/>
        <v>0</v>
      </c>
      <c r="AQ30" s="6">
        <v>0</v>
      </c>
      <c r="AR30" s="6">
        <f t="shared" si="19"/>
        <v>0</v>
      </c>
      <c r="AS30" s="6">
        <f t="shared" si="20"/>
        <v>0</v>
      </c>
      <c r="AT30" s="6">
        <v>0</v>
      </c>
      <c r="AU30" s="6">
        <f t="shared" si="21"/>
        <v>0</v>
      </c>
      <c r="AV30" s="6">
        <f t="shared" si="22"/>
        <v>0</v>
      </c>
      <c r="AW30" s="6">
        <v>0</v>
      </c>
      <c r="AX30" s="6">
        <f t="shared" si="23"/>
        <v>0</v>
      </c>
      <c r="AY30" s="6">
        <f t="shared" si="24"/>
        <v>0</v>
      </c>
      <c r="AZ30" s="6">
        <v>0</v>
      </c>
      <c r="BA30" s="6">
        <f t="shared" si="25"/>
        <v>0</v>
      </c>
      <c r="BB30" s="6">
        <f t="shared" si="26"/>
        <v>0</v>
      </c>
      <c r="BC30" s="6">
        <v>0</v>
      </c>
      <c r="BD30" s="6">
        <f t="shared" si="27"/>
        <v>0</v>
      </c>
      <c r="BE30" s="6">
        <f t="shared" si="28"/>
        <v>0</v>
      </c>
      <c r="BF30" s="6">
        <v>0</v>
      </c>
      <c r="BG30" s="6">
        <f t="shared" si="29"/>
        <v>0</v>
      </c>
      <c r="BH30" s="6">
        <f t="shared" si="30"/>
        <v>0</v>
      </c>
      <c r="BI30" s="6">
        <v>0</v>
      </c>
      <c r="BJ30" s="6">
        <f t="shared" si="31"/>
        <v>0</v>
      </c>
      <c r="BK30" s="6">
        <f t="shared" si="32"/>
        <v>0</v>
      </c>
      <c r="BL30" s="6">
        <v>0</v>
      </c>
      <c r="BM30" s="6">
        <f t="shared" si="33"/>
        <v>0</v>
      </c>
      <c r="BN30" s="6">
        <f t="shared" si="34"/>
        <v>0</v>
      </c>
      <c r="BO30" s="6">
        <v>0</v>
      </c>
      <c r="BP30" s="6">
        <f t="shared" si="35"/>
        <v>0</v>
      </c>
      <c r="BQ30" s="6">
        <f t="shared" si="36"/>
        <v>0</v>
      </c>
      <c r="BR30" s="6">
        <v>0</v>
      </c>
      <c r="BS30" s="6">
        <f t="shared" si="37"/>
        <v>0</v>
      </c>
      <c r="BT30" s="6">
        <f t="shared" si="38"/>
        <v>0</v>
      </c>
      <c r="BU30" s="6">
        <v>0</v>
      </c>
      <c r="BV30" s="6">
        <f t="shared" si="39"/>
        <v>0</v>
      </c>
      <c r="BW30" s="6">
        <f t="shared" si="40"/>
        <v>0</v>
      </c>
      <c r="BX30" s="6">
        <v>0</v>
      </c>
      <c r="BY30" s="6">
        <f t="shared" si="41"/>
        <v>0</v>
      </c>
      <c r="BZ30" s="6">
        <f t="shared" si="42"/>
        <v>0</v>
      </c>
      <c r="CA30" s="6">
        <v>0</v>
      </c>
      <c r="CB30" s="6">
        <f t="shared" si="43"/>
        <v>0</v>
      </c>
      <c r="CC30" s="6">
        <f t="shared" si="44"/>
        <v>0</v>
      </c>
      <c r="CD30" s="6">
        <v>0</v>
      </c>
      <c r="CE30" s="6">
        <f t="shared" si="45"/>
        <v>0</v>
      </c>
      <c r="CF30" s="6">
        <f t="shared" si="46"/>
        <v>0</v>
      </c>
      <c r="CG30" s="6">
        <v>0</v>
      </c>
      <c r="CH30" s="6">
        <f t="shared" si="47"/>
        <v>0</v>
      </c>
      <c r="CI30" s="6">
        <f t="shared" si="48"/>
        <v>0</v>
      </c>
      <c r="CJ30" s="6">
        <v>0</v>
      </c>
      <c r="CK30" s="6">
        <f t="shared" si="49"/>
        <v>0</v>
      </c>
      <c r="CL30" s="6">
        <f t="shared" si="50"/>
        <v>0</v>
      </c>
      <c r="CM30" s="6">
        <v>0</v>
      </c>
      <c r="CN30" s="6">
        <f t="shared" si="51"/>
        <v>0</v>
      </c>
      <c r="CO30" s="6">
        <f t="shared" si="52"/>
        <v>0</v>
      </c>
      <c r="CP30" s="6">
        <v>0</v>
      </c>
      <c r="CQ30" s="6">
        <f t="shared" si="53"/>
        <v>0</v>
      </c>
      <c r="CR30" s="6">
        <f t="shared" si="54"/>
        <v>0</v>
      </c>
      <c r="CS30" s="6">
        <v>0</v>
      </c>
      <c r="CT30" s="6">
        <f t="shared" si="55"/>
        <v>0</v>
      </c>
      <c r="CU30" s="6">
        <f t="shared" si="56"/>
        <v>0</v>
      </c>
      <c r="CV30" s="6">
        <v>0</v>
      </c>
      <c r="CW30" s="6">
        <f t="shared" si="57"/>
        <v>0</v>
      </c>
      <c r="CX30" s="6">
        <f t="shared" si="58"/>
        <v>0</v>
      </c>
      <c r="CY30" s="6">
        <v>0</v>
      </c>
      <c r="CZ30" s="6">
        <f t="shared" si="59"/>
        <v>0</v>
      </c>
      <c r="DA30" s="6">
        <f t="shared" si="60"/>
        <v>0</v>
      </c>
      <c r="DB30" s="6">
        <v>0</v>
      </c>
      <c r="DC30" s="6">
        <f t="shared" si="61"/>
        <v>0</v>
      </c>
      <c r="DD30" s="6">
        <f t="shared" si="62"/>
        <v>0</v>
      </c>
      <c r="DE30" s="6">
        <v>0</v>
      </c>
      <c r="DF30" s="6">
        <f t="shared" si="63"/>
        <v>0</v>
      </c>
      <c r="DG30" s="6">
        <f t="shared" si="64"/>
        <v>0</v>
      </c>
      <c r="DH30" s="6">
        <v>0</v>
      </c>
      <c r="DI30" s="6">
        <f t="shared" si="65"/>
        <v>0</v>
      </c>
      <c r="DJ30" s="6">
        <f t="shared" si="66"/>
        <v>0</v>
      </c>
      <c r="DK30" s="6">
        <v>0</v>
      </c>
      <c r="DL30" s="6">
        <f t="shared" si="67"/>
        <v>0</v>
      </c>
      <c r="DM30" s="6">
        <f t="shared" si="68"/>
        <v>0</v>
      </c>
      <c r="DN30" s="6">
        <v>0</v>
      </c>
      <c r="DO30" s="6">
        <f t="shared" si="69"/>
        <v>0</v>
      </c>
      <c r="DP30" s="6">
        <f t="shared" si="70"/>
        <v>0</v>
      </c>
    </row>
    <row r="31" spans="1:120" x14ac:dyDescent="0.2">
      <c r="A31" s="21">
        <v>81</v>
      </c>
      <c r="B31" s="21" t="s">
        <v>132</v>
      </c>
      <c r="C31" s="21">
        <v>81065</v>
      </c>
      <c r="D31" s="21" t="s">
        <v>682</v>
      </c>
      <c r="E31" s="21" t="s">
        <v>683</v>
      </c>
      <c r="F31" s="22" t="s">
        <v>662</v>
      </c>
      <c r="G31" s="4" t="s">
        <v>143</v>
      </c>
      <c r="H31" s="6">
        <v>25787.17</v>
      </c>
      <c r="I31" s="6">
        <f t="shared" si="0"/>
        <v>70.649780821917801</v>
      </c>
      <c r="J31" s="6">
        <v>27325.918600000001</v>
      </c>
      <c r="K31" s="6">
        <v>188573.39</v>
      </c>
      <c r="L31" s="6">
        <f t="shared" si="1"/>
        <v>515.22784153005466</v>
      </c>
      <c r="M31" s="6">
        <v>29932.003700000001</v>
      </c>
      <c r="N31" s="6">
        <v>61984.1</v>
      </c>
      <c r="O31" s="6">
        <f t="shared" si="73"/>
        <v>169.81945205479451</v>
      </c>
      <c r="P31" s="6">
        <v>19752</v>
      </c>
      <c r="Q31" s="6">
        <v>42798.49</v>
      </c>
      <c r="R31" s="6">
        <f t="shared" si="74"/>
        <v>236.45574585635359</v>
      </c>
      <c r="S31" s="6">
        <v>13038</v>
      </c>
      <c r="T31" s="6">
        <f t="shared" si="3"/>
        <v>13038</v>
      </c>
      <c r="U31" s="6">
        <f t="shared" si="4"/>
        <v>35.720547945205482</v>
      </c>
      <c r="V31" s="6">
        <v>0</v>
      </c>
      <c r="W31" s="6">
        <f t="shared" si="5"/>
        <v>0</v>
      </c>
      <c r="X31" s="6">
        <f t="shared" si="6"/>
        <v>0</v>
      </c>
      <c r="Y31" s="6">
        <v>0</v>
      </c>
      <c r="Z31" s="6">
        <f t="shared" si="7"/>
        <v>0</v>
      </c>
      <c r="AA31" s="6">
        <f t="shared" si="8"/>
        <v>0</v>
      </c>
      <c r="AB31" s="6">
        <v>0</v>
      </c>
      <c r="AC31" s="6">
        <f t="shared" si="9"/>
        <v>0</v>
      </c>
      <c r="AD31" s="6">
        <f t="shared" si="10"/>
        <v>0</v>
      </c>
      <c r="AE31" s="6">
        <v>0</v>
      </c>
      <c r="AF31" s="6">
        <f t="shared" si="11"/>
        <v>0</v>
      </c>
      <c r="AG31" s="6">
        <f t="shared" si="12"/>
        <v>0</v>
      </c>
      <c r="AH31" s="6">
        <v>0</v>
      </c>
      <c r="AI31" s="6">
        <f t="shared" si="13"/>
        <v>0</v>
      </c>
      <c r="AJ31" s="6">
        <f t="shared" si="14"/>
        <v>0</v>
      </c>
      <c r="AK31" s="6">
        <v>0</v>
      </c>
      <c r="AL31" s="6">
        <f t="shared" si="15"/>
        <v>0</v>
      </c>
      <c r="AM31" s="6">
        <f t="shared" si="16"/>
        <v>0</v>
      </c>
      <c r="AN31" s="6">
        <v>0</v>
      </c>
      <c r="AO31" s="6">
        <f t="shared" si="17"/>
        <v>0</v>
      </c>
      <c r="AP31" s="6">
        <f t="shared" si="18"/>
        <v>0</v>
      </c>
      <c r="AQ31" s="6">
        <v>0</v>
      </c>
      <c r="AR31" s="6">
        <f t="shared" si="19"/>
        <v>0</v>
      </c>
      <c r="AS31" s="6">
        <f t="shared" si="20"/>
        <v>0</v>
      </c>
      <c r="AT31" s="6">
        <v>0</v>
      </c>
      <c r="AU31" s="6">
        <f t="shared" si="21"/>
        <v>0</v>
      </c>
      <c r="AV31" s="6">
        <f t="shared" si="22"/>
        <v>0</v>
      </c>
      <c r="AW31" s="6">
        <v>0</v>
      </c>
      <c r="AX31" s="6">
        <f t="shared" si="23"/>
        <v>0</v>
      </c>
      <c r="AY31" s="6">
        <f t="shared" si="24"/>
        <v>0</v>
      </c>
      <c r="AZ31" s="6">
        <v>0</v>
      </c>
      <c r="BA31" s="6">
        <f t="shared" si="25"/>
        <v>0</v>
      </c>
      <c r="BB31" s="6">
        <f t="shared" si="26"/>
        <v>0</v>
      </c>
      <c r="BC31" s="6">
        <v>0</v>
      </c>
      <c r="BD31" s="6">
        <f t="shared" si="27"/>
        <v>0</v>
      </c>
      <c r="BE31" s="6">
        <f t="shared" si="28"/>
        <v>0</v>
      </c>
      <c r="BF31" s="6">
        <v>0</v>
      </c>
      <c r="BG31" s="6">
        <f t="shared" si="29"/>
        <v>0</v>
      </c>
      <c r="BH31" s="6">
        <f t="shared" si="30"/>
        <v>0</v>
      </c>
      <c r="BI31" s="6">
        <v>0</v>
      </c>
      <c r="BJ31" s="6">
        <f t="shared" si="31"/>
        <v>0</v>
      </c>
      <c r="BK31" s="6">
        <f t="shared" si="32"/>
        <v>0</v>
      </c>
      <c r="BL31" s="6">
        <v>0</v>
      </c>
      <c r="BM31" s="6">
        <f t="shared" si="33"/>
        <v>0</v>
      </c>
      <c r="BN31" s="6">
        <f t="shared" si="34"/>
        <v>0</v>
      </c>
      <c r="BO31" s="6">
        <v>0</v>
      </c>
      <c r="BP31" s="6">
        <f t="shared" si="35"/>
        <v>0</v>
      </c>
      <c r="BQ31" s="6">
        <f t="shared" si="36"/>
        <v>0</v>
      </c>
      <c r="BR31" s="6">
        <v>0</v>
      </c>
      <c r="BS31" s="6">
        <f t="shared" si="37"/>
        <v>0</v>
      </c>
      <c r="BT31" s="6">
        <f t="shared" si="38"/>
        <v>0</v>
      </c>
      <c r="BU31" s="6">
        <v>0</v>
      </c>
      <c r="BV31" s="6">
        <f t="shared" si="39"/>
        <v>0</v>
      </c>
      <c r="BW31" s="6">
        <f t="shared" si="40"/>
        <v>0</v>
      </c>
      <c r="BX31" s="6">
        <v>0</v>
      </c>
      <c r="BY31" s="6">
        <f t="shared" si="41"/>
        <v>0</v>
      </c>
      <c r="BZ31" s="6">
        <f t="shared" si="42"/>
        <v>0</v>
      </c>
      <c r="CA31" s="6">
        <v>0</v>
      </c>
      <c r="CB31" s="6">
        <f t="shared" si="43"/>
        <v>0</v>
      </c>
      <c r="CC31" s="6">
        <f t="shared" si="44"/>
        <v>0</v>
      </c>
      <c r="CD31" s="6">
        <v>0</v>
      </c>
      <c r="CE31" s="6">
        <f t="shared" si="45"/>
        <v>0</v>
      </c>
      <c r="CF31" s="6">
        <f t="shared" si="46"/>
        <v>0</v>
      </c>
      <c r="CG31" s="6">
        <v>0</v>
      </c>
      <c r="CH31" s="6">
        <f t="shared" si="47"/>
        <v>0</v>
      </c>
      <c r="CI31" s="6">
        <f t="shared" si="48"/>
        <v>0</v>
      </c>
      <c r="CJ31" s="6">
        <v>0</v>
      </c>
      <c r="CK31" s="6">
        <f t="shared" si="49"/>
        <v>0</v>
      </c>
      <c r="CL31" s="6">
        <f t="shared" si="50"/>
        <v>0</v>
      </c>
      <c r="CM31" s="6">
        <v>0</v>
      </c>
      <c r="CN31" s="6">
        <f t="shared" si="51"/>
        <v>0</v>
      </c>
      <c r="CO31" s="6">
        <f t="shared" si="52"/>
        <v>0</v>
      </c>
      <c r="CP31" s="6">
        <v>0</v>
      </c>
      <c r="CQ31" s="6">
        <f t="shared" si="53"/>
        <v>0</v>
      </c>
      <c r="CR31" s="6">
        <f t="shared" si="54"/>
        <v>0</v>
      </c>
      <c r="CS31" s="6">
        <v>0</v>
      </c>
      <c r="CT31" s="6">
        <f t="shared" si="55"/>
        <v>0</v>
      </c>
      <c r="CU31" s="6">
        <f t="shared" si="56"/>
        <v>0</v>
      </c>
      <c r="CV31" s="6">
        <v>0</v>
      </c>
      <c r="CW31" s="6">
        <f t="shared" si="57"/>
        <v>0</v>
      </c>
      <c r="CX31" s="6">
        <f t="shared" si="58"/>
        <v>0</v>
      </c>
      <c r="CY31" s="6">
        <v>0</v>
      </c>
      <c r="CZ31" s="6">
        <f t="shared" si="59"/>
        <v>0</v>
      </c>
      <c r="DA31" s="6">
        <f t="shared" si="60"/>
        <v>0</v>
      </c>
      <c r="DB31" s="6">
        <v>0</v>
      </c>
      <c r="DC31" s="6">
        <f t="shared" si="61"/>
        <v>0</v>
      </c>
      <c r="DD31" s="6">
        <f t="shared" si="62"/>
        <v>0</v>
      </c>
      <c r="DE31" s="6">
        <v>0</v>
      </c>
      <c r="DF31" s="6">
        <f t="shared" si="63"/>
        <v>0</v>
      </c>
      <c r="DG31" s="6">
        <f t="shared" si="64"/>
        <v>0</v>
      </c>
      <c r="DH31" s="6">
        <v>0</v>
      </c>
      <c r="DI31" s="6">
        <f t="shared" si="65"/>
        <v>0</v>
      </c>
      <c r="DJ31" s="6">
        <f t="shared" si="66"/>
        <v>0</v>
      </c>
      <c r="DK31" s="6">
        <v>0</v>
      </c>
      <c r="DL31" s="6">
        <f t="shared" si="67"/>
        <v>0</v>
      </c>
      <c r="DM31" s="6">
        <f t="shared" si="68"/>
        <v>0</v>
      </c>
      <c r="DN31" s="6">
        <v>0</v>
      </c>
      <c r="DO31" s="6">
        <f t="shared" si="69"/>
        <v>0</v>
      </c>
      <c r="DP31" s="6">
        <f t="shared" si="70"/>
        <v>0</v>
      </c>
    </row>
    <row r="32" spans="1:120" x14ac:dyDescent="0.2">
      <c r="A32" s="21">
        <v>85</v>
      </c>
      <c r="B32" s="21" t="s">
        <v>612</v>
      </c>
      <c r="C32" s="21">
        <v>85250</v>
      </c>
      <c r="D32" s="21" t="s">
        <v>663</v>
      </c>
      <c r="E32" s="21" t="s">
        <v>671</v>
      </c>
      <c r="F32" s="22" t="s">
        <v>669</v>
      </c>
      <c r="G32" s="4" t="s">
        <v>144</v>
      </c>
      <c r="H32" s="6">
        <v>522211.66</v>
      </c>
      <c r="I32" s="6">
        <f t="shared" si="0"/>
        <v>1430.7168767123287</v>
      </c>
      <c r="J32" s="6">
        <v>261612.7188</v>
      </c>
      <c r="K32" s="6">
        <v>193125.24</v>
      </c>
      <c r="L32" s="6">
        <f t="shared" si="1"/>
        <v>527.66459016393435</v>
      </c>
      <c r="M32" s="6">
        <v>174294.96049999999</v>
      </c>
      <c r="N32" s="6">
        <v>111016.38</v>
      </c>
      <c r="O32" s="6">
        <f t="shared" si="73"/>
        <v>304.15446575342469</v>
      </c>
      <c r="P32" s="6">
        <v>128616.7586</v>
      </c>
      <c r="Q32" s="6">
        <v>42843.41</v>
      </c>
      <c r="R32" s="6">
        <f t="shared" si="74"/>
        <v>236.70392265193371</v>
      </c>
      <c r="S32" s="6">
        <v>101023.4014</v>
      </c>
      <c r="T32" s="6">
        <f t="shared" si="3"/>
        <v>101023.4014</v>
      </c>
      <c r="U32" s="6">
        <f t="shared" si="4"/>
        <v>276.7764421917808</v>
      </c>
      <c r="V32" s="6">
        <v>57805.871599999999</v>
      </c>
      <c r="W32" s="6">
        <f t="shared" si="5"/>
        <v>57805.871599999999</v>
      </c>
      <c r="X32" s="6">
        <f t="shared" si="6"/>
        <v>158.37225095890412</v>
      </c>
      <c r="Y32" s="6">
        <v>44485.658000000003</v>
      </c>
      <c r="Z32" s="6">
        <f t="shared" si="7"/>
        <v>44485.658000000003</v>
      </c>
      <c r="AA32" s="6">
        <f t="shared" si="8"/>
        <v>121.87851506849316</v>
      </c>
      <c r="AB32" s="6">
        <v>40550.859600000003</v>
      </c>
      <c r="AC32" s="6">
        <f t="shared" si="9"/>
        <v>40550.859600000003</v>
      </c>
      <c r="AD32" s="6">
        <f t="shared" si="10"/>
        <v>111.09824547945206</v>
      </c>
      <c r="AE32" s="6">
        <v>21935.313699999999</v>
      </c>
      <c r="AF32" s="6">
        <f t="shared" si="11"/>
        <v>21935.313699999999</v>
      </c>
      <c r="AG32" s="6">
        <f t="shared" si="12"/>
        <v>60.096749863013699</v>
      </c>
      <c r="AH32" s="6">
        <v>0</v>
      </c>
      <c r="AI32" s="6">
        <f t="shared" si="13"/>
        <v>0</v>
      </c>
      <c r="AJ32" s="6">
        <f t="shared" si="14"/>
        <v>0</v>
      </c>
      <c r="AK32" s="6">
        <v>0</v>
      </c>
      <c r="AL32" s="6">
        <f t="shared" si="15"/>
        <v>0</v>
      </c>
      <c r="AM32" s="6">
        <f t="shared" si="16"/>
        <v>0</v>
      </c>
      <c r="AN32" s="6">
        <v>0</v>
      </c>
      <c r="AO32" s="6">
        <f t="shared" si="17"/>
        <v>0</v>
      </c>
      <c r="AP32" s="6">
        <f t="shared" si="18"/>
        <v>0</v>
      </c>
      <c r="AQ32" s="6">
        <v>0</v>
      </c>
      <c r="AR32" s="6">
        <f t="shared" si="19"/>
        <v>0</v>
      </c>
      <c r="AS32" s="6">
        <f t="shared" si="20"/>
        <v>0</v>
      </c>
      <c r="AT32" s="6">
        <v>0</v>
      </c>
      <c r="AU32" s="6">
        <f t="shared" si="21"/>
        <v>0</v>
      </c>
      <c r="AV32" s="6">
        <f t="shared" si="22"/>
        <v>0</v>
      </c>
      <c r="AW32" s="6">
        <v>0</v>
      </c>
      <c r="AX32" s="6">
        <f t="shared" si="23"/>
        <v>0</v>
      </c>
      <c r="AY32" s="6">
        <f t="shared" si="24"/>
        <v>0</v>
      </c>
      <c r="AZ32" s="6">
        <v>0</v>
      </c>
      <c r="BA32" s="6">
        <f t="shared" si="25"/>
        <v>0</v>
      </c>
      <c r="BB32" s="6">
        <f t="shared" si="26"/>
        <v>0</v>
      </c>
      <c r="BC32" s="6">
        <v>0</v>
      </c>
      <c r="BD32" s="6">
        <f t="shared" si="27"/>
        <v>0</v>
      </c>
      <c r="BE32" s="6">
        <f t="shared" si="28"/>
        <v>0</v>
      </c>
      <c r="BF32" s="6">
        <v>0</v>
      </c>
      <c r="BG32" s="6">
        <f t="shared" si="29"/>
        <v>0</v>
      </c>
      <c r="BH32" s="6">
        <f t="shared" si="30"/>
        <v>0</v>
      </c>
      <c r="BI32" s="6">
        <v>0</v>
      </c>
      <c r="BJ32" s="6">
        <f t="shared" si="31"/>
        <v>0</v>
      </c>
      <c r="BK32" s="6">
        <f t="shared" si="32"/>
        <v>0</v>
      </c>
      <c r="BL32" s="6">
        <v>0</v>
      </c>
      <c r="BM32" s="6">
        <f t="shared" si="33"/>
        <v>0</v>
      </c>
      <c r="BN32" s="6">
        <f t="shared" si="34"/>
        <v>0</v>
      </c>
      <c r="BO32" s="6">
        <v>0</v>
      </c>
      <c r="BP32" s="6">
        <f t="shared" si="35"/>
        <v>0</v>
      </c>
      <c r="BQ32" s="6">
        <f t="shared" si="36"/>
        <v>0</v>
      </c>
      <c r="BR32" s="6">
        <v>0</v>
      </c>
      <c r="BS32" s="6">
        <f t="shared" si="37"/>
        <v>0</v>
      </c>
      <c r="BT32" s="6">
        <f t="shared" si="38"/>
        <v>0</v>
      </c>
      <c r="BU32" s="6">
        <v>0</v>
      </c>
      <c r="BV32" s="6">
        <f t="shared" si="39"/>
        <v>0</v>
      </c>
      <c r="BW32" s="6">
        <f t="shared" si="40"/>
        <v>0</v>
      </c>
      <c r="BX32" s="6">
        <v>0</v>
      </c>
      <c r="BY32" s="6">
        <f t="shared" si="41"/>
        <v>0</v>
      </c>
      <c r="BZ32" s="6">
        <f t="shared" si="42"/>
        <v>0</v>
      </c>
      <c r="CA32" s="6">
        <v>0</v>
      </c>
      <c r="CB32" s="6">
        <f t="shared" si="43"/>
        <v>0</v>
      </c>
      <c r="CC32" s="6">
        <f t="shared" si="44"/>
        <v>0</v>
      </c>
      <c r="CD32" s="6">
        <v>0</v>
      </c>
      <c r="CE32" s="6">
        <f t="shared" si="45"/>
        <v>0</v>
      </c>
      <c r="CF32" s="6">
        <f t="shared" si="46"/>
        <v>0</v>
      </c>
      <c r="CG32" s="6">
        <v>0</v>
      </c>
      <c r="CH32" s="6">
        <f t="shared" si="47"/>
        <v>0</v>
      </c>
      <c r="CI32" s="6">
        <f t="shared" si="48"/>
        <v>0</v>
      </c>
      <c r="CJ32" s="6">
        <v>0</v>
      </c>
      <c r="CK32" s="6">
        <f t="shared" si="49"/>
        <v>0</v>
      </c>
      <c r="CL32" s="6">
        <f t="shared" si="50"/>
        <v>0</v>
      </c>
      <c r="CM32" s="6">
        <v>0</v>
      </c>
      <c r="CN32" s="6">
        <f t="shared" si="51"/>
        <v>0</v>
      </c>
      <c r="CO32" s="6">
        <f t="shared" si="52"/>
        <v>0</v>
      </c>
      <c r="CP32" s="6">
        <v>0</v>
      </c>
      <c r="CQ32" s="6">
        <f t="shared" si="53"/>
        <v>0</v>
      </c>
      <c r="CR32" s="6">
        <f t="shared" si="54"/>
        <v>0</v>
      </c>
      <c r="CS32" s="6">
        <v>0</v>
      </c>
      <c r="CT32" s="6">
        <f t="shared" si="55"/>
        <v>0</v>
      </c>
      <c r="CU32" s="6">
        <f t="shared" si="56"/>
        <v>0</v>
      </c>
      <c r="CV32" s="6">
        <v>0</v>
      </c>
      <c r="CW32" s="6">
        <f t="shared" si="57"/>
        <v>0</v>
      </c>
      <c r="CX32" s="6">
        <f t="shared" si="58"/>
        <v>0</v>
      </c>
      <c r="CY32" s="6">
        <v>0</v>
      </c>
      <c r="CZ32" s="6">
        <f t="shared" si="59"/>
        <v>0</v>
      </c>
      <c r="DA32" s="6">
        <f t="shared" si="60"/>
        <v>0</v>
      </c>
      <c r="DB32" s="6">
        <v>0</v>
      </c>
      <c r="DC32" s="6">
        <f t="shared" si="61"/>
        <v>0</v>
      </c>
      <c r="DD32" s="6">
        <f t="shared" si="62"/>
        <v>0</v>
      </c>
      <c r="DE32" s="6">
        <v>0</v>
      </c>
      <c r="DF32" s="6">
        <f t="shared" si="63"/>
        <v>0</v>
      </c>
      <c r="DG32" s="6">
        <f t="shared" si="64"/>
        <v>0</v>
      </c>
      <c r="DH32" s="6">
        <v>0</v>
      </c>
      <c r="DI32" s="6">
        <f t="shared" si="65"/>
        <v>0</v>
      </c>
      <c r="DJ32" s="6">
        <f t="shared" si="66"/>
        <v>0</v>
      </c>
      <c r="DK32" s="6">
        <v>0</v>
      </c>
      <c r="DL32" s="6">
        <f t="shared" si="67"/>
        <v>0</v>
      </c>
      <c r="DM32" s="6">
        <f t="shared" si="68"/>
        <v>0</v>
      </c>
      <c r="DN32" s="6">
        <v>0</v>
      </c>
      <c r="DO32" s="6">
        <f t="shared" si="69"/>
        <v>0</v>
      </c>
      <c r="DP32" s="6">
        <f t="shared" si="70"/>
        <v>0</v>
      </c>
    </row>
    <row r="33" spans="1:120" x14ac:dyDescent="0.2">
      <c r="A33" s="21">
        <v>15</v>
      </c>
      <c r="B33" s="21" t="s">
        <v>660</v>
      </c>
      <c r="C33" s="21">
        <v>15820</v>
      </c>
      <c r="D33" s="21" t="s">
        <v>694</v>
      </c>
      <c r="E33" s="21" t="s">
        <v>636</v>
      </c>
      <c r="F33" s="22" t="s">
        <v>693</v>
      </c>
      <c r="G33" s="4" t="s">
        <v>145</v>
      </c>
      <c r="H33" s="6">
        <v>10048.4</v>
      </c>
      <c r="I33" s="6">
        <f t="shared" si="0"/>
        <v>27.52986301369863</v>
      </c>
      <c r="J33" s="6">
        <v>94193</v>
      </c>
      <c r="K33" s="6">
        <v>9374.65</v>
      </c>
      <c r="L33" s="6">
        <f t="shared" si="1"/>
        <v>25.613797814207651</v>
      </c>
      <c r="M33" s="6">
        <v>470328</v>
      </c>
      <c r="N33" s="6">
        <v>8883.5499999999993</v>
      </c>
      <c r="O33" s="6">
        <f t="shared" si="73"/>
        <v>24.338493150684929</v>
      </c>
      <c r="P33" s="6">
        <v>607650</v>
      </c>
      <c r="Q33" s="6">
        <v>4098.3599999999997</v>
      </c>
      <c r="R33" s="6">
        <f t="shared" si="74"/>
        <v>22.642872928176793</v>
      </c>
      <c r="S33" s="6">
        <v>493834</v>
      </c>
      <c r="T33" s="6">
        <f t="shared" si="3"/>
        <v>493834</v>
      </c>
      <c r="U33" s="6">
        <f t="shared" si="4"/>
        <v>1352.9698630136986</v>
      </c>
      <c r="V33" s="6">
        <v>194856</v>
      </c>
      <c r="W33" s="6">
        <f t="shared" si="5"/>
        <v>194856</v>
      </c>
      <c r="X33" s="6">
        <f t="shared" si="6"/>
        <v>533.85205479452054</v>
      </c>
      <c r="Y33" s="6">
        <v>9568</v>
      </c>
      <c r="Z33" s="6">
        <f t="shared" si="7"/>
        <v>9568</v>
      </c>
      <c r="AA33" s="6">
        <f t="shared" si="8"/>
        <v>26.213698630136985</v>
      </c>
      <c r="AB33" s="6">
        <v>4616</v>
      </c>
      <c r="AC33" s="6">
        <f t="shared" si="9"/>
        <v>4616</v>
      </c>
      <c r="AD33" s="6">
        <f t="shared" si="10"/>
        <v>12.646575342465754</v>
      </c>
      <c r="AE33" s="6">
        <v>2127</v>
      </c>
      <c r="AF33" s="6">
        <f t="shared" si="11"/>
        <v>2127</v>
      </c>
      <c r="AG33" s="6">
        <f t="shared" si="12"/>
        <v>5.8273972602739725</v>
      </c>
      <c r="AH33" s="6">
        <v>0</v>
      </c>
      <c r="AI33" s="6">
        <f t="shared" si="13"/>
        <v>0</v>
      </c>
      <c r="AJ33" s="6">
        <f t="shared" si="14"/>
        <v>0</v>
      </c>
      <c r="AK33" s="6">
        <v>0</v>
      </c>
      <c r="AL33" s="6">
        <f t="shared" si="15"/>
        <v>0</v>
      </c>
      <c r="AM33" s="6">
        <f t="shared" si="16"/>
        <v>0</v>
      </c>
      <c r="AN33" s="6">
        <v>0</v>
      </c>
      <c r="AO33" s="6">
        <f t="shared" si="17"/>
        <v>0</v>
      </c>
      <c r="AP33" s="6">
        <f t="shared" si="18"/>
        <v>0</v>
      </c>
      <c r="AQ33" s="6">
        <v>0</v>
      </c>
      <c r="AR33" s="6">
        <f t="shared" si="19"/>
        <v>0</v>
      </c>
      <c r="AS33" s="6">
        <f t="shared" si="20"/>
        <v>0</v>
      </c>
      <c r="AT33" s="6">
        <v>0</v>
      </c>
      <c r="AU33" s="6">
        <f t="shared" si="21"/>
        <v>0</v>
      </c>
      <c r="AV33" s="6">
        <f t="shared" si="22"/>
        <v>0</v>
      </c>
      <c r="AW33" s="6">
        <v>0</v>
      </c>
      <c r="AX33" s="6">
        <f t="shared" si="23"/>
        <v>0</v>
      </c>
      <c r="AY33" s="6">
        <f t="shared" si="24"/>
        <v>0</v>
      </c>
      <c r="AZ33" s="6">
        <v>0</v>
      </c>
      <c r="BA33" s="6">
        <f t="shared" si="25"/>
        <v>0</v>
      </c>
      <c r="BB33" s="6">
        <f t="shared" si="26"/>
        <v>0</v>
      </c>
      <c r="BC33" s="6">
        <v>0</v>
      </c>
      <c r="BD33" s="6">
        <f t="shared" si="27"/>
        <v>0</v>
      </c>
      <c r="BE33" s="6">
        <f t="shared" si="28"/>
        <v>0</v>
      </c>
      <c r="BF33" s="6">
        <v>0</v>
      </c>
      <c r="BG33" s="6">
        <f t="shared" si="29"/>
        <v>0</v>
      </c>
      <c r="BH33" s="6">
        <f t="shared" si="30"/>
        <v>0</v>
      </c>
      <c r="BI33" s="6">
        <v>0</v>
      </c>
      <c r="BJ33" s="6">
        <f t="shared" si="31"/>
        <v>0</v>
      </c>
      <c r="BK33" s="6">
        <f t="shared" si="32"/>
        <v>0</v>
      </c>
      <c r="BL33" s="6">
        <v>0</v>
      </c>
      <c r="BM33" s="6">
        <f t="shared" si="33"/>
        <v>0</v>
      </c>
      <c r="BN33" s="6">
        <f t="shared" si="34"/>
        <v>0</v>
      </c>
      <c r="BO33" s="6">
        <v>0</v>
      </c>
      <c r="BP33" s="6">
        <f t="shared" si="35"/>
        <v>0</v>
      </c>
      <c r="BQ33" s="6">
        <f t="shared" si="36"/>
        <v>0</v>
      </c>
      <c r="BR33" s="6">
        <v>0</v>
      </c>
      <c r="BS33" s="6">
        <f t="shared" si="37"/>
        <v>0</v>
      </c>
      <c r="BT33" s="6">
        <f t="shared" si="38"/>
        <v>0</v>
      </c>
      <c r="BU33" s="6">
        <v>0</v>
      </c>
      <c r="BV33" s="6">
        <f t="shared" si="39"/>
        <v>0</v>
      </c>
      <c r="BW33" s="6">
        <f t="shared" si="40"/>
        <v>0</v>
      </c>
      <c r="BX33" s="6">
        <v>0</v>
      </c>
      <c r="BY33" s="6">
        <f t="shared" si="41"/>
        <v>0</v>
      </c>
      <c r="BZ33" s="6">
        <f t="shared" si="42"/>
        <v>0</v>
      </c>
      <c r="CA33" s="6">
        <v>0</v>
      </c>
      <c r="CB33" s="6">
        <f t="shared" si="43"/>
        <v>0</v>
      </c>
      <c r="CC33" s="6">
        <f t="shared" si="44"/>
        <v>0</v>
      </c>
      <c r="CD33" s="6">
        <v>0</v>
      </c>
      <c r="CE33" s="6">
        <f t="shared" si="45"/>
        <v>0</v>
      </c>
      <c r="CF33" s="6">
        <f t="shared" si="46"/>
        <v>0</v>
      </c>
      <c r="CG33" s="6">
        <v>0</v>
      </c>
      <c r="CH33" s="6">
        <f t="shared" si="47"/>
        <v>0</v>
      </c>
      <c r="CI33" s="6">
        <f t="shared" si="48"/>
        <v>0</v>
      </c>
      <c r="CJ33" s="6">
        <v>0</v>
      </c>
      <c r="CK33" s="6">
        <f t="shared" si="49"/>
        <v>0</v>
      </c>
      <c r="CL33" s="6">
        <f t="shared" si="50"/>
        <v>0</v>
      </c>
      <c r="CM33" s="6">
        <v>0</v>
      </c>
      <c r="CN33" s="6">
        <f t="shared" si="51"/>
        <v>0</v>
      </c>
      <c r="CO33" s="6">
        <f t="shared" si="52"/>
        <v>0</v>
      </c>
      <c r="CP33" s="6">
        <v>0</v>
      </c>
      <c r="CQ33" s="6">
        <f t="shared" si="53"/>
        <v>0</v>
      </c>
      <c r="CR33" s="6">
        <f t="shared" si="54"/>
        <v>0</v>
      </c>
      <c r="CS33" s="6">
        <v>0</v>
      </c>
      <c r="CT33" s="6">
        <f t="shared" si="55"/>
        <v>0</v>
      </c>
      <c r="CU33" s="6">
        <f t="shared" si="56"/>
        <v>0</v>
      </c>
      <c r="CV33" s="6">
        <v>0</v>
      </c>
      <c r="CW33" s="6">
        <f t="shared" si="57"/>
        <v>0</v>
      </c>
      <c r="CX33" s="6">
        <f t="shared" si="58"/>
        <v>0</v>
      </c>
      <c r="CY33" s="6">
        <v>0</v>
      </c>
      <c r="CZ33" s="6">
        <f t="shared" si="59"/>
        <v>0</v>
      </c>
      <c r="DA33" s="6">
        <f t="shared" si="60"/>
        <v>0</v>
      </c>
      <c r="DB33" s="6">
        <v>0</v>
      </c>
      <c r="DC33" s="6">
        <f t="shared" si="61"/>
        <v>0</v>
      </c>
      <c r="DD33" s="6">
        <f t="shared" si="62"/>
        <v>0</v>
      </c>
      <c r="DE33" s="6">
        <v>0</v>
      </c>
      <c r="DF33" s="6">
        <f t="shared" si="63"/>
        <v>0</v>
      </c>
      <c r="DG33" s="6">
        <f t="shared" si="64"/>
        <v>0</v>
      </c>
      <c r="DH33" s="6">
        <v>0</v>
      </c>
      <c r="DI33" s="6">
        <f t="shared" si="65"/>
        <v>0</v>
      </c>
      <c r="DJ33" s="6">
        <f t="shared" si="66"/>
        <v>0</v>
      </c>
      <c r="DK33" s="6">
        <v>0</v>
      </c>
      <c r="DL33" s="6">
        <f t="shared" si="67"/>
        <v>0</v>
      </c>
      <c r="DM33" s="6">
        <f t="shared" si="68"/>
        <v>0</v>
      </c>
      <c r="DN33" s="6">
        <v>0</v>
      </c>
      <c r="DO33" s="6">
        <f t="shared" si="69"/>
        <v>0</v>
      </c>
      <c r="DP33" s="6">
        <f t="shared" si="70"/>
        <v>0</v>
      </c>
    </row>
    <row r="34" spans="1:120" x14ac:dyDescent="0.2">
      <c r="A34" s="21">
        <v>68</v>
      </c>
      <c r="B34" s="21" t="s">
        <v>673</v>
      </c>
      <c r="C34" s="21">
        <v>68615</v>
      </c>
      <c r="D34" s="21" t="s">
        <v>695</v>
      </c>
      <c r="E34" s="21" t="s">
        <v>522</v>
      </c>
      <c r="F34" s="22" t="s">
        <v>666</v>
      </c>
      <c r="G34" s="4" t="s">
        <v>146</v>
      </c>
      <c r="H34" s="6">
        <v>479378.73</v>
      </c>
      <c r="I34" s="6">
        <f t="shared" ref="I34:I65" si="75">H34/365</f>
        <v>1313.3663835616437</v>
      </c>
      <c r="J34" s="6">
        <v>617414</v>
      </c>
      <c r="K34" s="6">
        <v>450732.12</v>
      </c>
      <c r="L34" s="6">
        <f t="shared" si="1"/>
        <v>1231.5085245901639</v>
      </c>
      <c r="M34" s="6">
        <v>571412</v>
      </c>
      <c r="N34" s="6">
        <v>503038.82</v>
      </c>
      <c r="O34" s="6">
        <f t="shared" si="73"/>
        <v>1378.1885479452055</v>
      </c>
      <c r="P34" s="6">
        <v>479933</v>
      </c>
      <c r="Q34" s="6">
        <v>203509.07</v>
      </c>
      <c r="R34" s="6">
        <f t="shared" si="74"/>
        <v>1124.359502762431</v>
      </c>
      <c r="S34" s="6">
        <v>404127</v>
      </c>
      <c r="T34" s="6">
        <f t="shared" si="3"/>
        <v>404127</v>
      </c>
      <c r="U34" s="6">
        <f t="shared" si="4"/>
        <v>1107.1972602739727</v>
      </c>
      <c r="V34" s="6">
        <v>340971</v>
      </c>
      <c r="W34" s="6">
        <f t="shared" si="5"/>
        <v>340971</v>
      </c>
      <c r="X34" s="6">
        <f t="shared" si="6"/>
        <v>934.16712328767119</v>
      </c>
      <c r="Y34" s="6">
        <v>284135</v>
      </c>
      <c r="Z34" s="6">
        <f t="shared" si="7"/>
        <v>284135</v>
      </c>
      <c r="AA34" s="6">
        <f t="shared" si="8"/>
        <v>778.45205479452056</v>
      </c>
      <c r="AB34" s="6">
        <v>238678</v>
      </c>
      <c r="AC34" s="6">
        <f t="shared" si="9"/>
        <v>238678</v>
      </c>
      <c r="AD34" s="6">
        <f t="shared" si="10"/>
        <v>653.91232876712331</v>
      </c>
      <c r="AE34" s="6">
        <v>200343</v>
      </c>
      <c r="AF34" s="6">
        <f t="shared" si="11"/>
        <v>200343</v>
      </c>
      <c r="AG34" s="6">
        <f t="shared" si="12"/>
        <v>548.88493150684928</v>
      </c>
      <c r="AH34" s="6">
        <v>169589</v>
      </c>
      <c r="AI34" s="6">
        <f t="shared" si="13"/>
        <v>169589</v>
      </c>
      <c r="AJ34" s="6">
        <f t="shared" si="14"/>
        <v>464.62739726027399</v>
      </c>
      <c r="AK34" s="6">
        <v>141162</v>
      </c>
      <c r="AL34" s="6">
        <f t="shared" si="15"/>
        <v>141162</v>
      </c>
      <c r="AM34" s="6">
        <f t="shared" si="16"/>
        <v>386.74520547945207</v>
      </c>
      <c r="AN34" s="6">
        <v>0</v>
      </c>
      <c r="AO34" s="6">
        <f t="shared" si="17"/>
        <v>0</v>
      </c>
      <c r="AP34" s="6">
        <f t="shared" si="18"/>
        <v>0</v>
      </c>
      <c r="AQ34" s="6">
        <v>0</v>
      </c>
      <c r="AR34" s="6">
        <f t="shared" si="19"/>
        <v>0</v>
      </c>
      <c r="AS34" s="6">
        <f t="shared" si="20"/>
        <v>0</v>
      </c>
      <c r="AT34" s="6">
        <v>0</v>
      </c>
      <c r="AU34" s="6">
        <f t="shared" si="21"/>
        <v>0</v>
      </c>
      <c r="AV34" s="6">
        <f t="shared" si="22"/>
        <v>0</v>
      </c>
      <c r="AW34" s="6">
        <v>0</v>
      </c>
      <c r="AX34" s="6">
        <f t="shared" si="23"/>
        <v>0</v>
      </c>
      <c r="AY34" s="6">
        <f t="shared" si="24"/>
        <v>0</v>
      </c>
      <c r="AZ34" s="6">
        <v>0</v>
      </c>
      <c r="BA34" s="6">
        <f t="shared" si="25"/>
        <v>0</v>
      </c>
      <c r="BB34" s="6">
        <f t="shared" si="26"/>
        <v>0</v>
      </c>
      <c r="BC34" s="6">
        <v>0</v>
      </c>
      <c r="BD34" s="6">
        <f t="shared" si="27"/>
        <v>0</v>
      </c>
      <c r="BE34" s="6">
        <f t="shared" si="28"/>
        <v>0</v>
      </c>
      <c r="BF34" s="6">
        <v>0</v>
      </c>
      <c r="BG34" s="6">
        <f t="shared" si="29"/>
        <v>0</v>
      </c>
      <c r="BH34" s="6">
        <f t="shared" si="30"/>
        <v>0</v>
      </c>
      <c r="BI34" s="6">
        <v>0</v>
      </c>
      <c r="BJ34" s="6">
        <f t="shared" si="31"/>
        <v>0</v>
      </c>
      <c r="BK34" s="6">
        <f t="shared" si="32"/>
        <v>0</v>
      </c>
      <c r="BL34" s="6">
        <v>0</v>
      </c>
      <c r="BM34" s="6">
        <f t="shared" si="33"/>
        <v>0</v>
      </c>
      <c r="BN34" s="6">
        <f t="shared" si="34"/>
        <v>0</v>
      </c>
      <c r="BO34" s="6">
        <v>0</v>
      </c>
      <c r="BP34" s="6">
        <f t="shared" si="35"/>
        <v>0</v>
      </c>
      <c r="BQ34" s="6">
        <f t="shared" si="36"/>
        <v>0</v>
      </c>
      <c r="BR34" s="6">
        <v>0</v>
      </c>
      <c r="BS34" s="6">
        <f t="shared" si="37"/>
        <v>0</v>
      </c>
      <c r="BT34" s="6">
        <f t="shared" si="38"/>
        <v>0</v>
      </c>
      <c r="BU34" s="6">
        <v>0</v>
      </c>
      <c r="BV34" s="6">
        <f t="shared" si="39"/>
        <v>0</v>
      </c>
      <c r="BW34" s="6">
        <f t="shared" si="40"/>
        <v>0</v>
      </c>
      <c r="BX34" s="6">
        <v>0</v>
      </c>
      <c r="BY34" s="6">
        <f t="shared" si="41"/>
        <v>0</v>
      </c>
      <c r="BZ34" s="6">
        <f t="shared" si="42"/>
        <v>0</v>
      </c>
      <c r="CA34" s="6">
        <v>0</v>
      </c>
      <c r="CB34" s="6">
        <f t="shared" si="43"/>
        <v>0</v>
      </c>
      <c r="CC34" s="6">
        <f t="shared" si="44"/>
        <v>0</v>
      </c>
      <c r="CD34" s="6">
        <v>0</v>
      </c>
      <c r="CE34" s="6">
        <f t="shared" si="45"/>
        <v>0</v>
      </c>
      <c r="CF34" s="6">
        <f t="shared" si="46"/>
        <v>0</v>
      </c>
      <c r="CG34" s="6">
        <v>0</v>
      </c>
      <c r="CH34" s="6">
        <f t="shared" si="47"/>
        <v>0</v>
      </c>
      <c r="CI34" s="6">
        <f t="shared" si="48"/>
        <v>0</v>
      </c>
      <c r="CJ34" s="6">
        <v>0</v>
      </c>
      <c r="CK34" s="6">
        <f t="shared" si="49"/>
        <v>0</v>
      </c>
      <c r="CL34" s="6">
        <f t="shared" si="50"/>
        <v>0</v>
      </c>
      <c r="CM34" s="6">
        <v>0</v>
      </c>
      <c r="CN34" s="6">
        <f t="shared" si="51"/>
        <v>0</v>
      </c>
      <c r="CO34" s="6">
        <f t="shared" si="52"/>
        <v>0</v>
      </c>
      <c r="CP34" s="6">
        <v>0</v>
      </c>
      <c r="CQ34" s="6">
        <f t="shared" si="53"/>
        <v>0</v>
      </c>
      <c r="CR34" s="6">
        <f t="shared" si="54"/>
        <v>0</v>
      </c>
      <c r="CS34" s="6">
        <v>0</v>
      </c>
      <c r="CT34" s="6">
        <f t="shared" si="55"/>
        <v>0</v>
      </c>
      <c r="CU34" s="6">
        <f t="shared" si="56"/>
        <v>0</v>
      </c>
      <c r="CV34" s="6">
        <v>0</v>
      </c>
      <c r="CW34" s="6">
        <f t="shared" si="57"/>
        <v>0</v>
      </c>
      <c r="CX34" s="6">
        <f t="shared" si="58"/>
        <v>0</v>
      </c>
      <c r="CY34" s="6">
        <v>0</v>
      </c>
      <c r="CZ34" s="6">
        <f t="shared" si="59"/>
        <v>0</v>
      </c>
      <c r="DA34" s="6">
        <f t="shared" si="60"/>
        <v>0</v>
      </c>
      <c r="DB34" s="6">
        <v>0</v>
      </c>
      <c r="DC34" s="6">
        <f t="shared" si="61"/>
        <v>0</v>
      </c>
      <c r="DD34" s="6">
        <f t="shared" si="62"/>
        <v>0</v>
      </c>
      <c r="DE34" s="6">
        <v>0</v>
      </c>
      <c r="DF34" s="6">
        <f t="shared" si="63"/>
        <v>0</v>
      </c>
      <c r="DG34" s="6">
        <f t="shared" si="64"/>
        <v>0</v>
      </c>
      <c r="DH34" s="6">
        <v>0</v>
      </c>
      <c r="DI34" s="6">
        <f t="shared" si="65"/>
        <v>0</v>
      </c>
      <c r="DJ34" s="6">
        <f t="shared" si="66"/>
        <v>0</v>
      </c>
      <c r="DK34" s="6">
        <v>0</v>
      </c>
      <c r="DL34" s="6">
        <f t="shared" si="67"/>
        <v>0</v>
      </c>
      <c r="DM34" s="6">
        <f t="shared" si="68"/>
        <v>0</v>
      </c>
      <c r="DN34" s="6">
        <v>0</v>
      </c>
      <c r="DO34" s="6">
        <f t="shared" si="69"/>
        <v>0</v>
      </c>
      <c r="DP34" s="6">
        <f t="shared" si="70"/>
        <v>0</v>
      </c>
    </row>
    <row r="35" spans="1:120" x14ac:dyDescent="0.2">
      <c r="A35" s="21">
        <v>70</v>
      </c>
      <c r="B35" s="21" t="s">
        <v>696</v>
      </c>
      <c r="C35" s="21">
        <v>70508</v>
      </c>
      <c r="D35" s="21" t="s">
        <v>697</v>
      </c>
      <c r="E35" s="21" t="s">
        <v>575</v>
      </c>
      <c r="F35" s="22" t="s">
        <v>669</v>
      </c>
      <c r="G35" s="4" t="s">
        <v>147</v>
      </c>
      <c r="H35" s="6">
        <v>1097.5899999999999</v>
      </c>
      <c r="I35" s="6">
        <f t="shared" si="75"/>
        <v>3.0070958904109588</v>
      </c>
      <c r="J35" s="6">
        <v>1240</v>
      </c>
      <c r="K35" s="6">
        <v>772.32</v>
      </c>
      <c r="L35" s="6">
        <f t="shared" si="1"/>
        <v>2.1101639344262297</v>
      </c>
      <c r="M35" s="6">
        <v>928</v>
      </c>
      <c r="N35" s="6">
        <v>585.99</v>
      </c>
      <c r="O35" s="6">
        <f t="shared" si="73"/>
        <v>1.6054520547945206</v>
      </c>
      <c r="P35" s="6">
        <v>686</v>
      </c>
      <c r="Q35" s="6">
        <v>214.41</v>
      </c>
      <c r="R35" s="6">
        <f t="shared" si="74"/>
        <v>1.184585635359116</v>
      </c>
      <c r="S35" s="6">
        <v>521</v>
      </c>
      <c r="T35" s="6">
        <f t="shared" si="3"/>
        <v>521</v>
      </c>
      <c r="U35" s="6">
        <f t="shared" si="4"/>
        <v>1.4273972602739726</v>
      </c>
      <c r="V35" s="6">
        <v>410</v>
      </c>
      <c r="W35" s="6">
        <f t="shared" si="5"/>
        <v>410</v>
      </c>
      <c r="X35" s="6">
        <f t="shared" si="6"/>
        <v>1.1232876712328768</v>
      </c>
      <c r="Y35" s="6">
        <v>325</v>
      </c>
      <c r="Z35" s="6">
        <f t="shared" si="7"/>
        <v>325</v>
      </c>
      <c r="AA35" s="6">
        <f t="shared" si="8"/>
        <v>0.8904109589041096</v>
      </c>
      <c r="AB35" s="6">
        <v>265</v>
      </c>
      <c r="AC35" s="6">
        <f t="shared" si="9"/>
        <v>265</v>
      </c>
      <c r="AD35" s="6">
        <f t="shared" si="10"/>
        <v>0.72602739726027399</v>
      </c>
      <c r="AE35" s="6">
        <v>218</v>
      </c>
      <c r="AF35" s="6">
        <f t="shared" si="11"/>
        <v>218</v>
      </c>
      <c r="AG35" s="6">
        <f t="shared" si="12"/>
        <v>0.59726027397260273</v>
      </c>
      <c r="AH35" s="6">
        <v>181</v>
      </c>
      <c r="AI35" s="6">
        <f t="shared" si="13"/>
        <v>181</v>
      </c>
      <c r="AJ35" s="6">
        <f t="shared" si="14"/>
        <v>0.49589041095890413</v>
      </c>
      <c r="AK35" s="6">
        <v>0</v>
      </c>
      <c r="AL35" s="6">
        <f t="shared" si="15"/>
        <v>0</v>
      </c>
      <c r="AM35" s="6">
        <f t="shared" si="16"/>
        <v>0</v>
      </c>
      <c r="AN35" s="6">
        <v>0</v>
      </c>
      <c r="AO35" s="6">
        <f t="shared" si="17"/>
        <v>0</v>
      </c>
      <c r="AP35" s="6">
        <f t="shared" si="18"/>
        <v>0</v>
      </c>
      <c r="AQ35" s="6">
        <v>0</v>
      </c>
      <c r="AR35" s="6">
        <f t="shared" si="19"/>
        <v>0</v>
      </c>
      <c r="AS35" s="6">
        <f t="shared" si="20"/>
        <v>0</v>
      </c>
      <c r="AT35" s="6">
        <v>0</v>
      </c>
      <c r="AU35" s="6">
        <f t="shared" si="21"/>
        <v>0</v>
      </c>
      <c r="AV35" s="6">
        <f t="shared" si="22"/>
        <v>0</v>
      </c>
      <c r="AW35" s="6">
        <v>0</v>
      </c>
      <c r="AX35" s="6">
        <f t="shared" si="23"/>
        <v>0</v>
      </c>
      <c r="AY35" s="6">
        <f t="shared" si="24"/>
        <v>0</v>
      </c>
      <c r="AZ35" s="6">
        <v>0</v>
      </c>
      <c r="BA35" s="6">
        <f t="shared" si="25"/>
        <v>0</v>
      </c>
      <c r="BB35" s="6">
        <f t="shared" si="26"/>
        <v>0</v>
      </c>
      <c r="BC35" s="6">
        <v>0</v>
      </c>
      <c r="BD35" s="6">
        <f t="shared" si="27"/>
        <v>0</v>
      </c>
      <c r="BE35" s="6">
        <f t="shared" si="28"/>
        <v>0</v>
      </c>
      <c r="BF35" s="6">
        <v>0</v>
      </c>
      <c r="BG35" s="6">
        <f t="shared" si="29"/>
        <v>0</v>
      </c>
      <c r="BH35" s="6">
        <f t="shared" si="30"/>
        <v>0</v>
      </c>
      <c r="BI35" s="6">
        <v>0</v>
      </c>
      <c r="BJ35" s="6">
        <f t="shared" si="31"/>
        <v>0</v>
      </c>
      <c r="BK35" s="6">
        <f t="shared" si="32"/>
        <v>0</v>
      </c>
      <c r="BL35" s="6">
        <v>0</v>
      </c>
      <c r="BM35" s="6">
        <f t="shared" si="33"/>
        <v>0</v>
      </c>
      <c r="BN35" s="6">
        <f t="shared" si="34"/>
        <v>0</v>
      </c>
      <c r="BO35" s="6">
        <v>0</v>
      </c>
      <c r="BP35" s="6">
        <f t="shared" si="35"/>
        <v>0</v>
      </c>
      <c r="BQ35" s="6">
        <f t="shared" si="36"/>
        <v>0</v>
      </c>
      <c r="BR35" s="6">
        <v>0</v>
      </c>
      <c r="BS35" s="6">
        <f t="shared" si="37"/>
        <v>0</v>
      </c>
      <c r="BT35" s="6">
        <f t="shared" si="38"/>
        <v>0</v>
      </c>
      <c r="BU35" s="6">
        <v>0</v>
      </c>
      <c r="BV35" s="6">
        <f t="shared" si="39"/>
        <v>0</v>
      </c>
      <c r="BW35" s="6">
        <f t="shared" si="40"/>
        <v>0</v>
      </c>
      <c r="BX35" s="6">
        <v>0</v>
      </c>
      <c r="BY35" s="6">
        <f t="shared" si="41"/>
        <v>0</v>
      </c>
      <c r="BZ35" s="6">
        <f t="shared" si="42"/>
        <v>0</v>
      </c>
      <c r="CA35" s="6">
        <v>0</v>
      </c>
      <c r="CB35" s="6">
        <f t="shared" si="43"/>
        <v>0</v>
      </c>
      <c r="CC35" s="6">
        <f t="shared" si="44"/>
        <v>0</v>
      </c>
      <c r="CD35" s="6">
        <v>0</v>
      </c>
      <c r="CE35" s="6">
        <f t="shared" si="45"/>
        <v>0</v>
      </c>
      <c r="CF35" s="6">
        <f t="shared" si="46"/>
        <v>0</v>
      </c>
      <c r="CG35" s="6">
        <v>0</v>
      </c>
      <c r="CH35" s="6">
        <f t="shared" si="47"/>
        <v>0</v>
      </c>
      <c r="CI35" s="6">
        <f t="shared" si="48"/>
        <v>0</v>
      </c>
      <c r="CJ35" s="6">
        <v>0</v>
      </c>
      <c r="CK35" s="6">
        <f t="shared" si="49"/>
        <v>0</v>
      </c>
      <c r="CL35" s="6">
        <f t="shared" si="50"/>
        <v>0</v>
      </c>
      <c r="CM35" s="6">
        <v>0</v>
      </c>
      <c r="CN35" s="6">
        <f t="shared" si="51"/>
        <v>0</v>
      </c>
      <c r="CO35" s="6">
        <f t="shared" si="52"/>
        <v>0</v>
      </c>
      <c r="CP35" s="6">
        <v>0</v>
      </c>
      <c r="CQ35" s="6">
        <f t="shared" si="53"/>
        <v>0</v>
      </c>
      <c r="CR35" s="6">
        <f t="shared" si="54"/>
        <v>0</v>
      </c>
      <c r="CS35" s="6">
        <v>0</v>
      </c>
      <c r="CT35" s="6">
        <f t="shared" si="55"/>
        <v>0</v>
      </c>
      <c r="CU35" s="6">
        <f t="shared" si="56"/>
        <v>0</v>
      </c>
      <c r="CV35" s="6">
        <v>0</v>
      </c>
      <c r="CW35" s="6">
        <f t="shared" si="57"/>
        <v>0</v>
      </c>
      <c r="CX35" s="6">
        <f t="shared" si="58"/>
        <v>0</v>
      </c>
      <c r="CY35" s="6">
        <v>0</v>
      </c>
      <c r="CZ35" s="6">
        <f t="shared" si="59"/>
        <v>0</v>
      </c>
      <c r="DA35" s="6">
        <f t="shared" si="60"/>
        <v>0</v>
      </c>
      <c r="DB35" s="6">
        <v>0</v>
      </c>
      <c r="DC35" s="6">
        <f t="shared" si="61"/>
        <v>0</v>
      </c>
      <c r="DD35" s="6">
        <f t="shared" si="62"/>
        <v>0</v>
      </c>
      <c r="DE35" s="6">
        <v>0</v>
      </c>
      <c r="DF35" s="6">
        <f t="shared" si="63"/>
        <v>0</v>
      </c>
      <c r="DG35" s="6">
        <f t="shared" si="64"/>
        <v>0</v>
      </c>
      <c r="DH35" s="6">
        <v>0</v>
      </c>
      <c r="DI35" s="6">
        <f t="shared" si="65"/>
        <v>0</v>
      </c>
      <c r="DJ35" s="6">
        <f t="shared" si="66"/>
        <v>0</v>
      </c>
      <c r="DK35" s="6">
        <v>0</v>
      </c>
      <c r="DL35" s="6">
        <f t="shared" si="67"/>
        <v>0</v>
      </c>
      <c r="DM35" s="6">
        <f t="shared" si="68"/>
        <v>0</v>
      </c>
      <c r="DN35" s="6">
        <v>0</v>
      </c>
      <c r="DO35" s="6">
        <f t="shared" si="69"/>
        <v>0</v>
      </c>
      <c r="DP35" s="6">
        <f t="shared" si="70"/>
        <v>0</v>
      </c>
    </row>
    <row r="36" spans="1:120" x14ac:dyDescent="0.2">
      <c r="A36" s="21">
        <v>85</v>
      </c>
      <c r="B36" s="21" t="s">
        <v>612</v>
      </c>
      <c r="C36" s="21">
        <v>85001</v>
      </c>
      <c r="D36" s="21" t="s">
        <v>698</v>
      </c>
      <c r="E36" s="21" t="s">
        <v>699</v>
      </c>
      <c r="F36" s="22" t="s">
        <v>693</v>
      </c>
      <c r="G36" s="4" t="s">
        <v>148</v>
      </c>
      <c r="H36" s="6">
        <v>314594.99</v>
      </c>
      <c r="I36" s="6">
        <f t="shared" si="75"/>
        <v>861.90408219178084</v>
      </c>
      <c r="J36" s="6">
        <v>326263.86729999998</v>
      </c>
      <c r="K36" s="6">
        <v>226447.89</v>
      </c>
      <c r="L36" s="6">
        <f t="shared" si="1"/>
        <v>618.71008196721311</v>
      </c>
      <c r="M36" s="6">
        <v>210190.25810000001</v>
      </c>
      <c r="N36" s="6">
        <v>157684.72</v>
      </c>
      <c r="O36" s="6">
        <f t="shared" si="73"/>
        <v>432.01293150684933</v>
      </c>
      <c r="P36" s="6">
        <v>136378</v>
      </c>
      <c r="Q36" s="6">
        <v>44678.67</v>
      </c>
      <c r="R36" s="6">
        <f t="shared" si="74"/>
        <v>246.84348066298341</v>
      </c>
      <c r="S36" s="6">
        <v>88806</v>
      </c>
      <c r="T36" s="6">
        <f t="shared" si="3"/>
        <v>88806</v>
      </c>
      <c r="U36" s="6">
        <f t="shared" si="4"/>
        <v>243.3041095890411</v>
      </c>
      <c r="V36" s="6">
        <v>58158</v>
      </c>
      <c r="W36" s="6">
        <f t="shared" si="5"/>
        <v>58158</v>
      </c>
      <c r="X36" s="6">
        <f t="shared" si="6"/>
        <v>159.33698630136988</v>
      </c>
      <c r="Y36" s="6">
        <v>0</v>
      </c>
      <c r="Z36" s="6">
        <f t="shared" si="7"/>
        <v>0</v>
      </c>
      <c r="AA36" s="6">
        <f t="shared" si="8"/>
        <v>0</v>
      </c>
      <c r="AB36" s="6">
        <v>0</v>
      </c>
      <c r="AC36" s="6">
        <f t="shared" si="9"/>
        <v>0</v>
      </c>
      <c r="AD36" s="6">
        <f t="shared" si="10"/>
        <v>0</v>
      </c>
      <c r="AE36" s="6">
        <v>0</v>
      </c>
      <c r="AF36" s="6">
        <f t="shared" si="11"/>
        <v>0</v>
      </c>
      <c r="AG36" s="6">
        <f t="shared" si="12"/>
        <v>0</v>
      </c>
      <c r="AH36" s="6">
        <v>0</v>
      </c>
      <c r="AI36" s="6">
        <f t="shared" si="13"/>
        <v>0</v>
      </c>
      <c r="AJ36" s="6">
        <f t="shared" si="14"/>
        <v>0</v>
      </c>
      <c r="AK36" s="6">
        <v>0</v>
      </c>
      <c r="AL36" s="6">
        <f t="shared" si="15"/>
        <v>0</v>
      </c>
      <c r="AM36" s="6">
        <f t="shared" si="16"/>
        <v>0</v>
      </c>
      <c r="AN36" s="6">
        <v>0</v>
      </c>
      <c r="AO36" s="6">
        <f t="shared" si="17"/>
        <v>0</v>
      </c>
      <c r="AP36" s="6">
        <f t="shared" si="18"/>
        <v>0</v>
      </c>
      <c r="AQ36" s="6">
        <v>0</v>
      </c>
      <c r="AR36" s="6">
        <f t="shared" si="19"/>
        <v>0</v>
      </c>
      <c r="AS36" s="6">
        <f t="shared" si="20"/>
        <v>0</v>
      </c>
      <c r="AT36" s="6">
        <v>0</v>
      </c>
      <c r="AU36" s="6">
        <f t="shared" si="21"/>
        <v>0</v>
      </c>
      <c r="AV36" s="6">
        <f t="shared" si="22"/>
        <v>0</v>
      </c>
      <c r="AW36" s="6">
        <v>0</v>
      </c>
      <c r="AX36" s="6">
        <f t="shared" si="23"/>
        <v>0</v>
      </c>
      <c r="AY36" s="6">
        <f t="shared" si="24"/>
        <v>0</v>
      </c>
      <c r="AZ36" s="6">
        <v>0</v>
      </c>
      <c r="BA36" s="6">
        <f t="shared" si="25"/>
        <v>0</v>
      </c>
      <c r="BB36" s="6">
        <f t="shared" si="26"/>
        <v>0</v>
      </c>
      <c r="BC36" s="6">
        <v>0</v>
      </c>
      <c r="BD36" s="6">
        <f t="shared" si="27"/>
        <v>0</v>
      </c>
      <c r="BE36" s="6">
        <f t="shared" si="28"/>
        <v>0</v>
      </c>
      <c r="BF36" s="6">
        <v>0</v>
      </c>
      <c r="BG36" s="6">
        <f t="shared" si="29"/>
        <v>0</v>
      </c>
      <c r="BH36" s="6">
        <f t="shared" si="30"/>
        <v>0</v>
      </c>
      <c r="BI36" s="6">
        <v>0</v>
      </c>
      <c r="BJ36" s="6">
        <f t="shared" si="31"/>
        <v>0</v>
      </c>
      <c r="BK36" s="6">
        <f t="shared" si="32"/>
        <v>0</v>
      </c>
      <c r="BL36" s="6">
        <v>0</v>
      </c>
      <c r="BM36" s="6">
        <f t="shared" si="33"/>
        <v>0</v>
      </c>
      <c r="BN36" s="6">
        <f t="shared" si="34"/>
        <v>0</v>
      </c>
      <c r="BO36" s="6">
        <v>0</v>
      </c>
      <c r="BP36" s="6">
        <f t="shared" si="35"/>
        <v>0</v>
      </c>
      <c r="BQ36" s="6">
        <f t="shared" si="36"/>
        <v>0</v>
      </c>
      <c r="BR36" s="6">
        <v>0</v>
      </c>
      <c r="BS36" s="6">
        <f t="shared" si="37"/>
        <v>0</v>
      </c>
      <c r="BT36" s="6">
        <f t="shared" si="38"/>
        <v>0</v>
      </c>
      <c r="BU36" s="6">
        <v>0</v>
      </c>
      <c r="BV36" s="6">
        <f t="shared" si="39"/>
        <v>0</v>
      </c>
      <c r="BW36" s="6">
        <f t="shared" si="40"/>
        <v>0</v>
      </c>
      <c r="BX36" s="6">
        <v>0</v>
      </c>
      <c r="BY36" s="6">
        <f t="shared" si="41"/>
        <v>0</v>
      </c>
      <c r="BZ36" s="6">
        <f t="shared" si="42"/>
        <v>0</v>
      </c>
      <c r="CA36" s="6">
        <v>0</v>
      </c>
      <c r="CB36" s="6">
        <f t="shared" si="43"/>
        <v>0</v>
      </c>
      <c r="CC36" s="6">
        <f t="shared" si="44"/>
        <v>0</v>
      </c>
      <c r="CD36" s="6">
        <v>0</v>
      </c>
      <c r="CE36" s="6">
        <f t="shared" si="45"/>
        <v>0</v>
      </c>
      <c r="CF36" s="6">
        <f t="shared" si="46"/>
        <v>0</v>
      </c>
      <c r="CG36" s="6">
        <v>0</v>
      </c>
      <c r="CH36" s="6">
        <f t="shared" si="47"/>
        <v>0</v>
      </c>
      <c r="CI36" s="6">
        <f t="shared" si="48"/>
        <v>0</v>
      </c>
      <c r="CJ36" s="6">
        <v>0</v>
      </c>
      <c r="CK36" s="6">
        <f t="shared" si="49"/>
        <v>0</v>
      </c>
      <c r="CL36" s="6">
        <f t="shared" si="50"/>
        <v>0</v>
      </c>
      <c r="CM36" s="6">
        <v>0</v>
      </c>
      <c r="CN36" s="6">
        <f t="shared" si="51"/>
        <v>0</v>
      </c>
      <c r="CO36" s="6">
        <f t="shared" si="52"/>
        <v>0</v>
      </c>
      <c r="CP36" s="6">
        <v>0</v>
      </c>
      <c r="CQ36" s="6">
        <f t="shared" si="53"/>
        <v>0</v>
      </c>
      <c r="CR36" s="6">
        <f t="shared" si="54"/>
        <v>0</v>
      </c>
      <c r="CS36" s="6">
        <v>0</v>
      </c>
      <c r="CT36" s="6">
        <f t="shared" si="55"/>
        <v>0</v>
      </c>
      <c r="CU36" s="6">
        <f t="shared" si="56"/>
        <v>0</v>
      </c>
      <c r="CV36" s="6">
        <v>0</v>
      </c>
      <c r="CW36" s="6">
        <f t="shared" si="57"/>
        <v>0</v>
      </c>
      <c r="CX36" s="6">
        <f t="shared" si="58"/>
        <v>0</v>
      </c>
      <c r="CY36" s="6">
        <v>0</v>
      </c>
      <c r="CZ36" s="6">
        <f t="shared" si="59"/>
        <v>0</v>
      </c>
      <c r="DA36" s="6">
        <f t="shared" si="60"/>
        <v>0</v>
      </c>
      <c r="DB36" s="6">
        <v>0</v>
      </c>
      <c r="DC36" s="6">
        <f t="shared" si="61"/>
        <v>0</v>
      </c>
      <c r="DD36" s="6">
        <f t="shared" si="62"/>
        <v>0</v>
      </c>
      <c r="DE36" s="6">
        <v>0</v>
      </c>
      <c r="DF36" s="6">
        <f t="shared" si="63"/>
        <v>0</v>
      </c>
      <c r="DG36" s="6">
        <f t="shared" si="64"/>
        <v>0</v>
      </c>
      <c r="DH36" s="6">
        <v>0</v>
      </c>
      <c r="DI36" s="6">
        <f t="shared" si="65"/>
        <v>0</v>
      </c>
      <c r="DJ36" s="6">
        <f t="shared" si="66"/>
        <v>0</v>
      </c>
      <c r="DK36" s="6">
        <v>0</v>
      </c>
      <c r="DL36" s="6">
        <f t="shared" si="67"/>
        <v>0</v>
      </c>
      <c r="DM36" s="6">
        <f t="shared" si="68"/>
        <v>0</v>
      </c>
      <c r="DN36" s="6">
        <v>0</v>
      </c>
      <c r="DO36" s="6">
        <f t="shared" si="69"/>
        <v>0</v>
      </c>
      <c r="DP36" s="6">
        <f t="shared" si="70"/>
        <v>0</v>
      </c>
    </row>
    <row r="37" spans="1:120" x14ac:dyDescent="0.2">
      <c r="A37" s="21">
        <v>68</v>
      </c>
      <c r="B37" s="21" t="s">
        <v>673</v>
      </c>
      <c r="C37" s="21">
        <v>68615</v>
      </c>
      <c r="D37" s="21" t="s">
        <v>695</v>
      </c>
      <c r="E37" s="21" t="s">
        <v>671</v>
      </c>
      <c r="F37" s="22" t="s">
        <v>693</v>
      </c>
      <c r="G37" s="4" t="s">
        <v>149</v>
      </c>
      <c r="H37" s="6">
        <v>211716.1</v>
      </c>
      <c r="I37" s="6">
        <f t="shared" si="75"/>
        <v>580.04410958904111</v>
      </c>
      <c r="J37" s="6">
        <v>238798.95129999999</v>
      </c>
      <c r="K37" s="6">
        <v>161841.01</v>
      </c>
      <c r="L37" s="6">
        <f t="shared" si="1"/>
        <v>442.18855191256836</v>
      </c>
      <c r="M37" s="6">
        <v>192587.99179999999</v>
      </c>
      <c r="N37" s="6">
        <v>175866.34</v>
      </c>
      <c r="O37" s="6">
        <f t="shared" si="73"/>
        <v>481.8255890410959</v>
      </c>
      <c r="P37" s="6">
        <v>150042.856</v>
      </c>
      <c r="Q37" s="6">
        <v>76584.22</v>
      </c>
      <c r="R37" s="6">
        <f t="shared" si="74"/>
        <v>423.11723756906076</v>
      </c>
      <c r="S37" s="6">
        <v>120391.3226</v>
      </c>
      <c r="T37" s="6">
        <f t="shared" si="3"/>
        <v>120391.3226</v>
      </c>
      <c r="U37" s="6">
        <f t="shared" si="4"/>
        <v>329.83924000000002</v>
      </c>
      <c r="V37" s="6">
        <v>99000.720600000001</v>
      </c>
      <c r="W37" s="6">
        <f t="shared" si="5"/>
        <v>99000.720600000001</v>
      </c>
      <c r="X37" s="6">
        <f t="shared" si="6"/>
        <v>271.23485095890413</v>
      </c>
      <c r="Y37" s="6">
        <v>82212.537800000006</v>
      </c>
      <c r="Z37" s="6">
        <f t="shared" si="7"/>
        <v>82212.537800000006</v>
      </c>
      <c r="AA37" s="6">
        <f t="shared" si="8"/>
        <v>225.23982958904111</v>
      </c>
      <c r="AB37" s="6">
        <v>68190.011299999998</v>
      </c>
      <c r="AC37" s="6">
        <f t="shared" si="9"/>
        <v>68190.011299999998</v>
      </c>
      <c r="AD37" s="6">
        <f t="shared" si="10"/>
        <v>186.82194876712327</v>
      </c>
      <c r="AE37" s="6">
        <v>53262.225200000001</v>
      </c>
      <c r="AF37" s="6">
        <f t="shared" si="11"/>
        <v>53262.225200000001</v>
      </c>
      <c r="AG37" s="6">
        <f t="shared" si="12"/>
        <v>145.92390465753425</v>
      </c>
      <c r="AH37" s="6">
        <v>9630.5601999999999</v>
      </c>
      <c r="AI37" s="6">
        <f t="shared" si="13"/>
        <v>9630.5601999999999</v>
      </c>
      <c r="AJ37" s="6">
        <f t="shared" si="14"/>
        <v>26.385096438356165</v>
      </c>
      <c r="AK37" s="6">
        <v>0</v>
      </c>
      <c r="AL37" s="6">
        <f t="shared" si="15"/>
        <v>0</v>
      </c>
      <c r="AM37" s="6">
        <f t="shared" si="16"/>
        <v>0</v>
      </c>
      <c r="AN37" s="6">
        <v>0</v>
      </c>
      <c r="AO37" s="6">
        <f t="shared" si="17"/>
        <v>0</v>
      </c>
      <c r="AP37" s="6">
        <f t="shared" si="18"/>
        <v>0</v>
      </c>
      <c r="AQ37" s="6">
        <v>0</v>
      </c>
      <c r="AR37" s="6">
        <f t="shared" si="19"/>
        <v>0</v>
      </c>
      <c r="AS37" s="6">
        <f t="shared" si="20"/>
        <v>0</v>
      </c>
      <c r="AT37" s="6">
        <v>0</v>
      </c>
      <c r="AU37" s="6">
        <f t="shared" si="21"/>
        <v>0</v>
      </c>
      <c r="AV37" s="6">
        <f t="shared" si="22"/>
        <v>0</v>
      </c>
      <c r="AW37" s="6">
        <v>0</v>
      </c>
      <c r="AX37" s="6">
        <f t="shared" si="23"/>
        <v>0</v>
      </c>
      <c r="AY37" s="6">
        <f t="shared" si="24"/>
        <v>0</v>
      </c>
      <c r="AZ37" s="6">
        <v>0</v>
      </c>
      <c r="BA37" s="6">
        <f t="shared" si="25"/>
        <v>0</v>
      </c>
      <c r="BB37" s="6">
        <f t="shared" si="26"/>
        <v>0</v>
      </c>
      <c r="BC37" s="6">
        <v>0</v>
      </c>
      <c r="BD37" s="6">
        <f t="shared" si="27"/>
        <v>0</v>
      </c>
      <c r="BE37" s="6">
        <f t="shared" si="28"/>
        <v>0</v>
      </c>
      <c r="BF37" s="6">
        <v>0</v>
      </c>
      <c r="BG37" s="6">
        <f t="shared" si="29"/>
        <v>0</v>
      </c>
      <c r="BH37" s="6">
        <f t="shared" si="30"/>
        <v>0</v>
      </c>
      <c r="BI37" s="6">
        <v>0</v>
      </c>
      <c r="BJ37" s="6">
        <f t="shared" si="31"/>
        <v>0</v>
      </c>
      <c r="BK37" s="6">
        <f t="shared" si="32"/>
        <v>0</v>
      </c>
      <c r="BL37" s="6">
        <v>0</v>
      </c>
      <c r="BM37" s="6">
        <f t="shared" si="33"/>
        <v>0</v>
      </c>
      <c r="BN37" s="6">
        <f t="shared" si="34"/>
        <v>0</v>
      </c>
      <c r="BO37" s="6">
        <v>0</v>
      </c>
      <c r="BP37" s="6">
        <f t="shared" si="35"/>
        <v>0</v>
      </c>
      <c r="BQ37" s="6">
        <f t="shared" si="36"/>
        <v>0</v>
      </c>
      <c r="BR37" s="6">
        <v>0</v>
      </c>
      <c r="BS37" s="6">
        <f t="shared" si="37"/>
        <v>0</v>
      </c>
      <c r="BT37" s="6">
        <f t="shared" si="38"/>
        <v>0</v>
      </c>
      <c r="BU37" s="6">
        <v>0</v>
      </c>
      <c r="BV37" s="6">
        <f t="shared" si="39"/>
        <v>0</v>
      </c>
      <c r="BW37" s="6">
        <f t="shared" si="40"/>
        <v>0</v>
      </c>
      <c r="BX37" s="6">
        <v>0</v>
      </c>
      <c r="BY37" s="6">
        <f t="shared" si="41"/>
        <v>0</v>
      </c>
      <c r="BZ37" s="6">
        <f t="shared" si="42"/>
        <v>0</v>
      </c>
      <c r="CA37" s="6">
        <v>0</v>
      </c>
      <c r="CB37" s="6">
        <f t="shared" si="43"/>
        <v>0</v>
      </c>
      <c r="CC37" s="6">
        <f t="shared" si="44"/>
        <v>0</v>
      </c>
      <c r="CD37" s="6">
        <v>0</v>
      </c>
      <c r="CE37" s="6">
        <f t="shared" si="45"/>
        <v>0</v>
      </c>
      <c r="CF37" s="6">
        <f t="shared" si="46"/>
        <v>0</v>
      </c>
      <c r="CG37" s="6">
        <v>0</v>
      </c>
      <c r="CH37" s="6">
        <f t="shared" si="47"/>
        <v>0</v>
      </c>
      <c r="CI37" s="6">
        <f t="shared" si="48"/>
        <v>0</v>
      </c>
      <c r="CJ37" s="6">
        <v>0</v>
      </c>
      <c r="CK37" s="6">
        <f t="shared" si="49"/>
        <v>0</v>
      </c>
      <c r="CL37" s="6">
        <f t="shared" si="50"/>
        <v>0</v>
      </c>
      <c r="CM37" s="6">
        <v>0</v>
      </c>
      <c r="CN37" s="6">
        <f t="shared" si="51"/>
        <v>0</v>
      </c>
      <c r="CO37" s="6">
        <f t="shared" si="52"/>
        <v>0</v>
      </c>
      <c r="CP37" s="6">
        <v>0</v>
      </c>
      <c r="CQ37" s="6">
        <f t="shared" si="53"/>
        <v>0</v>
      </c>
      <c r="CR37" s="6">
        <f t="shared" si="54"/>
        <v>0</v>
      </c>
      <c r="CS37" s="6">
        <v>0</v>
      </c>
      <c r="CT37" s="6">
        <f t="shared" si="55"/>
        <v>0</v>
      </c>
      <c r="CU37" s="6">
        <f t="shared" si="56"/>
        <v>0</v>
      </c>
      <c r="CV37" s="6">
        <v>0</v>
      </c>
      <c r="CW37" s="6">
        <f t="shared" si="57"/>
        <v>0</v>
      </c>
      <c r="CX37" s="6">
        <f t="shared" si="58"/>
        <v>0</v>
      </c>
      <c r="CY37" s="6">
        <v>0</v>
      </c>
      <c r="CZ37" s="6">
        <f t="shared" si="59"/>
        <v>0</v>
      </c>
      <c r="DA37" s="6">
        <f t="shared" si="60"/>
        <v>0</v>
      </c>
      <c r="DB37" s="6">
        <v>0</v>
      </c>
      <c r="DC37" s="6">
        <f t="shared" si="61"/>
        <v>0</v>
      </c>
      <c r="DD37" s="6">
        <f t="shared" si="62"/>
        <v>0</v>
      </c>
      <c r="DE37" s="6">
        <v>0</v>
      </c>
      <c r="DF37" s="6">
        <f t="shared" si="63"/>
        <v>0</v>
      </c>
      <c r="DG37" s="6">
        <f t="shared" si="64"/>
        <v>0</v>
      </c>
      <c r="DH37" s="6">
        <v>0</v>
      </c>
      <c r="DI37" s="6">
        <f t="shared" si="65"/>
        <v>0</v>
      </c>
      <c r="DJ37" s="6">
        <f t="shared" si="66"/>
        <v>0</v>
      </c>
      <c r="DK37" s="6">
        <v>0</v>
      </c>
      <c r="DL37" s="6">
        <f t="shared" si="67"/>
        <v>0</v>
      </c>
      <c r="DM37" s="6">
        <f t="shared" si="68"/>
        <v>0</v>
      </c>
      <c r="DN37" s="6">
        <v>0</v>
      </c>
      <c r="DO37" s="6">
        <f t="shared" si="69"/>
        <v>0</v>
      </c>
      <c r="DP37" s="6">
        <f t="shared" si="70"/>
        <v>0</v>
      </c>
    </row>
    <row r="38" spans="1:120" x14ac:dyDescent="0.2">
      <c r="A38" s="21">
        <v>41</v>
      </c>
      <c r="B38" s="21" t="s">
        <v>687</v>
      </c>
      <c r="C38" s="21">
        <v>41016</v>
      </c>
      <c r="D38" s="21" t="s">
        <v>688</v>
      </c>
      <c r="E38" s="21" t="s">
        <v>522</v>
      </c>
      <c r="F38" s="22" t="s">
        <v>666</v>
      </c>
      <c r="G38" s="4" t="s">
        <v>150</v>
      </c>
      <c r="H38" s="6">
        <v>73540.179999999993</v>
      </c>
      <c r="I38" s="6">
        <f t="shared" si="75"/>
        <v>201.47994520547942</v>
      </c>
      <c r="J38" s="6">
        <v>60214</v>
      </c>
      <c r="K38" s="6">
        <v>67324.23</v>
      </c>
      <c r="L38" s="6">
        <f t="shared" si="1"/>
        <v>183.94598360655738</v>
      </c>
      <c r="M38" s="6">
        <v>48228</v>
      </c>
      <c r="N38" s="6">
        <v>76563.22</v>
      </c>
      <c r="O38" s="6">
        <f t="shared" si="73"/>
        <v>209.76224657534246</v>
      </c>
      <c r="P38" s="6">
        <v>38939</v>
      </c>
      <c r="Q38" s="6">
        <v>39903.01</v>
      </c>
      <c r="R38" s="6">
        <f t="shared" si="74"/>
        <v>220.45861878453039</v>
      </c>
      <c r="S38" s="6">
        <v>31556</v>
      </c>
      <c r="T38" s="6">
        <f t="shared" si="3"/>
        <v>31556</v>
      </c>
      <c r="U38" s="6">
        <f t="shared" si="4"/>
        <v>86.454794520547949</v>
      </c>
      <c r="V38" s="6">
        <v>25752</v>
      </c>
      <c r="W38" s="6">
        <f t="shared" si="5"/>
        <v>25752</v>
      </c>
      <c r="X38" s="6">
        <f t="shared" si="6"/>
        <v>70.553424657534251</v>
      </c>
      <c r="Y38" s="6">
        <v>20431</v>
      </c>
      <c r="Z38" s="6">
        <f t="shared" si="7"/>
        <v>20431</v>
      </c>
      <c r="AA38" s="6">
        <f t="shared" si="8"/>
        <v>55.975342465753428</v>
      </c>
      <c r="AB38" s="6">
        <v>16188</v>
      </c>
      <c r="AC38" s="6">
        <f t="shared" si="9"/>
        <v>16188</v>
      </c>
      <c r="AD38" s="6">
        <f t="shared" si="10"/>
        <v>44.350684931506848</v>
      </c>
      <c r="AE38" s="6">
        <v>0</v>
      </c>
      <c r="AF38" s="6">
        <f t="shared" si="11"/>
        <v>0</v>
      </c>
      <c r="AG38" s="6">
        <f t="shared" si="12"/>
        <v>0</v>
      </c>
      <c r="AH38" s="6">
        <v>0</v>
      </c>
      <c r="AI38" s="6">
        <f t="shared" si="13"/>
        <v>0</v>
      </c>
      <c r="AJ38" s="6">
        <f t="shared" si="14"/>
        <v>0</v>
      </c>
      <c r="AK38" s="6">
        <v>0</v>
      </c>
      <c r="AL38" s="6">
        <f t="shared" si="15"/>
        <v>0</v>
      </c>
      <c r="AM38" s="6">
        <f t="shared" si="16"/>
        <v>0</v>
      </c>
      <c r="AN38" s="6">
        <v>0</v>
      </c>
      <c r="AO38" s="6">
        <f t="shared" si="17"/>
        <v>0</v>
      </c>
      <c r="AP38" s="6">
        <f t="shared" si="18"/>
        <v>0</v>
      </c>
      <c r="AQ38" s="6">
        <v>0</v>
      </c>
      <c r="AR38" s="6">
        <f t="shared" si="19"/>
        <v>0</v>
      </c>
      <c r="AS38" s="6">
        <f t="shared" si="20"/>
        <v>0</v>
      </c>
      <c r="AT38" s="6">
        <v>0</v>
      </c>
      <c r="AU38" s="6">
        <f t="shared" si="21"/>
        <v>0</v>
      </c>
      <c r="AV38" s="6">
        <f t="shared" si="22"/>
        <v>0</v>
      </c>
      <c r="AW38" s="6">
        <v>0</v>
      </c>
      <c r="AX38" s="6">
        <f t="shared" si="23"/>
        <v>0</v>
      </c>
      <c r="AY38" s="6">
        <f t="shared" si="24"/>
        <v>0</v>
      </c>
      <c r="AZ38" s="6">
        <v>0</v>
      </c>
      <c r="BA38" s="6">
        <f t="shared" si="25"/>
        <v>0</v>
      </c>
      <c r="BB38" s="6">
        <f t="shared" si="26"/>
        <v>0</v>
      </c>
      <c r="BC38" s="6">
        <v>0</v>
      </c>
      <c r="BD38" s="6">
        <f t="shared" si="27"/>
        <v>0</v>
      </c>
      <c r="BE38" s="6">
        <f t="shared" si="28"/>
        <v>0</v>
      </c>
      <c r="BF38" s="6">
        <v>0</v>
      </c>
      <c r="BG38" s="6">
        <f t="shared" si="29"/>
        <v>0</v>
      </c>
      <c r="BH38" s="6">
        <f t="shared" si="30"/>
        <v>0</v>
      </c>
      <c r="BI38" s="6">
        <v>0</v>
      </c>
      <c r="BJ38" s="6">
        <f t="shared" si="31"/>
        <v>0</v>
      </c>
      <c r="BK38" s="6">
        <f t="shared" si="32"/>
        <v>0</v>
      </c>
      <c r="BL38" s="6">
        <v>0</v>
      </c>
      <c r="BM38" s="6">
        <f t="shared" si="33"/>
        <v>0</v>
      </c>
      <c r="BN38" s="6">
        <f t="shared" si="34"/>
        <v>0</v>
      </c>
      <c r="BO38" s="6">
        <v>0</v>
      </c>
      <c r="BP38" s="6">
        <f t="shared" si="35"/>
        <v>0</v>
      </c>
      <c r="BQ38" s="6">
        <f t="shared" si="36"/>
        <v>0</v>
      </c>
      <c r="BR38" s="6">
        <v>0</v>
      </c>
      <c r="BS38" s="6">
        <f t="shared" si="37"/>
        <v>0</v>
      </c>
      <c r="BT38" s="6">
        <f t="shared" si="38"/>
        <v>0</v>
      </c>
      <c r="BU38" s="6">
        <v>0</v>
      </c>
      <c r="BV38" s="6">
        <f t="shared" si="39"/>
        <v>0</v>
      </c>
      <c r="BW38" s="6">
        <f t="shared" si="40"/>
        <v>0</v>
      </c>
      <c r="BX38" s="6">
        <v>0</v>
      </c>
      <c r="BY38" s="6">
        <f t="shared" si="41"/>
        <v>0</v>
      </c>
      <c r="BZ38" s="6">
        <f t="shared" si="42"/>
        <v>0</v>
      </c>
      <c r="CA38" s="6">
        <v>0</v>
      </c>
      <c r="CB38" s="6">
        <f t="shared" si="43"/>
        <v>0</v>
      </c>
      <c r="CC38" s="6">
        <f t="shared" si="44"/>
        <v>0</v>
      </c>
      <c r="CD38" s="6">
        <v>0</v>
      </c>
      <c r="CE38" s="6">
        <f t="shared" si="45"/>
        <v>0</v>
      </c>
      <c r="CF38" s="6">
        <f t="shared" si="46"/>
        <v>0</v>
      </c>
      <c r="CG38" s="6">
        <v>0</v>
      </c>
      <c r="CH38" s="6">
        <f t="shared" si="47"/>
        <v>0</v>
      </c>
      <c r="CI38" s="6">
        <f t="shared" si="48"/>
        <v>0</v>
      </c>
      <c r="CJ38" s="6">
        <v>0</v>
      </c>
      <c r="CK38" s="6">
        <f t="shared" si="49"/>
        <v>0</v>
      </c>
      <c r="CL38" s="6">
        <f t="shared" si="50"/>
        <v>0</v>
      </c>
      <c r="CM38" s="6">
        <v>0</v>
      </c>
      <c r="CN38" s="6">
        <f t="shared" si="51"/>
        <v>0</v>
      </c>
      <c r="CO38" s="6">
        <f t="shared" si="52"/>
        <v>0</v>
      </c>
      <c r="CP38" s="6">
        <v>0</v>
      </c>
      <c r="CQ38" s="6">
        <f t="shared" si="53"/>
        <v>0</v>
      </c>
      <c r="CR38" s="6">
        <f t="shared" si="54"/>
        <v>0</v>
      </c>
      <c r="CS38" s="6">
        <v>0</v>
      </c>
      <c r="CT38" s="6">
        <f t="shared" si="55"/>
        <v>0</v>
      </c>
      <c r="CU38" s="6">
        <f t="shared" si="56"/>
        <v>0</v>
      </c>
      <c r="CV38" s="6">
        <v>0</v>
      </c>
      <c r="CW38" s="6">
        <f t="shared" si="57"/>
        <v>0</v>
      </c>
      <c r="CX38" s="6">
        <f t="shared" si="58"/>
        <v>0</v>
      </c>
      <c r="CY38" s="6">
        <v>0</v>
      </c>
      <c r="CZ38" s="6">
        <f t="shared" si="59"/>
        <v>0</v>
      </c>
      <c r="DA38" s="6">
        <f t="shared" si="60"/>
        <v>0</v>
      </c>
      <c r="DB38" s="6">
        <v>0</v>
      </c>
      <c r="DC38" s="6">
        <f t="shared" si="61"/>
        <v>0</v>
      </c>
      <c r="DD38" s="6">
        <f t="shared" si="62"/>
        <v>0</v>
      </c>
      <c r="DE38" s="6">
        <v>0</v>
      </c>
      <c r="DF38" s="6">
        <f t="shared" si="63"/>
        <v>0</v>
      </c>
      <c r="DG38" s="6">
        <f t="shared" si="64"/>
        <v>0</v>
      </c>
      <c r="DH38" s="6">
        <v>0</v>
      </c>
      <c r="DI38" s="6">
        <f t="shared" si="65"/>
        <v>0</v>
      </c>
      <c r="DJ38" s="6">
        <f t="shared" si="66"/>
        <v>0</v>
      </c>
      <c r="DK38" s="6">
        <v>0</v>
      </c>
      <c r="DL38" s="6">
        <f t="shared" si="67"/>
        <v>0</v>
      </c>
      <c r="DM38" s="6">
        <f t="shared" si="68"/>
        <v>0</v>
      </c>
      <c r="DN38" s="6">
        <v>0</v>
      </c>
      <c r="DO38" s="6">
        <f t="shared" si="69"/>
        <v>0</v>
      </c>
      <c r="DP38" s="6">
        <f t="shared" si="70"/>
        <v>0</v>
      </c>
    </row>
    <row r="39" spans="1:120" x14ac:dyDescent="0.2">
      <c r="A39" s="21">
        <v>50</v>
      </c>
      <c r="B39" s="21" t="s">
        <v>675</v>
      </c>
      <c r="C39" s="21">
        <v>50568</v>
      </c>
      <c r="D39" s="21" t="s">
        <v>700</v>
      </c>
      <c r="E39" s="21" t="s">
        <v>701</v>
      </c>
      <c r="F39" s="22" t="s">
        <v>693</v>
      </c>
      <c r="G39" s="4" t="s">
        <v>151</v>
      </c>
      <c r="H39" s="6">
        <v>150061.45000000001</v>
      </c>
      <c r="I39" s="6">
        <f t="shared" si="75"/>
        <v>411.12726027397264</v>
      </c>
      <c r="J39" s="6">
        <v>140931.7776</v>
      </c>
      <c r="K39" s="6">
        <v>146516.15</v>
      </c>
      <c r="L39" s="6">
        <f t="shared" si="1"/>
        <v>400.31734972677594</v>
      </c>
      <c r="M39" s="6">
        <v>123326.4304</v>
      </c>
      <c r="N39" s="6">
        <v>127215.67999999999</v>
      </c>
      <c r="O39" s="6">
        <f t="shared" si="73"/>
        <v>348.53610958904108</v>
      </c>
      <c r="P39" s="6">
        <v>107722.9022</v>
      </c>
      <c r="Q39" s="6">
        <v>61305.63</v>
      </c>
      <c r="R39" s="6">
        <f t="shared" si="74"/>
        <v>338.70513812154695</v>
      </c>
      <c r="S39" s="6">
        <v>96562.934299999994</v>
      </c>
      <c r="T39" s="6">
        <f t="shared" si="3"/>
        <v>96562.934299999994</v>
      </c>
      <c r="U39" s="6">
        <f t="shared" si="4"/>
        <v>264.55598438356162</v>
      </c>
      <c r="V39" s="6">
        <v>87108.785300000003</v>
      </c>
      <c r="W39" s="6">
        <f t="shared" si="5"/>
        <v>87108.785300000003</v>
      </c>
      <c r="X39" s="6">
        <f t="shared" si="6"/>
        <v>238.65420630136987</v>
      </c>
      <c r="Y39" s="6">
        <v>77817.023499999996</v>
      </c>
      <c r="Z39" s="6">
        <f t="shared" si="7"/>
        <v>77817.023499999996</v>
      </c>
      <c r="AA39" s="6">
        <f t="shared" si="8"/>
        <v>213.19732465753424</v>
      </c>
      <c r="AB39" s="6">
        <v>67564.703500000003</v>
      </c>
      <c r="AC39" s="6">
        <f t="shared" si="9"/>
        <v>67564.703500000003</v>
      </c>
      <c r="AD39" s="6">
        <f t="shared" si="10"/>
        <v>185.10877671232876</v>
      </c>
      <c r="AE39" s="6">
        <v>61325.056400000001</v>
      </c>
      <c r="AF39" s="6">
        <f t="shared" si="11"/>
        <v>61325.056400000001</v>
      </c>
      <c r="AG39" s="6">
        <f t="shared" si="12"/>
        <v>168.01385315068492</v>
      </c>
      <c r="AH39" s="6">
        <v>55967.2912</v>
      </c>
      <c r="AI39" s="6">
        <f t="shared" si="13"/>
        <v>55967.2912</v>
      </c>
      <c r="AJ39" s="6">
        <f t="shared" si="14"/>
        <v>153.33504438356164</v>
      </c>
      <c r="AK39" s="6">
        <v>30141.167799999999</v>
      </c>
      <c r="AL39" s="6">
        <f t="shared" si="15"/>
        <v>30141.167799999999</v>
      </c>
      <c r="AM39" s="6">
        <f t="shared" si="16"/>
        <v>82.578541917808224</v>
      </c>
      <c r="AN39" s="6">
        <v>0</v>
      </c>
      <c r="AO39" s="6">
        <f t="shared" si="17"/>
        <v>0</v>
      </c>
      <c r="AP39" s="6">
        <f t="shared" si="18"/>
        <v>0</v>
      </c>
      <c r="AQ39" s="6">
        <v>0</v>
      </c>
      <c r="AR39" s="6">
        <f t="shared" si="19"/>
        <v>0</v>
      </c>
      <c r="AS39" s="6">
        <f t="shared" si="20"/>
        <v>0</v>
      </c>
      <c r="AT39" s="6">
        <v>0</v>
      </c>
      <c r="AU39" s="6">
        <f t="shared" si="21"/>
        <v>0</v>
      </c>
      <c r="AV39" s="6">
        <f t="shared" si="22"/>
        <v>0</v>
      </c>
      <c r="AW39" s="6">
        <v>0</v>
      </c>
      <c r="AX39" s="6">
        <f t="shared" si="23"/>
        <v>0</v>
      </c>
      <c r="AY39" s="6">
        <f t="shared" si="24"/>
        <v>0</v>
      </c>
      <c r="AZ39" s="6">
        <v>0</v>
      </c>
      <c r="BA39" s="6">
        <f t="shared" si="25"/>
        <v>0</v>
      </c>
      <c r="BB39" s="6">
        <f t="shared" si="26"/>
        <v>0</v>
      </c>
      <c r="BC39" s="6">
        <v>0</v>
      </c>
      <c r="BD39" s="6">
        <f t="shared" si="27"/>
        <v>0</v>
      </c>
      <c r="BE39" s="6">
        <f t="shared" si="28"/>
        <v>0</v>
      </c>
      <c r="BF39" s="6">
        <v>0</v>
      </c>
      <c r="BG39" s="6">
        <f t="shared" si="29"/>
        <v>0</v>
      </c>
      <c r="BH39" s="6">
        <f t="shared" si="30"/>
        <v>0</v>
      </c>
      <c r="BI39" s="6">
        <v>0</v>
      </c>
      <c r="BJ39" s="6">
        <f t="shared" si="31"/>
        <v>0</v>
      </c>
      <c r="BK39" s="6">
        <f t="shared" si="32"/>
        <v>0</v>
      </c>
      <c r="BL39" s="6">
        <v>0</v>
      </c>
      <c r="BM39" s="6">
        <f t="shared" si="33"/>
        <v>0</v>
      </c>
      <c r="BN39" s="6">
        <f t="shared" si="34"/>
        <v>0</v>
      </c>
      <c r="BO39" s="6">
        <v>0</v>
      </c>
      <c r="BP39" s="6">
        <f t="shared" si="35"/>
        <v>0</v>
      </c>
      <c r="BQ39" s="6">
        <f t="shared" si="36"/>
        <v>0</v>
      </c>
      <c r="BR39" s="6">
        <v>0</v>
      </c>
      <c r="BS39" s="6">
        <f t="shared" si="37"/>
        <v>0</v>
      </c>
      <c r="BT39" s="6">
        <f t="shared" si="38"/>
        <v>0</v>
      </c>
      <c r="BU39" s="6">
        <v>0</v>
      </c>
      <c r="BV39" s="6">
        <f t="shared" si="39"/>
        <v>0</v>
      </c>
      <c r="BW39" s="6">
        <f t="shared" si="40"/>
        <v>0</v>
      </c>
      <c r="BX39" s="6">
        <v>0</v>
      </c>
      <c r="BY39" s="6">
        <f t="shared" si="41"/>
        <v>0</v>
      </c>
      <c r="BZ39" s="6">
        <f t="shared" si="42"/>
        <v>0</v>
      </c>
      <c r="CA39" s="6">
        <v>0</v>
      </c>
      <c r="CB39" s="6">
        <f t="shared" si="43"/>
        <v>0</v>
      </c>
      <c r="CC39" s="6">
        <f t="shared" si="44"/>
        <v>0</v>
      </c>
      <c r="CD39" s="6">
        <v>0</v>
      </c>
      <c r="CE39" s="6">
        <f t="shared" si="45"/>
        <v>0</v>
      </c>
      <c r="CF39" s="6">
        <f t="shared" si="46"/>
        <v>0</v>
      </c>
      <c r="CG39" s="6">
        <v>0</v>
      </c>
      <c r="CH39" s="6">
        <f t="shared" si="47"/>
        <v>0</v>
      </c>
      <c r="CI39" s="6">
        <f t="shared" si="48"/>
        <v>0</v>
      </c>
      <c r="CJ39" s="6">
        <v>0</v>
      </c>
      <c r="CK39" s="6">
        <f t="shared" si="49"/>
        <v>0</v>
      </c>
      <c r="CL39" s="6">
        <f t="shared" si="50"/>
        <v>0</v>
      </c>
      <c r="CM39" s="6">
        <v>0</v>
      </c>
      <c r="CN39" s="6">
        <f t="shared" si="51"/>
        <v>0</v>
      </c>
      <c r="CO39" s="6">
        <f t="shared" si="52"/>
        <v>0</v>
      </c>
      <c r="CP39" s="6">
        <v>0</v>
      </c>
      <c r="CQ39" s="6">
        <f t="shared" si="53"/>
        <v>0</v>
      </c>
      <c r="CR39" s="6">
        <f t="shared" si="54"/>
        <v>0</v>
      </c>
      <c r="CS39" s="6">
        <v>0</v>
      </c>
      <c r="CT39" s="6">
        <f t="shared" si="55"/>
        <v>0</v>
      </c>
      <c r="CU39" s="6">
        <f t="shared" si="56"/>
        <v>0</v>
      </c>
      <c r="CV39" s="6">
        <v>0</v>
      </c>
      <c r="CW39" s="6">
        <f t="shared" si="57"/>
        <v>0</v>
      </c>
      <c r="CX39" s="6">
        <f t="shared" si="58"/>
        <v>0</v>
      </c>
      <c r="CY39" s="6">
        <v>0</v>
      </c>
      <c r="CZ39" s="6">
        <f t="shared" si="59"/>
        <v>0</v>
      </c>
      <c r="DA39" s="6">
        <f t="shared" si="60"/>
        <v>0</v>
      </c>
      <c r="DB39" s="6">
        <v>0</v>
      </c>
      <c r="DC39" s="6">
        <f t="shared" si="61"/>
        <v>0</v>
      </c>
      <c r="DD39" s="6">
        <f t="shared" si="62"/>
        <v>0</v>
      </c>
      <c r="DE39" s="6">
        <v>0</v>
      </c>
      <c r="DF39" s="6">
        <f t="shared" si="63"/>
        <v>0</v>
      </c>
      <c r="DG39" s="6">
        <f t="shared" si="64"/>
        <v>0</v>
      </c>
      <c r="DH39" s="6">
        <v>0</v>
      </c>
      <c r="DI39" s="6">
        <f t="shared" si="65"/>
        <v>0</v>
      </c>
      <c r="DJ39" s="6">
        <f t="shared" si="66"/>
        <v>0</v>
      </c>
      <c r="DK39" s="6">
        <v>0</v>
      </c>
      <c r="DL39" s="6">
        <f t="shared" si="67"/>
        <v>0</v>
      </c>
      <c r="DM39" s="6">
        <f t="shared" si="68"/>
        <v>0</v>
      </c>
      <c r="DN39" s="6">
        <v>0</v>
      </c>
      <c r="DO39" s="6">
        <f t="shared" si="69"/>
        <v>0</v>
      </c>
      <c r="DP39" s="6">
        <f t="shared" si="70"/>
        <v>0</v>
      </c>
    </row>
    <row r="40" spans="1:120" x14ac:dyDescent="0.2">
      <c r="A40" s="21">
        <v>15</v>
      </c>
      <c r="B40" s="21" t="s">
        <v>660</v>
      </c>
      <c r="C40" s="21">
        <v>15572</v>
      </c>
      <c r="D40" s="21" t="s">
        <v>661</v>
      </c>
      <c r="E40" s="21" t="s">
        <v>522</v>
      </c>
      <c r="F40" s="22" t="s">
        <v>666</v>
      </c>
      <c r="G40" s="4" t="s">
        <v>152</v>
      </c>
      <c r="H40" s="6">
        <v>400617.49</v>
      </c>
      <c r="I40" s="6">
        <f t="shared" si="75"/>
        <v>1097.5821643835616</v>
      </c>
      <c r="J40" s="6">
        <v>540018.96770000004</v>
      </c>
      <c r="K40" s="6">
        <v>445817.87</v>
      </c>
      <c r="L40" s="6">
        <f t="shared" si="1"/>
        <v>1218.0816120218578</v>
      </c>
      <c r="M40" s="6">
        <v>470529.55670000002</v>
      </c>
      <c r="N40" s="6">
        <v>384479.05</v>
      </c>
      <c r="O40" s="6">
        <f t="shared" si="73"/>
        <v>1053.3672602739725</v>
      </c>
      <c r="P40" s="6">
        <v>417782.53009999997</v>
      </c>
      <c r="Q40" s="6">
        <v>162123.25</v>
      </c>
      <c r="R40" s="6">
        <f t="shared" si="74"/>
        <v>895.70856353591159</v>
      </c>
      <c r="S40" s="6">
        <v>374802.83860000002</v>
      </c>
      <c r="T40" s="6">
        <f t="shared" si="3"/>
        <v>374802.83860000002</v>
      </c>
      <c r="U40" s="6">
        <f t="shared" si="4"/>
        <v>1026.8570920547945</v>
      </c>
      <c r="V40" s="6">
        <v>336437.79519999999</v>
      </c>
      <c r="W40" s="6">
        <f t="shared" si="5"/>
        <v>336437.79519999999</v>
      </c>
      <c r="X40" s="6">
        <f t="shared" si="6"/>
        <v>921.74738410958901</v>
      </c>
      <c r="Y40" s="6">
        <v>299981.57410000003</v>
      </c>
      <c r="Z40" s="6">
        <f t="shared" si="7"/>
        <v>299981.57410000003</v>
      </c>
      <c r="AA40" s="6">
        <f t="shared" si="8"/>
        <v>821.86732630136999</v>
      </c>
      <c r="AB40" s="6">
        <v>268918.5515</v>
      </c>
      <c r="AC40" s="6">
        <f t="shared" si="9"/>
        <v>268918.5515</v>
      </c>
      <c r="AD40" s="6">
        <f t="shared" si="10"/>
        <v>736.76315479452057</v>
      </c>
      <c r="AE40" s="6">
        <v>241535.9437</v>
      </c>
      <c r="AF40" s="6">
        <f t="shared" si="11"/>
        <v>241535.9437</v>
      </c>
      <c r="AG40" s="6">
        <f t="shared" si="12"/>
        <v>661.74231150684932</v>
      </c>
      <c r="AH40" s="6">
        <v>218812.7482</v>
      </c>
      <c r="AI40" s="6">
        <f t="shared" si="13"/>
        <v>218812.7482</v>
      </c>
      <c r="AJ40" s="6">
        <f t="shared" si="14"/>
        <v>599.48698136986297</v>
      </c>
      <c r="AK40" s="6">
        <v>198056.09099999999</v>
      </c>
      <c r="AL40" s="6">
        <f t="shared" si="15"/>
        <v>198056.09099999999</v>
      </c>
      <c r="AM40" s="6">
        <f t="shared" si="16"/>
        <v>542.61942739726021</v>
      </c>
      <c r="AN40" s="6">
        <v>179952.78030000001</v>
      </c>
      <c r="AO40" s="6">
        <f t="shared" si="17"/>
        <v>179952.78030000001</v>
      </c>
      <c r="AP40" s="6">
        <f t="shared" si="18"/>
        <v>493.02131589041102</v>
      </c>
      <c r="AQ40" s="6">
        <v>163737.7231</v>
      </c>
      <c r="AR40" s="6">
        <f t="shared" si="19"/>
        <v>163737.7231</v>
      </c>
      <c r="AS40" s="6">
        <f t="shared" si="20"/>
        <v>448.59650164383561</v>
      </c>
      <c r="AT40" s="6">
        <v>149500.20569999999</v>
      </c>
      <c r="AU40" s="6">
        <f t="shared" si="21"/>
        <v>149500.20569999999</v>
      </c>
      <c r="AV40" s="6">
        <f t="shared" si="22"/>
        <v>409.58960465753421</v>
      </c>
      <c r="AW40" s="6">
        <v>136052.0411</v>
      </c>
      <c r="AX40" s="6">
        <f t="shared" si="23"/>
        <v>136052.0411</v>
      </c>
      <c r="AY40" s="6">
        <f t="shared" si="24"/>
        <v>372.74531808219177</v>
      </c>
      <c r="AZ40" s="6">
        <v>124239.8312</v>
      </c>
      <c r="BA40" s="6">
        <f t="shared" si="25"/>
        <v>124239.8312</v>
      </c>
      <c r="BB40" s="6">
        <f t="shared" si="26"/>
        <v>340.3830991780822</v>
      </c>
      <c r="BC40" s="6">
        <v>113567.2571</v>
      </c>
      <c r="BD40" s="6">
        <f t="shared" si="27"/>
        <v>113567.2571</v>
      </c>
      <c r="BE40" s="6">
        <f t="shared" si="28"/>
        <v>311.14317013698633</v>
      </c>
      <c r="BF40" s="6">
        <v>103803.51489999999</v>
      </c>
      <c r="BG40" s="6">
        <f t="shared" si="29"/>
        <v>103803.51489999999</v>
      </c>
      <c r="BH40" s="6">
        <f t="shared" si="30"/>
        <v>284.39319150684929</v>
      </c>
      <c r="BI40" s="6">
        <v>94900.948999999993</v>
      </c>
      <c r="BJ40" s="6">
        <f t="shared" si="31"/>
        <v>94900.948999999993</v>
      </c>
      <c r="BK40" s="6">
        <f t="shared" si="32"/>
        <v>260.00259999999997</v>
      </c>
      <c r="BL40" s="6">
        <v>87028.910799999998</v>
      </c>
      <c r="BM40" s="6">
        <f t="shared" si="33"/>
        <v>87028.910799999998</v>
      </c>
      <c r="BN40" s="6">
        <f t="shared" si="34"/>
        <v>238.43537205479453</v>
      </c>
      <c r="BO40" s="6">
        <v>79889.6587</v>
      </c>
      <c r="BP40" s="6">
        <f t="shared" si="35"/>
        <v>79889.6587</v>
      </c>
      <c r="BQ40" s="6">
        <f t="shared" si="36"/>
        <v>218.87577726027396</v>
      </c>
      <c r="BR40" s="6">
        <v>73237.657399999996</v>
      </c>
      <c r="BS40" s="6">
        <f t="shared" si="37"/>
        <v>73237.657399999996</v>
      </c>
      <c r="BT40" s="6">
        <f t="shared" si="38"/>
        <v>200.65111616438355</v>
      </c>
      <c r="BU40" s="6">
        <v>66735.224799999996</v>
      </c>
      <c r="BV40" s="6">
        <f t="shared" si="39"/>
        <v>66735.224799999996</v>
      </c>
      <c r="BW40" s="6">
        <f t="shared" si="40"/>
        <v>182.83623232876712</v>
      </c>
      <c r="BX40" s="6">
        <v>61193.580300000001</v>
      </c>
      <c r="BY40" s="6">
        <f t="shared" si="41"/>
        <v>61193.580300000001</v>
      </c>
      <c r="BZ40" s="6">
        <f t="shared" si="42"/>
        <v>167.65364465753424</v>
      </c>
      <c r="CA40" s="6">
        <v>56419.601600000002</v>
      </c>
      <c r="CB40" s="6">
        <f t="shared" si="43"/>
        <v>56419.601600000002</v>
      </c>
      <c r="CC40" s="6">
        <f t="shared" si="44"/>
        <v>154.57425095890412</v>
      </c>
      <c r="CD40" s="6">
        <v>52175.274899999997</v>
      </c>
      <c r="CE40" s="6">
        <f t="shared" si="45"/>
        <v>52175.274899999997</v>
      </c>
      <c r="CF40" s="6">
        <f t="shared" si="46"/>
        <v>142.94595863013697</v>
      </c>
      <c r="CG40" s="6">
        <v>0</v>
      </c>
      <c r="CH40" s="6">
        <f t="shared" si="47"/>
        <v>0</v>
      </c>
      <c r="CI40" s="6">
        <f t="shared" si="48"/>
        <v>0</v>
      </c>
      <c r="CJ40" s="6">
        <v>0</v>
      </c>
      <c r="CK40" s="6">
        <f t="shared" si="49"/>
        <v>0</v>
      </c>
      <c r="CL40" s="6">
        <f t="shared" si="50"/>
        <v>0</v>
      </c>
      <c r="CM40" s="6">
        <v>0</v>
      </c>
      <c r="CN40" s="6">
        <f t="shared" si="51"/>
        <v>0</v>
      </c>
      <c r="CO40" s="6">
        <f t="shared" si="52"/>
        <v>0</v>
      </c>
      <c r="CP40" s="6">
        <v>0</v>
      </c>
      <c r="CQ40" s="6">
        <f t="shared" si="53"/>
        <v>0</v>
      </c>
      <c r="CR40" s="6">
        <f t="shared" si="54"/>
        <v>0</v>
      </c>
      <c r="CS40" s="6">
        <v>0</v>
      </c>
      <c r="CT40" s="6">
        <f t="shared" si="55"/>
        <v>0</v>
      </c>
      <c r="CU40" s="6">
        <f t="shared" si="56"/>
        <v>0</v>
      </c>
      <c r="CV40" s="6">
        <v>0</v>
      </c>
      <c r="CW40" s="6">
        <f t="shared" si="57"/>
        <v>0</v>
      </c>
      <c r="CX40" s="6">
        <f t="shared" si="58"/>
        <v>0</v>
      </c>
      <c r="CY40" s="6">
        <v>0</v>
      </c>
      <c r="CZ40" s="6">
        <f t="shared" si="59"/>
        <v>0</v>
      </c>
      <c r="DA40" s="6">
        <f t="shared" si="60"/>
        <v>0</v>
      </c>
      <c r="DB40" s="6">
        <v>0</v>
      </c>
      <c r="DC40" s="6">
        <f t="shared" si="61"/>
        <v>0</v>
      </c>
      <c r="DD40" s="6">
        <f t="shared" si="62"/>
        <v>0</v>
      </c>
      <c r="DE40" s="6">
        <v>0</v>
      </c>
      <c r="DF40" s="6">
        <f t="shared" si="63"/>
        <v>0</v>
      </c>
      <c r="DG40" s="6">
        <f t="shared" si="64"/>
        <v>0</v>
      </c>
      <c r="DH40" s="6">
        <v>0</v>
      </c>
      <c r="DI40" s="6">
        <f t="shared" si="65"/>
        <v>0</v>
      </c>
      <c r="DJ40" s="6">
        <f t="shared" si="66"/>
        <v>0</v>
      </c>
      <c r="DK40" s="6">
        <v>0</v>
      </c>
      <c r="DL40" s="6">
        <f t="shared" si="67"/>
        <v>0</v>
      </c>
      <c r="DM40" s="6">
        <f t="shared" si="68"/>
        <v>0</v>
      </c>
      <c r="DN40" s="6">
        <v>0</v>
      </c>
      <c r="DO40" s="6">
        <f t="shared" si="69"/>
        <v>0</v>
      </c>
      <c r="DP40" s="6">
        <f t="shared" si="70"/>
        <v>0</v>
      </c>
    </row>
    <row r="41" spans="1:120" x14ac:dyDescent="0.2">
      <c r="A41" s="21">
        <v>50</v>
      </c>
      <c r="B41" s="21" t="s">
        <v>675</v>
      </c>
      <c r="C41" s="21">
        <v>50568</v>
      </c>
      <c r="D41" s="21" t="s">
        <v>700</v>
      </c>
      <c r="E41" s="21" t="s">
        <v>542</v>
      </c>
      <c r="F41" s="22" t="s">
        <v>662</v>
      </c>
      <c r="G41" s="4" t="s">
        <v>153</v>
      </c>
      <c r="H41" s="6">
        <v>1516732.69</v>
      </c>
      <c r="I41" s="6">
        <f t="shared" si="75"/>
        <v>4155.4320273972598</v>
      </c>
      <c r="J41" s="6">
        <v>1385311</v>
      </c>
      <c r="K41" s="6">
        <v>1591192.46</v>
      </c>
      <c r="L41" s="6">
        <f t="shared" si="1"/>
        <v>4347.5203825136614</v>
      </c>
      <c r="M41" s="6">
        <v>1303310</v>
      </c>
      <c r="N41" s="6">
        <v>1669801.66</v>
      </c>
      <c r="O41" s="6">
        <f t="shared" si="73"/>
        <v>4574.7990684931501</v>
      </c>
      <c r="P41" s="6">
        <v>1269987</v>
      </c>
      <c r="Q41" s="6">
        <v>856063.76</v>
      </c>
      <c r="R41" s="6">
        <f t="shared" si="74"/>
        <v>4729.634033149171</v>
      </c>
      <c r="S41" s="6">
        <v>1202024</v>
      </c>
      <c r="T41" s="6">
        <f t="shared" si="3"/>
        <v>1202024</v>
      </c>
      <c r="U41" s="6">
        <f t="shared" si="4"/>
        <v>3293.2164383561644</v>
      </c>
      <c r="V41" s="6">
        <v>1029151</v>
      </c>
      <c r="W41" s="6">
        <f t="shared" si="5"/>
        <v>1029151</v>
      </c>
      <c r="X41" s="6">
        <f t="shared" si="6"/>
        <v>2819.5917808219178</v>
      </c>
      <c r="Y41" s="6">
        <v>816417</v>
      </c>
      <c r="Z41" s="6">
        <f t="shared" si="7"/>
        <v>816417</v>
      </c>
      <c r="AA41" s="6">
        <f t="shared" si="8"/>
        <v>2236.7589041095889</v>
      </c>
      <c r="AB41" s="6">
        <v>627140</v>
      </c>
      <c r="AC41" s="6">
        <f t="shared" si="9"/>
        <v>627140</v>
      </c>
      <c r="AD41" s="6">
        <f t="shared" si="10"/>
        <v>1718.1917808219177</v>
      </c>
      <c r="AE41" s="6">
        <v>517984</v>
      </c>
      <c r="AF41" s="6">
        <f t="shared" si="11"/>
        <v>517984</v>
      </c>
      <c r="AG41" s="6">
        <f t="shared" si="12"/>
        <v>1419.1342465753426</v>
      </c>
      <c r="AH41" s="6">
        <v>413731</v>
      </c>
      <c r="AI41" s="6">
        <f t="shared" si="13"/>
        <v>413731</v>
      </c>
      <c r="AJ41" s="6">
        <f t="shared" si="14"/>
        <v>1133.509589041096</v>
      </c>
      <c r="AK41" s="6">
        <v>381900</v>
      </c>
      <c r="AL41" s="6">
        <f t="shared" si="15"/>
        <v>381900</v>
      </c>
      <c r="AM41" s="6">
        <f t="shared" si="16"/>
        <v>1046.3013698630136</v>
      </c>
      <c r="AN41" s="6">
        <v>294372</v>
      </c>
      <c r="AO41" s="6">
        <f t="shared" si="17"/>
        <v>294372</v>
      </c>
      <c r="AP41" s="6">
        <f t="shared" si="18"/>
        <v>806.49863013698632</v>
      </c>
      <c r="AQ41" s="6">
        <v>0</v>
      </c>
      <c r="AR41" s="6">
        <f t="shared" si="19"/>
        <v>0</v>
      </c>
      <c r="AS41" s="6">
        <f t="shared" si="20"/>
        <v>0</v>
      </c>
      <c r="AT41" s="6">
        <v>0</v>
      </c>
      <c r="AU41" s="6">
        <f t="shared" si="21"/>
        <v>0</v>
      </c>
      <c r="AV41" s="6">
        <f t="shared" si="22"/>
        <v>0</v>
      </c>
      <c r="AW41" s="6">
        <v>0</v>
      </c>
      <c r="AX41" s="6">
        <f t="shared" si="23"/>
        <v>0</v>
      </c>
      <c r="AY41" s="6">
        <f t="shared" si="24"/>
        <v>0</v>
      </c>
      <c r="AZ41" s="6">
        <v>0</v>
      </c>
      <c r="BA41" s="6">
        <f t="shared" si="25"/>
        <v>0</v>
      </c>
      <c r="BB41" s="6">
        <f t="shared" si="26"/>
        <v>0</v>
      </c>
      <c r="BC41" s="6">
        <v>0</v>
      </c>
      <c r="BD41" s="6">
        <f t="shared" si="27"/>
        <v>0</v>
      </c>
      <c r="BE41" s="6">
        <f t="shared" si="28"/>
        <v>0</v>
      </c>
      <c r="BF41" s="6">
        <v>0</v>
      </c>
      <c r="BG41" s="6">
        <f t="shared" si="29"/>
        <v>0</v>
      </c>
      <c r="BH41" s="6">
        <f t="shared" si="30"/>
        <v>0</v>
      </c>
      <c r="BI41" s="6">
        <v>0</v>
      </c>
      <c r="BJ41" s="6">
        <f t="shared" si="31"/>
        <v>0</v>
      </c>
      <c r="BK41" s="6">
        <f t="shared" si="32"/>
        <v>0</v>
      </c>
      <c r="BL41" s="6">
        <v>0</v>
      </c>
      <c r="BM41" s="6">
        <f t="shared" si="33"/>
        <v>0</v>
      </c>
      <c r="BN41" s="6">
        <f t="shared" si="34"/>
        <v>0</v>
      </c>
      <c r="BO41" s="6">
        <v>0</v>
      </c>
      <c r="BP41" s="6">
        <f t="shared" si="35"/>
        <v>0</v>
      </c>
      <c r="BQ41" s="6">
        <f t="shared" si="36"/>
        <v>0</v>
      </c>
      <c r="BR41" s="6">
        <v>0</v>
      </c>
      <c r="BS41" s="6">
        <f t="shared" si="37"/>
        <v>0</v>
      </c>
      <c r="BT41" s="6">
        <f t="shared" si="38"/>
        <v>0</v>
      </c>
      <c r="BU41" s="6">
        <v>0</v>
      </c>
      <c r="BV41" s="6">
        <f t="shared" si="39"/>
        <v>0</v>
      </c>
      <c r="BW41" s="6">
        <f t="shared" si="40"/>
        <v>0</v>
      </c>
      <c r="BX41" s="6">
        <v>0</v>
      </c>
      <c r="BY41" s="6">
        <f t="shared" si="41"/>
        <v>0</v>
      </c>
      <c r="BZ41" s="6">
        <f t="shared" si="42"/>
        <v>0</v>
      </c>
      <c r="CA41" s="6">
        <v>0</v>
      </c>
      <c r="CB41" s="6">
        <f t="shared" si="43"/>
        <v>0</v>
      </c>
      <c r="CC41" s="6">
        <f t="shared" si="44"/>
        <v>0</v>
      </c>
      <c r="CD41" s="6">
        <v>0</v>
      </c>
      <c r="CE41" s="6">
        <f t="shared" si="45"/>
        <v>0</v>
      </c>
      <c r="CF41" s="6">
        <f t="shared" si="46"/>
        <v>0</v>
      </c>
      <c r="CG41" s="6">
        <v>0</v>
      </c>
      <c r="CH41" s="6">
        <f t="shared" si="47"/>
        <v>0</v>
      </c>
      <c r="CI41" s="6">
        <f t="shared" si="48"/>
        <v>0</v>
      </c>
      <c r="CJ41" s="6">
        <v>0</v>
      </c>
      <c r="CK41" s="6">
        <f t="shared" si="49"/>
        <v>0</v>
      </c>
      <c r="CL41" s="6">
        <f t="shared" si="50"/>
        <v>0</v>
      </c>
      <c r="CM41" s="6">
        <v>0</v>
      </c>
      <c r="CN41" s="6">
        <f t="shared" si="51"/>
        <v>0</v>
      </c>
      <c r="CO41" s="6">
        <f t="shared" si="52"/>
        <v>0</v>
      </c>
      <c r="CP41" s="6">
        <v>0</v>
      </c>
      <c r="CQ41" s="6">
        <f t="shared" si="53"/>
        <v>0</v>
      </c>
      <c r="CR41" s="6">
        <f t="shared" si="54"/>
        <v>0</v>
      </c>
      <c r="CS41" s="6">
        <v>0</v>
      </c>
      <c r="CT41" s="6">
        <f t="shared" si="55"/>
        <v>0</v>
      </c>
      <c r="CU41" s="6">
        <f t="shared" si="56"/>
        <v>0</v>
      </c>
      <c r="CV41" s="6">
        <v>0</v>
      </c>
      <c r="CW41" s="6">
        <f t="shared" si="57"/>
        <v>0</v>
      </c>
      <c r="CX41" s="6">
        <f t="shared" si="58"/>
        <v>0</v>
      </c>
      <c r="CY41" s="6">
        <v>0</v>
      </c>
      <c r="CZ41" s="6">
        <f t="shared" si="59"/>
        <v>0</v>
      </c>
      <c r="DA41" s="6">
        <f t="shared" si="60"/>
        <v>0</v>
      </c>
      <c r="DB41" s="6">
        <v>0</v>
      </c>
      <c r="DC41" s="6">
        <f t="shared" si="61"/>
        <v>0</v>
      </c>
      <c r="DD41" s="6">
        <f t="shared" si="62"/>
        <v>0</v>
      </c>
      <c r="DE41" s="6">
        <v>0</v>
      </c>
      <c r="DF41" s="6">
        <f t="shared" si="63"/>
        <v>0</v>
      </c>
      <c r="DG41" s="6">
        <f t="shared" si="64"/>
        <v>0</v>
      </c>
      <c r="DH41" s="6">
        <v>0</v>
      </c>
      <c r="DI41" s="6">
        <f t="shared" si="65"/>
        <v>0</v>
      </c>
      <c r="DJ41" s="6">
        <f t="shared" si="66"/>
        <v>0</v>
      </c>
      <c r="DK41" s="6">
        <v>0</v>
      </c>
      <c r="DL41" s="6">
        <f t="shared" si="67"/>
        <v>0</v>
      </c>
      <c r="DM41" s="6">
        <f t="shared" si="68"/>
        <v>0</v>
      </c>
      <c r="DN41" s="6">
        <v>0</v>
      </c>
      <c r="DO41" s="6">
        <f t="shared" si="69"/>
        <v>0</v>
      </c>
      <c r="DP41" s="6">
        <f t="shared" si="70"/>
        <v>0</v>
      </c>
    </row>
    <row r="42" spans="1:120" x14ac:dyDescent="0.2">
      <c r="A42" s="21">
        <v>85</v>
      </c>
      <c r="B42" s="21" t="s">
        <v>612</v>
      </c>
      <c r="C42" s="21">
        <v>85410</v>
      </c>
      <c r="D42" s="21" t="s">
        <v>691</v>
      </c>
      <c r="E42" s="21" t="s">
        <v>638</v>
      </c>
      <c r="F42" s="22" t="s">
        <v>669</v>
      </c>
      <c r="G42" s="4" t="s">
        <v>154</v>
      </c>
      <c r="H42" s="6">
        <v>13350.46</v>
      </c>
      <c r="I42" s="6">
        <f t="shared" si="75"/>
        <v>36.576602739726027</v>
      </c>
      <c r="J42" s="6">
        <v>0</v>
      </c>
      <c r="K42" s="6">
        <v>826.79</v>
      </c>
      <c r="L42" s="6">
        <f t="shared" si="1"/>
        <v>2.2589890710382514</v>
      </c>
      <c r="M42" s="6">
        <v>76326.896599999993</v>
      </c>
      <c r="N42" s="6">
        <v>104.97</v>
      </c>
      <c r="O42" s="6">
        <f t="shared" si="73"/>
        <v>0.2875890410958904</v>
      </c>
      <c r="P42" s="6">
        <v>0</v>
      </c>
      <c r="Q42" s="6"/>
      <c r="R42" s="6"/>
      <c r="S42" s="6">
        <v>0</v>
      </c>
      <c r="T42" s="6">
        <f t="shared" si="3"/>
        <v>0</v>
      </c>
      <c r="U42" s="6">
        <f t="shared" si="4"/>
        <v>0</v>
      </c>
      <c r="V42" s="6">
        <v>0</v>
      </c>
      <c r="W42" s="6">
        <f t="shared" si="5"/>
        <v>0</v>
      </c>
      <c r="X42" s="6">
        <f t="shared" si="6"/>
        <v>0</v>
      </c>
      <c r="Y42" s="6">
        <v>0</v>
      </c>
      <c r="Z42" s="6">
        <f t="shared" si="7"/>
        <v>0</v>
      </c>
      <c r="AA42" s="6">
        <f t="shared" si="8"/>
        <v>0</v>
      </c>
      <c r="AB42" s="6">
        <v>0</v>
      </c>
      <c r="AC42" s="6">
        <f t="shared" si="9"/>
        <v>0</v>
      </c>
      <c r="AD42" s="6">
        <f t="shared" si="10"/>
        <v>0</v>
      </c>
      <c r="AE42" s="6">
        <v>0</v>
      </c>
      <c r="AF42" s="6">
        <f t="shared" si="11"/>
        <v>0</v>
      </c>
      <c r="AG42" s="6">
        <f t="shared" si="12"/>
        <v>0</v>
      </c>
      <c r="AH42" s="6">
        <v>0</v>
      </c>
      <c r="AI42" s="6">
        <f t="shared" si="13"/>
        <v>0</v>
      </c>
      <c r="AJ42" s="6">
        <f t="shared" si="14"/>
        <v>0</v>
      </c>
      <c r="AK42" s="6">
        <v>0</v>
      </c>
      <c r="AL42" s="6">
        <f t="shared" si="15"/>
        <v>0</v>
      </c>
      <c r="AM42" s="6">
        <f t="shared" si="16"/>
        <v>0</v>
      </c>
      <c r="AN42" s="6">
        <v>0</v>
      </c>
      <c r="AO42" s="6">
        <f t="shared" si="17"/>
        <v>0</v>
      </c>
      <c r="AP42" s="6">
        <f t="shared" si="18"/>
        <v>0</v>
      </c>
      <c r="AQ42" s="6">
        <v>0</v>
      </c>
      <c r="AR42" s="6">
        <f t="shared" si="19"/>
        <v>0</v>
      </c>
      <c r="AS42" s="6">
        <f t="shared" si="20"/>
        <v>0</v>
      </c>
      <c r="AT42" s="6">
        <v>0</v>
      </c>
      <c r="AU42" s="6">
        <f t="shared" si="21"/>
        <v>0</v>
      </c>
      <c r="AV42" s="6">
        <f t="shared" si="22"/>
        <v>0</v>
      </c>
      <c r="AW42" s="6">
        <v>0</v>
      </c>
      <c r="AX42" s="6">
        <f t="shared" si="23"/>
        <v>0</v>
      </c>
      <c r="AY42" s="6">
        <f t="shared" si="24"/>
        <v>0</v>
      </c>
      <c r="AZ42" s="6">
        <v>0</v>
      </c>
      <c r="BA42" s="6">
        <f t="shared" si="25"/>
        <v>0</v>
      </c>
      <c r="BB42" s="6">
        <f t="shared" si="26"/>
        <v>0</v>
      </c>
      <c r="BC42" s="6">
        <v>0</v>
      </c>
      <c r="BD42" s="6">
        <f t="shared" si="27"/>
        <v>0</v>
      </c>
      <c r="BE42" s="6">
        <f t="shared" si="28"/>
        <v>0</v>
      </c>
      <c r="BF42" s="6">
        <v>0</v>
      </c>
      <c r="BG42" s="6">
        <f t="shared" si="29"/>
        <v>0</v>
      </c>
      <c r="BH42" s="6">
        <f t="shared" si="30"/>
        <v>0</v>
      </c>
      <c r="BI42" s="6">
        <v>0</v>
      </c>
      <c r="BJ42" s="6">
        <f t="shared" si="31"/>
        <v>0</v>
      </c>
      <c r="BK42" s="6">
        <f t="shared" si="32"/>
        <v>0</v>
      </c>
      <c r="BL42" s="6">
        <v>0</v>
      </c>
      <c r="BM42" s="6">
        <f t="shared" si="33"/>
        <v>0</v>
      </c>
      <c r="BN42" s="6">
        <f t="shared" si="34"/>
        <v>0</v>
      </c>
      <c r="BO42" s="6">
        <v>0</v>
      </c>
      <c r="BP42" s="6">
        <f t="shared" si="35"/>
        <v>0</v>
      </c>
      <c r="BQ42" s="6">
        <f t="shared" si="36"/>
        <v>0</v>
      </c>
      <c r="BR42" s="6">
        <v>0</v>
      </c>
      <c r="BS42" s="6">
        <f t="shared" si="37"/>
        <v>0</v>
      </c>
      <c r="BT42" s="6">
        <f t="shared" si="38"/>
        <v>0</v>
      </c>
      <c r="BU42" s="6">
        <v>0</v>
      </c>
      <c r="BV42" s="6">
        <f t="shared" si="39"/>
        <v>0</v>
      </c>
      <c r="BW42" s="6">
        <f t="shared" si="40"/>
        <v>0</v>
      </c>
      <c r="BX42" s="6">
        <v>0</v>
      </c>
      <c r="BY42" s="6">
        <f t="shared" si="41"/>
        <v>0</v>
      </c>
      <c r="BZ42" s="6">
        <f t="shared" si="42"/>
        <v>0</v>
      </c>
      <c r="CA42" s="6">
        <v>0</v>
      </c>
      <c r="CB42" s="6">
        <f t="shared" si="43"/>
        <v>0</v>
      </c>
      <c r="CC42" s="6">
        <f t="shared" si="44"/>
        <v>0</v>
      </c>
      <c r="CD42" s="6">
        <v>0</v>
      </c>
      <c r="CE42" s="6">
        <f t="shared" si="45"/>
        <v>0</v>
      </c>
      <c r="CF42" s="6">
        <f t="shared" si="46"/>
        <v>0</v>
      </c>
      <c r="CG42" s="6">
        <v>0</v>
      </c>
      <c r="CH42" s="6">
        <f t="shared" si="47"/>
        <v>0</v>
      </c>
      <c r="CI42" s="6">
        <f t="shared" si="48"/>
        <v>0</v>
      </c>
      <c r="CJ42" s="6">
        <v>0</v>
      </c>
      <c r="CK42" s="6">
        <f t="shared" si="49"/>
        <v>0</v>
      </c>
      <c r="CL42" s="6">
        <f t="shared" si="50"/>
        <v>0</v>
      </c>
      <c r="CM42" s="6">
        <v>0</v>
      </c>
      <c r="CN42" s="6">
        <f t="shared" si="51"/>
        <v>0</v>
      </c>
      <c r="CO42" s="6">
        <f t="shared" si="52"/>
        <v>0</v>
      </c>
      <c r="CP42" s="6">
        <v>0</v>
      </c>
      <c r="CQ42" s="6">
        <f t="shared" si="53"/>
        <v>0</v>
      </c>
      <c r="CR42" s="6">
        <f t="shared" si="54"/>
        <v>0</v>
      </c>
      <c r="CS42" s="6">
        <v>0</v>
      </c>
      <c r="CT42" s="6">
        <f t="shared" si="55"/>
        <v>0</v>
      </c>
      <c r="CU42" s="6">
        <f t="shared" si="56"/>
        <v>0</v>
      </c>
      <c r="CV42" s="6">
        <v>0</v>
      </c>
      <c r="CW42" s="6">
        <f t="shared" si="57"/>
        <v>0</v>
      </c>
      <c r="CX42" s="6">
        <f t="shared" si="58"/>
        <v>0</v>
      </c>
      <c r="CY42" s="6">
        <v>0</v>
      </c>
      <c r="CZ42" s="6">
        <f t="shared" si="59"/>
        <v>0</v>
      </c>
      <c r="DA42" s="6">
        <f t="shared" si="60"/>
        <v>0</v>
      </c>
      <c r="DB42" s="6">
        <v>0</v>
      </c>
      <c r="DC42" s="6">
        <f t="shared" si="61"/>
        <v>0</v>
      </c>
      <c r="DD42" s="6">
        <f t="shared" si="62"/>
        <v>0</v>
      </c>
      <c r="DE42" s="6">
        <v>0</v>
      </c>
      <c r="DF42" s="6">
        <f t="shared" si="63"/>
        <v>0</v>
      </c>
      <c r="DG42" s="6">
        <f t="shared" si="64"/>
        <v>0</v>
      </c>
      <c r="DH42" s="6">
        <v>0</v>
      </c>
      <c r="DI42" s="6">
        <f t="shared" si="65"/>
        <v>0</v>
      </c>
      <c r="DJ42" s="6">
        <f t="shared" si="66"/>
        <v>0</v>
      </c>
      <c r="DK42" s="6">
        <v>0</v>
      </c>
      <c r="DL42" s="6">
        <f t="shared" si="67"/>
        <v>0</v>
      </c>
      <c r="DM42" s="6">
        <f t="shared" si="68"/>
        <v>0</v>
      </c>
      <c r="DN42" s="6">
        <v>0</v>
      </c>
      <c r="DO42" s="6">
        <f t="shared" si="69"/>
        <v>0</v>
      </c>
      <c r="DP42" s="6">
        <f t="shared" si="70"/>
        <v>0</v>
      </c>
    </row>
    <row r="43" spans="1:120" x14ac:dyDescent="0.2">
      <c r="A43" s="21">
        <v>85</v>
      </c>
      <c r="B43" s="21" t="s">
        <v>612</v>
      </c>
      <c r="C43" s="21">
        <v>85139</v>
      </c>
      <c r="D43" s="21" t="s">
        <v>702</v>
      </c>
      <c r="E43" s="21" t="s">
        <v>551</v>
      </c>
      <c r="F43" s="22" t="s">
        <v>662</v>
      </c>
      <c r="G43" s="4" t="s">
        <v>155</v>
      </c>
      <c r="H43" s="6">
        <v>38984.910000000003</v>
      </c>
      <c r="I43" s="6">
        <f t="shared" si="75"/>
        <v>106.80797260273974</v>
      </c>
      <c r="J43" s="6">
        <v>58681.106200000002</v>
      </c>
      <c r="K43" s="6"/>
      <c r="L43" s="6"/>
      <c r="M43" s="6">
        <v>92889.359700000001</v>
      </c>
      <c r="N43" s="6">
        <v>5942.31</v>
      </c>
      <c r="O43" s="6">
        <f t="shared" si="73"/>
        <v>16.280301369863015</v>
      </c>
      <c r="P43" s="6">
        <v>84734.224700000006</v>
      </c>
      <c r="Q43" s="6">
        <v>167</v>
      </c>
      <c r="R43" s="6">
        <f>Q43/181</f>
        <v>0.92265193370165743</v>
      </c>
      <c r="S43" s="6">
        <v>32893.113899999997</v>
      </c>
      <c r="T43" s="6">
        <f t="shared" si="3"/>
        <v>32893.113899999997</v>
      </c>
      <c r="U43" s="6">
        <f t="shared" si="4"/>
        <v>90.118120273972593</v>
      </c>
      <c r="V43" s="6">
        <v>0</v>
      </c>
      <c r="W43" s="6">
        <f t="shared" si="5"/>
        <v>0</v>
      </c>
      <c r="X43" s="6">
        <f t="shared" si="6"/>
        <v>0</v>
      </c>
      <c r="Y43" s="6">
        <v>0</v>
      </c>
      <c r="Z43" s="6">
        <f t="shared" si="7"/>
        <v>0</v>
      </c>
      <c r="AA43" s="6">
        <f t="shared" si="8"/>
        <v>0</v>
      </c>
      <c r="AB43" s="6">
        <v>0</v>
      </c>
      <c r="AC43" s="6">
        <f t="shared" si="9"/>
        <v>0</v>
      </c>
      <c r="AD43" s="6">
        <f t="shared" si="10"/>
        <v>0</v>
      </c>
      <c r="AE43" s="6">
        <v>0</v>
      </c>
      <c r="AF43" s="6">
        <f t="shared" si="11"/>
        <v>0</v>
      </c>
      <c r="AG43" s="6">
        <f t="shared" si="12"/>
        <v>0</v>
      </c>
      <c r="AH43" s="6">
        <v>0</v>
      </c>
      <c r="AI43" s="6">
        <f t="shared" si="13"/>
        <v>0</v>
      </c>
      <c r="AJ43" s="6">
        <f t="shared" si="14"/>
        <v>0</v>
      </c>
      <c r="AK43" s="6">
        <v>0</v>
      </c>
      <c r="AL43" s="6">
        <f t="shared" si="15"/>
        <v>0</v>
      </c>
      <c r="AM43" s="6">
        <f t="shared" si="16"/>
        <v>0</v>
      </c>
      <c r="AN43" s="6">
        <v>0</v>
      </c>
      <c r="AO43" s="6">
        <f t="shared" si="17"/>
        <v>0</v>
      </c>
      <c r="AP43" s="6">
        <f t="shared" si="18"/>
        <v>0</v>
      </c>
      <c r="AQ43" s="6">
        <v>0</v>
      </c>
      <c r="AR43" s="6">
        <f t="shared" si="19"/>
        <v>0</v>
      </c>
      <c r="AS43" s="6">
        <f t="shared" si="20"/>
        <v>0</v>
      </c>
      <c r="AT43" s="6">
        <v>0</v>
      </c>
      <c r="AU43" s="6">
        <f t="shared" si="21"/>
        <v>0</v>
      </c>
      <c r="AV43" s="6">
        <f t="shared" si="22"/>
        <v>0</v>
      </c>
      <c r="AW43" s="6">
        <v>0</v>
      </c>
      <c r="AX43" s="6">
        <f t="shared" si="23"/>
        <v>0</v>
      </c>
      <c r="AY43" s="6">
        <f t="shared" si="24"/>
        <v>0</v>
      </c>
      <c r="AZ43" s="6">
        <v>0</v>
      </c>
      <c r="BA43" s="6">
        <f t="shared" si="25"/>
        <v>0</v>
      </c>
      <c r="BB43" s="6">
        <f t="shared" si="26"/>
        <v>0</v>
      </c>
      <c r="BC43" s="6">
        <v>0</v>
      </c>
      <c r="BD43" s="6">
        <f t="shared" si="27"/>
        <v>0</v>
      </c>
      <c r="BE43" s="6">
        <f t="shared" si="28"/>
        <v>0</v>
      </c>
      <c r="BF43" s="6">
        <v>0</v>
      </c>
      <c r="BG43" s="6">
        <f t="shared" si="29"/>
        <v>0</v>
      </c>
      <c r="BH43" s="6">
        <f t="shared" si="30"/>
        <v>0</v>
      </c>
      <c r="BI43" s="6">
        <v>0</v>
      </c>
      <c r="BJ43" s="6">
        <f t="shared" si="31"/>
        <v>0</v>
      </c>
      <c r="BK43" s="6">
        <f t="shared" si="32"/>
        <v>0</v>
      </c>
      <c r="BL43" s="6">
        <v>0</v>
      </c>
      <c r="BM43" s="6">
        <f t="shared" si="33"/>
        <v>0</v>
      </c>
      <c r="BN43" s="6">
        <f t="shared" si="34"/>
        <v>0</v>
      </c>
      <c r="BO43" s="6">
        <v>0</v>
      </c>
      <c r="BP43" s="6">
        <f t="shared" si="35"/>
        <v>0</v>
      </c>
      <c r="BQ43" s="6">
        <f t="shared" si="36"/>
        <v>0</v>
      </c>
      <c r="BR43" s="6">
        <v>0</v>
      </c>
      <c r="BS43" s="6">
        <f t="shared" si="37"/>
        <v>0</v>
      </c>
      <c r="BT43" s="6">
        <f t="shared" si="38"/>
        <v>0</v>
      </c>
      <c r="BU43" s="6">
        <v>0</v>
      </c>
      <c r="BV43" s="6">
        <f t="shared" si="39"/>
        <v>0</v>
      </c>
      <c r="BW43" s="6">
        <f t="shared" si="40"/>
        <v>0</v>
      </c>
      <c r="BX43" s="6">
        <v>0</v>
      </c>
      <c r="BY43" s="6">
        <f t="shared" si="41"/>
        <v>0</v>
      </c>
      <c r="BZ43" s="6">
        <f t="shared" si="42"/>
        <v>0</v>
      </c>
      <c r="CA43" s="6">
        <v>0</v>
      </c>
      <c r="CB43" s="6">
        <f t="shared" si="43"/>
        <v>0</v>
      </c>
      <c r="CC43" s="6">
        <f t="shared" si="44"/>
        <v>0</v>
      </c>
      <c r="CD43" s="6">
        <v>0</v>
      </c>
      <c r="CE43" s="6">
        <f t="shared" si="45"/>
        <v>0</v>
      </c>
      <c r="CF43" s="6">
        <f t="shared" si="46"/>
        <v>0</v>
      </c>
      <c r="CG43" s="6">
        <v>0</v>
      </c>
      <c r="CH43" s="6">
        <f t="shared" si="47"/>
        <v>0</v>
      </c>
      <c r="CI43" s="6">
        <f t="shared" si="48"/>
        <v>0</v>
      </c>
      <c r="CJ43" s="6">
        <v>0</v>
      </c>
      <c r="CK43" s="6">
        <f t="shared" si="49"/>
        <v>0</v>
      </c>
      <c r="CL43" s="6">
        <f t="shared" si="50"/>
        <v>0</v>
      </c>
      <c r="CM43" s="6">
        <v>0</v>
      </c>
      <c r="CN43" s="6">
        <f t="shared" si="51"/>
        <v>0</v>
      </c>
      <c r="CO43" s="6">
        <f t="shared" si="52"/>
        <v>0</v>
      </c>
      <c r="CP43" s="6">
        <v>0</v>
      </c>
      <c r="CQ43" s="6">
        <f t="shared" si="53"/>
        <v>0</v>
      </c>
      <c r="CR43" s="6">
        <f t="shared" si="54"/>
        <v>0</v>
      </c>
      <c r="CS43" s="6">
        <v>0</v>
      </c>
      <c r="CT43" s="6">
        <f t="shared" si="55"/>
        <v>0</v>
      </c>
      <c r="CU43" s="6">
        <f t="shared" si="56"/>
        <v>0</v>
      </c>
      <c r="CV43" s="6">
        <v>0</v>
      </c>
      <c r="CW43" s="6">
        <f t="shared" si="57"/>
        <v>0</v>
      </c>
      <c r="CX43" s="6">
        <f t="shared" si="58"/>
        <v>0</v>
      </c>
      <c r="CY43" s="6">
        <v>0</v>
      </c>
      <c r="CZ43" s="6">
        <f t="shared" si="59"/>
        <v>0</v>
      </c>
      <c r="DA43" s="6">
        <f t="shared" si="60"/>
        <v>0</v>
      </c>
      <c r="DB43" s="6">
        <v>0</v>
      </c>
      <c r="DC43" s="6">
        <f t="shared" si="61"/>
        <v>0</v>
      </c>
      <c r="DD43" s="6">
        <f t="shared" si="62"/>
        <v>0</v>
      </c>
      <c r="DE43" s="6">
        <v>0</v>
      </c>
      <c r="DF43" s="6">
        <f t="shared" si="63"/>
        <v>0</v>
      </c>
      <c r="DG43" s="6">
        <f t="shared" si="64"/>
        <v>0</v>
      </c>
      <c r="DH43" s="6">
        <v>0</v>
      </c>
      <c r="DI43" s="6">
        <f t="shared" si="65"/>
        <v>0</v>
      </c>
      <c r="DJ43" s="6">
        <f t="shared" si="66"/>
        <v>0</v>
      </c>
      <c r="DK43" s="6">
        <v>0</v>
      </c>
      <c r="DL43" s="6">
        <f t="shared" si="67"/>
        <v>0</v>
      </c>
      <c r="DM43" s="6">
        <f t="shared" si="68"/>
        <v>0</v>
      </c>
      <c r="DN43" s="6">
        <v>0</v>
      </c>
      <c r="DO43" s="6">
        <f t="shared" si="69"/>
        <v>0</v>
      </c>
      <c r="DP43" s="6">
        <f t="shared" si="70"/>
        <v>0</v>
      </c>
    </row>
    <row r="44" spans="1:120" x14ac:dyDescent="0.2">
      <c r="A44" s="21">
        <v>85</v>
      </c>
      <c r="B44" s="21" t="s">
        <v>612</v>
      </c>
      <c r="C44" s="21">
        <v>85230</v>
      </c>
      <c r="D44" s="21" t="s">
        <v>614</v>
      </c>
      <c r="E44" s="21" t="s">
        <v>699</v>
      </c>
      <c r="F44" s="22" t="s">
        <v>662</v>
      </c>
      <c r="G44" s="4" t="s">
        <v>156</v>
      </c>
      <c r="H44" s="6">
        <v>75463.12</v>
      </c>
      <c r="I44" s="6">
        <f t="shared" si="75"/>
        <v>206.74827397260273</v>
      </c>
      <c r="J44" s="6">
        <v>109329.6652</v>
      </c>
      <c r="K44" s="6">
        <v>66445.070000000007</v>
      </c>
      <c r="L44" s="6">
        <f t="shared" ref="L44:L73" si="76">K44/366</f>
        <v>181.54390710382515</v>
      </c>
      <c r="M44" s="6">
        <v>94781.655299999999</v>
      </c>
      <c r="N44" s="6">
        <v>138975.48000000001</v>
      </c>
      <c r="O44" s="6">
        <f t="shared" si="73"/>
        <v>380.75473972602742</v>
      </c>
      <c r="P44" s="6">
        <v>105260</v>
      </c>
      <c r="Q44" s="6">
        <v>60812.71</v>
      </c>
      <c r="R44" s="6">
        <f>Q44/181</f>
        <v>335.98182320441987</v>
      </c>
      <c r="S44" s="6">
        <v>138548</v>
      </c>
      <c r="T44" s="6">
        <f t="shared" si="3"/>
        <v>138548</v>
      </c>
      <c r="U44" s="6">
        <f t="shared" si="4"/>
        <v>379.58356164383559</v>
      </c>
      <c r="V44" s="6">
        <v>83779</v>
      </c>
      <c r="W44" s="6">
        <f t="shared" si="5"/>
        <v>83779</v>
      </c>
      <c r="X44" s="6">
        <f t="shared" si="6"/>
        <v>229.53150684931506</v>
      </c>
      <c r="Y44" s="6">
        <v>45605</v>
      </c>
      <c r="Z44" s="6">
        <f t="shared" si="7"/>
        <v>45605</v>
      </c>
      <c r="AA44" s="6">
        <f t="shared" si="8"/>
        <v>124.94520547945206</v>
      </c>
      <c r="AB44" s="6">
        <v>28537</v>
      </c>
      <c r="AC44" s="6">
        <f t="shared" si="9"/>
        <v>28537</v>
      </c>
      <c r="AD44" s="6">
        <f t="shared" si="10"/>
        <v>78.183561643835617</v>
      </c>
      <c r="AE44" s="6">
        <v>0</v>
      </c>
      <c r="AF44" s="6">
        <f t="shared" si="11"/>
        <v>0</v>
      </c>
      <c r="AG44" s="6">
        <f t="shared" si="12"/>
        <v>0</v>
      </c>
      <c r="AH44" s="6">
        <v>0</v>
      </c>
      <c r="AI44" s="6">
        <f t="shared" si="13"/>
        <v>0</v>
      </c>
      <c r="AJ44" s="6">
        <f t="shared" si="14"/>
        <v>0</v>
      </c>
      <c r="AK44" s="6">
        <v>0</v>
      </c>
      <c r="AL44" s="6">
        <f t="shared" si="15"/>
        <v>0</v>
      </c>
      <c r="AM44" s="6">
        <f t="shared" si="16"/>
        <v>0</v>
      </c>
      <c r="AN44" s="6">
        <v>0</v>
      </c>
      <c r="AO44" s="6">
        <f t="shared" si="17"/>
        <v>0</v>
      </c>
      <c r="AP44" s="6">
        <f t="shared" si="18"/>
        <v>0</v>
      </c>
      <c r="AQ44" s="6">
        <v>0</v>
      </c>
      <c r="AR44" s="6">
        <f t="shared" si="19"/>
        <v>0</v>
      </c>
      <c r="AS44" s="6">
        <f t="shared" si="20"/>
        <v>0</v>
      </c>
      <c r="AT44" s="6">
        <v>0</v>
      </c>
      <c r="AU44" s="6">
        <f t="shared" si="21"/>
        <v>0</v>
      </c>
      <c r="AV44" s="6">
        <f t="shared" si="22"/>
        <v>0</v>
      </c>
      <c r="AW44" s="6">
        <v>0</v>
      </c>
      <c r="AX44" s="6">
        <f t="shared" si="23"/>
        <v>0</v>
      </c>
      <c r="AY44" s="6">
        <f t="shared" si="24"/>
        <v>0</v>
      </c>
      <c r="AZ44" s="6">
        <v>0</v>
      </c>
      <c r="BA44" s="6">
        <f t="shared" si="25"/>
        <v>0</v>
      </c>
      <c r="BB44" s="6">
        <f t="shared" si="26"/>
        <v>0</v>
      </c>
      <c r="BC44" s="6">
        <v>0</v>
      </c>
      <c r="BD44" s="6">
        <f t="shared" si="27"/>
        <v>0</v>
      </c>
      <c r="BE44" s="6">
        <f t="shared" si="28"/>
        <v>0</v>
      </c>
      <c r="BF44" s="6">
        <v>0</v>
      </c>
      <c r="BG44" s="6">
        <f t="shared" si="29"/>
        <v>0</v>
      </c>
      <c r="BH44" s="6">
        <f t="shared" si="30"/>
        <v>0</v>
      </c>
      <c r="BI44" s="6">
        <v>0</v>
      </c>
      <c r="BJ44" s="6">
        <f t="shared" si="31"/>
        <v>0</v>
      </c>
      <c r="BK44" s="6">
        <f t="shared" si="32"/>
        <v>0</v>
      </c>
      <c r="BL44" s="6">
        <v>0</v>
      </c>
      <c r="BM44" s="6">
        <f t="shared" si="33"/>
        <v>0</v>
      </c>
      <c r="BN44" s="6">
        <f t="shared" si="34"/>
        <v>0</v>
      </c>
      <c r="BO44" s="6">
        <v>0</v>
      </c>
      <c r="BP44" s="6">
        <f t="shared" si="35"/>
        <v>0</v>
      </c>
      <c r="BQ44" s="6">
        <f t="shared" si="36"/>
        <v>0</v>
      </c>
      <c r="BR44" s="6">
        <v>0</v>
      </c>
      <c r="BS44" s="6">
        <f t="shared" si="37"/>
        <v>0</v>
      </c>
      <c r="BT44" s="6">
        <f t="shared" si="38"/>
        <v>0</v>
      </c>
      <c r="BU44" s="6">
        <v>0</v>
      </c>
      <c r="BV44" s="6">
        <f t="shared" si="39"/>
        <v>0</v>
      </c>
      <c r="BW44" s="6">
        <f t="shared" si="40"/>
        <v>0</v>
      </c>
      <c r="BX44" s="6">
        <v>0</v>
      </c>
      <c r="BY44" s="6">
        <f t="shared" si="41"/>
        <v>0</v>
      </c>
      <c r="BZ44" s="6">
        <f t="shared" si="42"/>
        <v>0</v>
      </c>
      <c r="CA44" s="6">
        <v>0</v>
      </c>
      <c r="CB44" s="6">
        <f t="shared" si="43"/>
        <v>0</v>
      </c>
      <c r="CC44" s="6">
        <f t="shared" si="44"/>
        <v>0</v>
      </c>
      <c r="CD44" s="6">
        <v>0</v>
      </c>
      <c r="CE44" s="6">
        <f t="shared" si="45"/>
        <v>0</v>
      </c>
      <c r="CF44" s="6">
        <f t="shared" si="46"/>
        <v>0</v>
      </c>
      <c r="CG44" s="6">
        <v>0</v>
      </c>
      <c r="CH44" s="6">
        <f t="shared" si="47"/>
        <v>0</v>
      </c>
      <c r="CI44" s="6">
        <f t="shared" si="48"/>
        <v>0</v>
      </c>
      <c r="CJ44" s="6">
        <v>0</v>
      </c>
      <c r="CK44" s="6">
        <f t="shared" si="49"/>
        <v>0</v>
      </c>
      <c r="CL44" s="6">
        <f t="shared" si="50"/>
        <v>0</v>
      </c>
      <c r="CM44" s="6">
        <v>0</v>
      </c>
      <c r="CN44" s="6">
        <f t="shared" si="51"/>
        <v>0</v>
      </c>
      <c r="CO44" s="6">
        <f t="shared" si="52"/>
        <v>0</v>
      </c>
      <c r="CP44" s="6">
        <v>0</v>
      </c>
      <c r="CQ44" s="6">
        <f t="shared" si="53"/>
        <v>0</v>
      </c>
      <c r="CR44" s="6">
        <f t="shared" si="54"/>
        <v>0</v>
      </c>
      <c r="CS44" s="6">
        <v>0</v>
      </c>
      <c r="CT44" s="6">
        <f t="shared" si="55"/>
        <v>0</v>
      </c>
      <c r="CU44" s="6">
        <f t="shared" si="56"/>
        <v>0</v>
      </c>
      <c r="CV44" s="6">
        <v>0</v>
      </c>
      <c r="CW44" s="6">
        <f t="shared" si="57"/>
        <v>0</v>
      </c>
      <c r="CX44" s="6">
        <f t="shared" si="58"/>
        <v>0</v>
      </c>
      <c r="CY44" s="6">
        <v>0</v>
      </c>
      <c r="CZ44" s="6">
        <f t="shared" si="59"/>
        <v>0</v>
      </c>
      <c r="DA44" s="6">
        <f t="shared" si="60"/>
        <v>0</v>
      </c>
      <c r="DB44" s="6">
        <v>0</v>
      </c>
      <c r="DC44" s="6">
        <f t="shared" si="61"/>
        <v>0</v>
      </c>
      <c r="DD44" s="6">
        <f t="shared" si="62"/>
        <v>0</v>
      </c>
      <c r="DE44" s="6">
        <v>0</v>
      </c>
      <c r="DF44" s="6">
        <f t="shared" si="63"/>
        <v>0</v>
      </c>
      <c r="DG44" s="6">
        <f t="shared" si="64"/>
        <v>0</v>
      </c>
      <c r="DH44" s="6">
        <v>0</v>
      </c>
      <c r="DI44" s="6">
        <f t="shared" si="65"/>
        <v>0</v>
      </c>
      <c r="DJ44" s="6">
        <f t="shared" si="66"/>
        <v>0</v>
      </c>
      <c r="DK44" s="6">
        <v>0</v>
      </c>
      <c r="DL44" s="6">
        <f t="shared" si="67"/>
        <v>0</v>
      </c>
      <c r="DM44" s="6">
        <f t="shared" si="68"/>
        <v>0</v>
      </c>
      <c r="DN44" s="6">
        <v>0</v>
      </c>
      <c r="DO44" s="6">
        <f t="shared" si="69"/>
        <v>0</v>
      </c>
      <c r="DP44" s="6">
        <f t="shared" si="70"/>
        <v>0</v>
      </c>
    </row>
    <row r="45" spans="1:120" x14ac:dyDescent="0.2">
      <c r="A45" s="21">
        <v>85</v>
      </c>
      <c r="B45" s="21" t="s">
        <v>612</v>
      </c>
      <c r="C45" s="21">
        <v>85162</v>
      </c>
      <c r="D45" s="21" t="s">
        <v>703</v>
      </c>
      <c r="E45" s="21" t="s">
        <v>542</v>
      </c>
      <c r="F45" s="22" t="s">
        <v>669</v>
      </c>
      <c r="G45" s="4" t="s">
        <v>157</v>
      </c>
      <c r="H45" s="6">
        <v>126353.49</v>
      </c>
      <c r="I45" s="6">
        <f t="shared" si="75"/>
        <v>346.17394520547947</v>
      </c>
      <c r="J45" s="6">
        <v>65960</v>
      </c>
      <c r="K45" s="6">
        <v>72816.17</v>
      </c>
      <c r="L45" s="6">
        <f t="shared" si="76"/>
        <v>198.95128415300545</v>
      </c>
      <c r="M45" s="6">
        <v>30178</v>
      </c>
      <c r="N45" s="6">
        <v>28108.2</v>
      </c>
      <c r="O45" s="6">
        <f t="shared" si="73"/>
        <v>77.008767123287669</v>
      </c>
      <c r="P45" s="6">
        <v>16949</v>
      </c>
      <c r="Q45" s="6"/>
      <c r="R45" s="6"/>
      <c r="S45" s="6">
        <v>0</v>
      </c>
      <c r="T45" s="6">
        <f t="shared" si="3"/>
        <v>0</v>
      </c>
      <c r="U45" s="6">
        <f t="shared" si="4"/>
        <v>0</v>
      </c>
      <c r="V45" s="6">
        <v>0</v>
      </c>
      <c r="W45" s="6">
        <f t="shared" si="5"/>
        <v>0</v>
      </c>
      <c r="X45" s="6">
        <f t="shared" si="6"/>
        <v>0</v>
      </c>
      <c r="Y45" s="6">
        <v>0</v>
      </c>
      <c r="Z45" s="6">
        <f t="shared" si="7"/>
        <v>0</v>
      </c>
      <c r="AA45" s="6">
        <f t="shared" si="8"/>
        <v>0</v>
      </c>
      <c r="AB45" s="6">
        <v>0</v>
      </c>
      <c r="AC45" s="6">
        <f t="shared" si="9"/>
        <v>0</v>
      </c>
      <c r="AD45" s="6">
        <f t="shared" si="10"/>
        <v>0</v>
      </c>
      <c r="AE45" s="6">
        <v>0</v>
      </c>
      <c r="AF45" s="6">
        <f t="shared" si="11"/>
        <v>0</v>
      </c>
      <c r="AG45" s="6">
        <f t="shared" si="12"/>
        <v>0</v>
      </c>
      <c r="AH45" s="6">
        <v>0</v>
      </c>
      <c r="AI45" s="6">
        <f t="shared" si="13"/>
        <v>0</v>
      </c>
      <c r="AJ45" s="6">
        <f t="shared" si="14"/>
        <v>0</v>
      </c>
      <c r="AK45" s="6">
        <v>0</v>
      </c>
      <c r="AL45" s="6">
        <f t="shared" si="15"/>
        <v>0</v>
      </c>
      <c r="AM45" s="6">
        <f t="shared" si="16"/>
        <v>0</v>
      </c>
      <c r="AN45" s="6">
        <v>0</v>
      </c>
      <c r="AO45" s="6">
        <f t="shared" si="17"/>
        <v>0</v>
      </c>
      <c r="AP45" s="6">
        <f t="shared" si="18"/>
        <v>0</v>
      </c>
      <c r="AQ45" s="6">
        <v>0</v>
      </c>
      <c r="AR45" s="6">
        <f t="shared" si="19"/>
        <v>0</v>
      </c>
      <c r="AS45" s="6">
        <f t="shared" si="20"/>
        <v>0</v>
      </c>
      <c r="AT45" s="6">
        <v>0</v>
      </c>
      <c r="AU45" s="6">
        <f t="shared" si="21"/>
        <v>0</v>
      </c>
      <c r="AV45" s="6">
        <f t="shared" si="22"/>
        <v>0</v>
      </c>
      <c r="AW45" s="6">
        <v>0</v>
      </c>
      <c r="AX45" s="6">
        <f t="shared" si="23"/>
        <v>0</v>
      </c>
      <c r="AY45" s="6">
        <f t="shared" si="24"/>
        <v>0</v>
      </c>
      <c r="AZ45" s="6">
        <v>0</v>
      </c>
      <c r="BA45" s="6">
        <f t="shared" si="25"/>
        <v>0</v>
      </c>
      <c r="BB45" s="6">
        <f t="shared" si="26"/>
        <v>0</v>
      </c>
      <c r="BC45" s="6">
        <v>0</v>
      </c>
      <c r="BD45" s="6">
        <f t="shared" si="27"/>
        <v>0</v>
      </c>
      <c r="BE45" s="6">
        <f t="shared" si="28"/>
        <v>0</v>
      </c>
      <c r="BF45" s="6">
        <v>0</v>
      </c>
      <c r="BG45" s="6">
        <f t="shared" si="29"/>
        <v>0</v>
      </c>
      <c r="BH45" s="6">
        <f t="shared" si="30"/>
        <v>0</v>
      </c>
      <c r="BI45" s="6">
        <v>0</v>
      </c>
      <c r="BJ45" s="6">
        <f t="shared" si="31"/>
        <v>0</v>
      </c>
      <c r="BK45" s="6">
        <f t="shared" si="32"/>
        <v>0</v>
      </c>
      <c r="BL45" s="6">
        <v>0</v>
      </c>
      <c r="BM45" s="6">
        <f t="shared" si="33"/>
        <v>0</v>
      </c>
      <c r="BN45" s="6">
        <f t="shared" si="34"/>
        <v>0</v>
      </c>
      <c r="BO45" s="6">
        <v>0</v>
      </c>
      <c r="BP45" s="6">
        <f t="shared" si="35"/>
        <v>0</v>
      </c>
      <c r="BQ45" s="6">
        <f t="shared" si="36"/>
        <v>0</v>
      </c>
      <c r="BR45" s="6">
        <v>0</v>
      </c>
      <c r="BS45" s="6">
        <f t="shared" si="37"/>
        <v>0</v>
      </c>
      <c r="BT45" s="6">
        <f t="shared" si="38"/>
        <v>0</v>
      </c>
      <c r="BU45" s="6">
        <v>0</v>
      </c>
      <c r="BV45" s="6">
        <f t="shared" si="39"/>
        <v>0</v>
      </c>
      <c r="BW45" s="6">
        <f t="shared" si="40"/>
        <v>0</v>
      </c>
      <c r="BX45" s="6">
        <v>0</v>
      </c>
      <c r="BY45" s="6">
        <f t="shared" si="41"/>
        <v>0</v>
      </c>
      <c r="BZ45" s="6">
        <f t="shared" si="42"/>
        <v>0</v>
      </c>
      <c r="CA45" s="6">
        <v>0</v>
      </c>
      <c r="CB45" s="6">
        <f t="shared" si="43"/>
        <v>0</v>
      </c>
      <c r="CC45" s="6">
        <f t="shared" si="44"/>
        <v>0</v>
      </c>
      <c r="CD45" s="6">
        <v>0</v>
      </c>
      <c r="CE45" s="6">
        <f t="shared" si="45"/>
        <v>0</v>
      </c>
      <c r="CF45" s="6">
        <f t="shared" si="46"/>
        <v>0</v>
      </c>
      <c r="CG45" s="6">
        <v>0</v>
      </c>
      <c r="CH45" s="6">
        <f t="shared" si="47"/>
        <v>0</v>
      </c>
      <c r="CI45" s="6">
        <f t="shared" si="48"/>
        <v>0</v>
      </c>
      <c r="CJ45" s="6">
        <v>0</v>
      </c>
      <c r="CK45" s="6">
        <f t="shared" si="49"/>
        <v>0</v>
      </c>
      <c r="CL45" s="6">
        <f t="shared" si="50"/>
        <v>0</v>
      </c>
      <c r="CM45" s="6">
        <v>0</v>
      </c>
      <c r="CN45" s="6">
        <f t="shared" si="51"/>
        <v>0</v>
      </c>
      <c r="CO45" s="6">
        <f t="shared" si="52"/>
        <v>0</v>
      </c>
      <c r="CP45" s="6">
        <v>0</v>
      </c>
      <c r="CQ45" s="6">
        <f t="shared" si="53"/>
        <v>0</v>
      </c>
      <c r="CR45" s="6">
        <f t="shared" si="54"/>
        <v>0</v>
      </c>
      <c r="CS45" s="6">
        <v>0</v>
      </c>
      <c r="CT45" s="6">
        <f t="shared" si="55"/>
        <v>0</v>
      </c>
      <c r="CU45" s="6">
        <f t="shared" si="56"/>
        <v>0</v>
      </c>
      <c r="CV45" s="6">
        <v>0</v>
      </c>
      <c r="CW45" s="6">
        <f t="shared" si="57"/>
        <v>0</v>
      </c>
      <c r="CX45" s="6">
        <f t="shared" si="58"/>
        <v>0</v>
      </c>
      <c r="CY45" s="6">
        <v>0</v>
      </c>
      <c r="CZ45" s="6">
        <f t="shared" si="59"/>
        <v>0</v>
      </c>
      <c r="DA45" s="6">
        <f t="shared" si="60"/>
        <v>0</v>
      </c>
      <c r="DB45" s="6">
        <v>0</v>
      </c>
      <c r="DC45" s="6">
        <f t="shared" si="61"/>
        <v>0</v>
      </c>
      <c r="DD45" s="6">
        <f t="shared" si="62"/>
        <v>0</v>
      </c>
      <c r="DE45" s="6">
        <v>0</v>
      </c>
      <c r="DF45" s="6">
        <f t="shared" si="63"/>
        <v>0</v>
      </c>
      <c r="DG45" s="6">
        <f t="shared" si="64"/>
        <v>0</v>
      </c>
      <c r="DH45" s="6">
        <v>0</v>
      </c>
      <c r="DI45" s="6">
        <f t="shared" si="65"/>
        <v>0</v>
      </c>
      <c r="DJ45" s="6">
        <f t="shared" si="66"/>
        <v>0</v>
      </c>
      <c r="DK45" s="6">
        <v>0</v>
      </c>
      <c r="DL45" s="6">
        <f t="shared" si="67"/>
        <v>0</v>
      </c>
      <c r="DM45" s="6">
        <f t="shared" si="68"/>
        <v>0</v>
      </c>
      <c r="DN45" s="6">
        <v>0</v>
      </c>
      <c r="DO45" s="6">
        <f t="shared" si="69"/>
        <v>0</v>
      </c>
      <c r="DP45" s="6">
        <f t="shared" si="70"/>
        <v>0</v>
      </c>
    </row>
    <row r="46" spans="1:120" x14ac:dyDescent="0.2">
      <c r="A46" s="21">
        <v>81</v>
      </c>
      <c r="B46" s="21" t="s">
        <v>132</v>
      </c>
      <c r="C46" s="21">
        <v>81065</v>
      </c>
      <c r="D46" s="21" t="s">
        <v>682</v>
      </c>
      <c r="E46" s="21" t="s">
        <v>683</v>
      </c>
      <c r="F46" s="22" t="s">
        <v>662</v>
      </c>
      <c r="G46" s="4" t="s">
        <v>158</v>
      </c>
      <c r="H46" s="6">
        <v>216250.51</v>
      </c>
      <c r="I46" s="6">
        <f t="shared" si="75"/>
        <v>592.46715068493154</v>
      </c>
      <c r="J46" s="6">
        <v>190120</v>
      </c>
      <c r="K46" s="6">
        <v>161371.23000000001</v>
      </c>
      <c r="L46" s="6">
        <f t="shared" si="76"/>
        <v>440.90500000000003</v>
      </c>
      <c r="M46" s="6">
        <v>188487</v>
      </c>
      <c r="N46" s="6">
        <v>156970.51</v>
      </c>
      <c r="O46" s="6">
        <f t="shared" si="73"/>
        <v>430.05619178082196</v>
      </c>
      <c r="P46" s="6">
        <v>182361</v>
      </c>
      <c r="Q46" s="6">
        <v>101682.78</v>
      </c>
      <c r="R46" s="6">
        <f>Q46/181</f>
        <v>561.78331491712709</v>
      </c>
      <c r="S46" s="6">
        <v>132635</v>
      </c>
      <c r="T46" s="6">
        <f t="shared" si="3"/>
        <v>132635</v>
      </c>
      <c r="U46" s="6">
        <f t="shared" si="4"/>
        <v>363.38356164383561</v>
      </c>
      <c r="V46" s="6">
        <v>104122</v>
      </c>
      <c r="W46" s="6">
        <f t="shared" si="5"/>
        <v>104122</v>
      </c>
      <c r="X46" s="6">
        <f t="shared" si="6"/>
        <v>285.26575342465753</v>
      </c>
      <c r="Y46" s="6">
        <v>85072</v>
      </c>
      <c r="Z46" s="6">
        <f t="shared" si="7"/>
        <v>85072</v>
      </c>
      <c r="AA46" s="6">
        <f t="shared" si="8"/>
        <v>233.07397260273973</v>
      </c>
      <c r="AB46" s="6">
        <v>62017</v>
      </c>
      <c r="AC46" s="6">
        <f t="shared" si="9"/>
        <v>62017</v>
      </c>
      <c r="AD46" s="6">
        <f t="shared" si="10"/>
        <v>169.9095890410959</v>
      </c>
      <c r="AE46" s="6">
        <v>0</v>
      </c>
      <c r="AF46" s="6">
        <f t="shared" si="11"/>
        <v>0</v>
      </c>
      <c r="AG46" s="6">
        <f t="shared" si="12"/>
        <v>0</v>
      </c>
      <c r="AH46" s="6">
        <v>0</v>
      </c>
      <c r="AI46" s="6">
        <f t="shared" si="13"/>
        <v>0</v>
      </c>
      <c r="AJ46" s="6">
        <f t="shared" si="14"/>
        <v>0</v>
      </c>
      <c r="AK46" s="6">
        <v>0</v>
      </c>
      <c r="AL46" s="6">
        <f t="shared" si="15"/>
        <v>0</v>
      </c>
      <c r="AM46" s="6">
        <f t="shared" si="16"/>
        <v>0</v>
      </c>
      <c r="AN46" s="6">
        <v>0</v>
      </c>
      <c r="AO46" s="6">
        <f t="shared" si="17"/>
        <v>0</v>
      </c>
      <c r="AP46" s="6">
        <f t="shared" si="18"/>
        <v>0</v>
      </c>
      <c r="AQ46" s="6">
        <v>0</v>
      </c>
      <c r="AR46" s="6">
        <f t="shared" si="19"/>
        <v>0</v>
      </c>
      <c r="AS46" s="6">
        <f t="shared" si="20"/>
        <v>0</v>
      </c>
      <c r="AT46" s="6">
        <v>0</v>
      </c>
      <c r="AU46" s="6">
        <f t="shared" si="21"/>
        <v>0</v>
      </c>
      <c r="AV46" s="6">
        <f t="shared" si="22"/>
        <v>0</v>
      </c>
      <c r="AW46" s="6">
        <v>0</v>
      </c>
      <c r="AX46" s="6">
        <f t="shared" si="23"/>
        <v>0</v>
      </c>
      <c r="AY46" s="6">
        <f t="shared" si="24"/>
        <v>0</v>
      </c>
      <c r="AZ46" s="6">
        <v>0</v>
      </c>
      <c r="BA46" s="6">
        <f t="shared" si="25"/>
        <v>0</v>
      </c>
      <c r="BB46" s="6">
        <f t="shared" si="26"/>
        <v>0</v>
      </c>
      <c r="BC46" s="6">
        <v>0</v>
      </c>
      <c r="BD46" s="6">
        <f t="shared" si="27"/>
        <v>0</v>
      </c>
      <c r="BE46" s="6">
        <f t="shared" si="28"/>
        <v>0</v>
      </c>
      <c r="BF46" s="6">
        <v>0</v>
      </c>
      <c r="BG46" s="6">
        <f t="shared" si="29"/>
        <v>0</v>
      </c>
      <c r="BH46" s="6">
        <f t="shared" si="30"/>
        <v>0</v>
      </c>
      <c r="BI46" s="6">
        <v>0</v>
      </c>
      <c r="BJ46" s="6">
        <f t="shared" si="31"/>
        <v>0</v>
      </c>
      <c r="BK46" s="6">
        <f t="shared" si="32"/>
        <v>0</v>
      </c>
      <c r="BL46" s="6">
        <v>0</v>
      </c>
      <c r="BM46" s="6">
        <f t="shared" si="33"/>
        <v>0</v>
      </c>
      <c r="BN46" s="6">
        <f t="shared" si="34"/>
        <v>0</v>
      </c>
      <c r="BO46" s="6">
        <v>0</v>
      </c>
      <c r="BP46" s="6">
        <f t="shared" si="35"/>
        <v>0</v>
      </c>
      <c r="BQ46" s="6">
        <f t="shared" si="36"/>
        <v>0</v>
      </c>
      <c r="BR46" s="6">
        <v>0</v>
      </c>
      <c r="BS46" s="6">
        <f t="shared" si="37"/>
        <v>0</v>
      </c>
      <c r="BT46" s="6">
        <f t="shared" si="38"/>
        <v>0</v>
      </c>
      <c r="BU46" s="6">
        <v>0</v>
      </c>
      <c r="BV46" s="6">
        <f t="shared" si="39"/>
        <v>0</v>
      </c>
      <c r="BW46" s="6">
        <f t="shared" si="40"/>
        <v>0</v>
      </c>
      <c r="BX46" s="6">
        <v>0</v>
      </c>
      <c r="BY46" s="6">
        <f t="shared" si="41"/>
        <v>0</v>
      </c>
      <c r="BZ46" s="6">
        <f t="shared" si="42"/>
        <v>0</v>
      </c>
      <c r="CA46" s="6">
        <v>0</v>
      </c>
      <c r="CB46" s="6">
        <f t="shared" si="43"/>
        <v>0</v>
      </c>
      <c r="CC46" s="6">
        <f t="shared" si="44"/>
        <v>0</v>
      </c>
      <c r="CD46" s="6">
        <v>0</v>
      </c>
      <c r="CE46" s="6">
        <f t="shared" si="45"/>
        <v>0</v>
      </c>
      <c r="CF46" s="6">
        <f t="shared" si="46"/>
        <v>0</v>
      </c>
      <c r="CG46" s="6">
        <v>0</v>
      </c>
      <c r="CH46" s="6">
        <f t="shared" si="47"/>
        <v>0</v>
      </c>
      <c r="CI46" s="6">
        <f t="shared" si="48"/>
        <v>0</v>
      </c>
      <c r="CJ46" s="6">
        <v>0</v>
      </c>
      <c r="CK46" s="6">
        <f t="shared" si="49"/>
        <v>0</v>
      </c>
      <c r="CL46" s="6">
        <f t="shared" si="50"/>
        <v>0</v>
      </c>
      <c r="CM46" s="6">
        <v>0</v>
      </c>
      <c r="CN46" s="6">
        <f t="shared" si="51"/>
        <v>0</v>
      </c>
      <c r="CO46" s="6">
        <f t="shared" si="52"/>
        <v>0</v>
      </c>
      <c r="CP46" s="6">
        <v>0</v>
      </c>
      <c r="CQ46" s="6">
        <f t="shared" si="53"/>
        <v>0</v>
      </c>
      <c r="CR46" s="6">
        <f t="shared" si="54"/>
        <v>0</v>
      </c>
      <c r="CS46" s="6">
        <v>0</v>
      </c>
      <c r="CT46" s="6">
        <f t="shared" si="55"/>
        <v>0</v>
      </c>
      <c r="CU46" s="6">
        <f t="shared" si="56"/>
        <v>0</v>
      </c>
      <c r="CV46" s="6">
        <v>0</v>
      </c>
      <c r="CW46" s="6">
        <f t="shared" si="57"/>
        <v>0</v>
      </c>
      <c r="CX46" s="6">
        <f t="shared" si="58"/>
        <v>0</v>
      </c>
      <c r="CY46" s="6">
        <v>0</v>
      </c>
      <c r="CZ46" s="6">
        <f t="shared" si="59"/>
        <v>0</v>
      </c>
      <c r="DA46" s="6">
        <f t="shared" si="60"/>
        <v>0</v>
      </c>
      <c r="DB46" s="6">
        <v>0</v>
      </c>
      <c r="DC46" s="6">
        <f t="shared" si="61"/>
        <v>0</v>
      </c>
      <c r="DD46" s="6">
        <f t="shared" si="62"/>
        <v>0</v>
      </c>
      <c r="DE46" s="6">
        <v>0</v>
      </c>
      <c r="DF46" s="6">
        <f t="shared" si="63"/>
        <v>0</v>
      </c>
      <c r="DG46" s="6">
        <f t="shared" si="64"/>
        <v>0</v>
      </c>
      <c r="DH46" s="6">
        <v>0</v>
      </c>
      <c r="DI46" s="6">
        <f t="shared" si="65"/>
        <v>0</v>
      </c>
      <c r="DJ46" s="6">
        <f t="shared" si="66"/>
        <v>0</v>
      </c>
      <c r="DK46" s="6">
        <v>0</v>
      </c>
      <c r="DL46" s="6">
        <f t="shared" si="67"/>
        <v>0</v>
      </c>
      <c r="DM46" s="6">
        <f t="shared" si="68"/>
        <v>0</v>
      </c>
      <c r="DN46" s="6">
        <v>0</v>
      </c>
      <c r="DO46" s="6">
        <f t="shared" si="69"/>
        <v>0</v>
      </c>
      <c r="DP46" s="6">
        <f t="shared" si="70"/>
        <v>0</v>
      </c>
    </row>
    <row r="47" spans="1:120" x14ac:dyDescent="0.2">
      <c r="A47" s="21">
        <v>50</v>
      </c>
      <c r="B47" s="21" t="s">
        <v>675</v>
      </c>
      <c r="C47" s="21">
        <v>50124</v>
      </c>
      <c r="D47" s="21" t="s">
        <v>704</v>
      </c>
      <c r="E47" s="21" t="s">
        <v>542</v>
      </c>
      <c r="F47" s="22" t="s">
        <v>669</v>
      </c>
      <c r="G47" s="4" t="s">
        <v>159</v>
      </c>
      <c r="H47" s="6">
        <v>228333.96</v>
      </c>
      <c r="I47" s="6">
        <f t="shared" si="75"/>
        <v>625.57249315068486</v>
      </c>
      <c r="J47" s="6">
        <v>176551</v>
      </c>
      <c r="K47" s="6">
        <v>176261.61</v>
      </c>
      <c r="L47" s="6">
        <f t="shared" si="76"/>
        <v>481.58909836065573</v>
      </c>
      <c r="M47" s="6">
        <v>120722</v>
      </c>
      <c r="N47" s="6">
        <v>178645.78</v>
      </c>
      <c r="O47" s="6">
        <f t="shared" si="73"/>
        <v>489.44049315068492</v>
      </c>
      <c r="P47" s="6">
        <v>83205</v>
      </c>
      <c r="Q47" s="6">
        <v>86612.82</v>
      </c>
      <c r="R47" s="6">
        <f>Q47/181</f>
        <v>478.52386740331497</v>
      </c>
      <c r="S47" s="6">
        <v>57608</v>
      </c>
      <c r="T47" s="6">
        <f t="shared" si="3"/>
        <v>57608</v>
      </c>
      <c r="U47" s="6">
        <f t="shared" si="4"/>
        <v>157.83013698630137</v>
      </c>
      <c r="V47" s="6">
        <v>38155</v>
      </c>
      <c r="W47" s="6">
        <f t="shared" si="5"/>
        <v>38155</v>
      </c>
      <c r="X47" s="6">
        <f t="shared" si="6"/>
        <v>104.53424657534246</v>
      </c>
      <c r="Y47" s="6">
        <v>23541</v>
      </c>
      <c r="Z47" s="6">
        <f t="shared" si="7"/>
        <v>23541</v>
      </c>
      <c r="AA47" s="6">
        <f t="shared" si="8"/>
        <v>64.495890410958907</v>
      </c>
      <c r="AB47" s="6">
        <v>12817</v>
      </c>
      <c r="AC47" s="6">
        <f t="shared" si="9"/>
        <v>12817</v>
      </c>
      <c r="AD47" s="6">
        <f t="shared" si="10"/>
        <v>35.115068493150687</v>
      </c>
      <c r="AE47" s="6">
        <v>47710</v>
      </c>
      <c r="AF47" s="6">
        <f t="shared" si="11"/>
        <v>47710</v>
      </c>
      <c r="AG47" s="6">
        <f t="shared" si="12"/>
        <v>130.7123287671233</v>
      </c>
      <c r="AH47" s="6">
        <v>0</v>
      </c>
      <c r="AI47" s="6">
        <f t="shared" si="13"/>
        <v>0</v>
      </c>
      <c r="AJ47" s="6">
        <f t="shared" si="14"/>
        <v>0</v>
      </c>
      <c r="AK47" s="6">
        <v>0</v>
      </c>
      <c r="AL47" s="6">
        <f t="shared" si="15"/>
        <v>0</v>
      </c>
      <c r="AM47" s="6">
        <f t="shared" si="16"/>
        <v>0</v>
      </c>
      <c r="AN47" s="6">
        <v>0</v>
      </c>
      <c r="AO47" s="6">
        <f t="shared" si="17"/>
        <v>0</v>
      </c>
      <c r="AP47" s="6">
        <f t="shared" si="18"/>
        <v>0</v>
      </c>
      <c r="AQ47" s="6">
        <v>0</v>
      </c>
      <c r="AR47" s="6">
        <f t="shared" si="19"/>
        <v>0</v>
      </c>
      <c r="AS47" s="6">
        <f t="shared" si="20"/>
        <v>0</v>
      </c>
      <c r="AT47" s="6">
        <v>0</v>
      </c>
      <c r="AU47" s="6">
        <f t="shared" si="21"/>
        <v>0</v>
      </c>
      <c r="AV47" s="6">
        <f t="shared" si="22"/>
        <v>0</v>
      </c>
      <c r="AW47" s="6">
        <v>0</v>
      </c>
      <c r="AX47" s="6">
        <f t="shared" si="23"/>
        <v>0</v>
      </c>
      <c r="AY47" s="6">
        <f t="shared" si="24"/>
        <v>0</v>
      </c>
      <c r="AZ47" s="6">
        <v>0</v>
      </c>
      <c r="BA47" s="6">
        <f t="shared" si="25"/>
        <v>0</v>
      </c>
      <c r="BB47" s="6">
        <f t="shared" si="26"/>
        <v>0</v>
      </c>
      <c r="BC47" s="6">
        <v>0</v>
      </c>
      <c r="BD47" s="6">
        <f t="shared" si="27"/>
        <v>0</v>
      </c>
      <c r="BE47" s="6">
        <f t="shared" si="28"/>
        <v>0</v>
      </c>
      <c r="BF47" s="6">
        <v>0</v>
      </c>
      <c r="BG47" s="6">
        <f t="shared" si="29"/>
        <v>0</v>
      </c>
      <c r="BH47" s="6">
        <f t="shared" si="30"/>
        <v>0</v>
      </c>
      <c r="BI47" s="6">
        <v>0</v>
      </c>
      <c r="BJ47" s="6">
        <f t="shared" si="31"/>
        <v>0</v>
      </c>
      <c r="BK47" s="6">
        <f t="shared" si="32"/>
        <v>0</v>
      </c>
      <c r="BL47" s="6">
        <v>0</v>
      </c>
      <c r="BM47" s="6">
        <f t="shared" si="33"/>
        <v>0</v>
      </c>
      <c r="BN47" s="6">
        <f t="shared" si="34"/>
        <v>0</v>
      </c>
      <c r="BO47" s="6">
        <v>0</v>
      </c>
      <c r="BP47" s="6">
        <f t="shared" si="35"/>
        <v>0</v>
      </c>
      <c r="BQ47" s="6">
        <f t="shared" si="36"/>
        <v>0</v>
      </c>
      <c r="BR47" s="6">
        <v>0</v>
      </c>
      <c r="BS47" s="6">
        <f t="shared" si="37"/>
        <v>0</v>
      </c>
      <c r="BT47" s="6">
        <f t="shared" si="38"/>
        <v>0</v>
      </c>
      <c r="BU47" s="6">
        <v>0</v>
      </c>
      <c r="BV47" s="6">
        <f t="shared" si="39"/>
        <v>0</v>
      </c>
      <c r="BW47" s="6">
        <f t="shared" si="40"/>
        <v>0</v>
      </c>
      <c r="BX47" s="6">
        <v>0</v>
      </c>
      <c r="BY47" s="6">
        <f t="shared" si="41"/>
        <v>0</v>
      </c>
      <c r="BZ47" s="6">
        <f t="shared" si="42"/>
        <v>0</v>
      </c>
      <c r="CA47" s="6">
        <v>0</v>
      </c>
      <c r="CB47" s="6">
        <f t="shared" si="43"/>
        <v>0</v>
      </c>
      <c r="CC47" s="6">
        <f t="shared" si="44"/>
        <v>0</v>
      </c>
      <c r="CD47" s="6">
        <v>0</v>
      </c>
      <c r="CE47" s="6">
        <f t="shared" si="45"/>
        <v>0</v>
      </c>
      <c r="CF47" s="6">
        <f t="shared" si="46"/>
        <v>0</v>
      </c>
      <c r="CG47" s="6">
        <v>0</v>
      </c>
      <c r="CH47" s="6">
        <f t="shared" si="47"/>
        <v>0</v>
      </c>
      <c r="CI47" s="6">
        <f t="shared" si="48"/>
        <v>0</v>
      </c>
      <c r="CJ47" s="6">
        <v>0</v>
      </c>
      <c r="CK47" s="6">
        <f t="shared" si="49"/>
        <v>0</v>
      </c>
      <c r="CL47" s="6">
        <f t="shared" si="50"/>
        <v>0</v>
      </c>
      <c r="CM47" s="6">
        <v>0</v>
      </c>
      <c r="CN47" s="6">
        <f t="shared" si="51"/>
        <v>0</v>
      </c>
      <c r="CO47" s="6">
        <f t="shared" si="52"/>
        <v>0</v>
      </c>
      <c r="CP47" s="6">
        <v>0</v>
      </c>
      <c r="CQ47" s="6">
        <f t="shared" si="53"/>
        <v>0</v>
      </c>
      <c r="CR47" s="6">
        <f t="shared" si="54"/>
        <v>0</v>
      </c>
      <c r="CS47" s="6">
        <v>0</v>
      </c>
      <c r="CT47" s="6">
        <f t="shared" si="55"/>
        <v>0</v>
      </c>
      <c r="CU47" s="6">
        <f t="shared" si="56"/>
        <v>0</v>
      </c>
      <c r="CV47" s="6">
        <v>0</v>
      </c>
      <c r="CW47" s="6">
        <f t="shared" si="57"/>
        <v>0</v>
      </c>
      <c r="CX47" s="6">
        <f t="shared" si="58"/>
        <v>0</v>
      </c>
      <c r="CY47" s="6">
        <v>0</v>
      </c>
      <c r="CZ47" s="6">
        <f t="shared" si="59"/>
        <v>0</v>
      </c>
      <c r="DA47" s="6">
        <f t="shared" si="60"/>
        <v>0</v>
      </c>
      <c r="DB47" s="6">
        <v>0</v>
      </c>
      <c r="DC47" s="6">
        <f t="shared" si="61"/>
        <v>0</v>
      </c>
      <c r="DD47" s="6">
        <f t="shared" si="62"/>
        <v>0</v>
      </c>
      <c r="DE47" s="6">
        <v>0</v>
      </c>
      <c r="DF47" s="6">
        <f t="shared" si="63"/>
        <v>0</v>
      </c>
      <c r="DG47" s="6">
        <f t="shared" si="64"/>
        <v>0</v>
      </c>
      <c r="DH47" s="6">
        <v>0</v>
      </c>
      <c r="DI47" s="6">
        <f t="shared" si="65"/>
        <v>0</v>
      </c>
      <c r="DJ47" s="6">
        <f t="shared" si="66"/>
        <v>0</v>
      </c>
      <c r="DK47" s="6">
        <v>0</v>
      </c>
      <c r="DL47" s="6">
        <f t="shared" si="67"/>
        <v>0</v>
      </c>
      <c r="DM47" s="6">
        <f t="shared" si="68"/>
        <v>0</v>
      </c>
      <c r="DN47" s="6">
        <v>0</v>
      </c>
      <c r="DO47" s="6">
        <f t="shared" si="69"/>
        <v>0</v>
      </c>
      <c r="DP47" s="6">
        <f t="shared" si="70"/>
        <v>0</v>
      </c>
    </row>
    <row r="48" spans="1:120" x14ac:dyDescent="0.2">
      <c r="A48" s="21">
        <v>85</v>
      </c>
      <c r="B48" s="21" t="s">
        <v>612</v>
      </c>
      <c r="C48" s="21">
        <v>85325</v>
      </c>
      <c r="D48" s="21" t="s">
        <v>670</v>
      </c>
      <c r="E48" s="21" t="s">
        <v>611</v>
      </c>
      <c r="F48" s="22" t="s">
        <v>662</v>
      </c>
      <c r="G48" s="4" t="s">
        <v>160</v>
      </c>
      <c r="H48" s="6">
        <v>65217.38</v>
      </c>
      <c r="I48" s="6">
        <f t="shared" si="75"/>
        <v>178.67775342465754</v>
      </c>
      <c r="J48" s="6">
        <v>34030.886500000001</v>
      </c>
      <c r="K48" s="6">
        <v>76675.78</v>
      </c>
      <c r="L48" s="6">
        <f t="shared" si="76"/>
        <v>209.49666666666667</v>
      </c>
      <c r="M48" s="6">
        <v>28926.253499999999</v>
      </c>
      <c r="N48" s="6">
        <v>36818.480000000003</v>
      </c>
      <c r="O48" s="6">
        <f t="shared" si="73"/>
        <v>100.87254794520548</v>
      </c>
      <c r="P48" s="6">
        <v>24587.315500000001</v>
      </c>
      <c r="Q48" s="6">
        <v>29603</v>
      </c>
      <c r="R48" s="6">
        <f>Q48/181</f>
        <v>163.55248618784532</v>
      </c>
      <c r="S48" s="6">
        <v>20899.218099999998</v>
      </c>
      <c r="T48" s="6">
        <f t="shared" si="3"/>
        <v>20899.218099999998</v>
      </c>
      <c r="U48" s="6">
        <f t="shared" si="4"/>
        <v>57.258131780821913</v>
      </c>
      <c r="V48" s="6">
        <v>17764.3354</v>
      </c>
      <c r="W48" s="6">
        <f t="shared" si="5"/>
        <v>17764.3354</v>
      </c>
      <c r="X48" s="6">
        <f t="shared" si="6"/>
        <v>48.66941205479452</v>
      </c>
      <c r="Y48" s="6">
        <v>15099.685100000001</v>
      </c>
      <c r="Z48" s="6">
        <f t="shared" si="7"/>
        <v>15099.685100000001</v>
      </c>
      <c r="AA48" s="6">
        <f t="shared" si="8"/>
        <v>41.369000273972603</v>
      </c>
      <c r="AB48" s="6">
        <v>12834.7323</v>
      </c>
      <c r="AC48" s="6">
        <f t="shared" si="9"/>
        <v>12834.7323</v>
      </c>
      <c r="AD48" s="6">
        <f t="shared" si="10"/>
        <v>35.163650136986298</v>
      </c>
      <c r="AE48" s="6">
        <v>10909.522499999999</v>
      </c>
      <c r="AF48" s="6">
        <f t="shared" si="11"/>
        <v>10909.522499999999</v>
      </c>
      <c r="AG48" s="6">
        <f t="shared" si="12"/>
        <v>29.889102739726024</v>
      </c>
      <c r="AH48" s="6">
        <v>9273.0941000000003</v>
      </c>
      <c r="AI48" s="6">
        <f t="shared" si="13"/>
        <v>9273.0941000000003</v>
      </c>
      <c r="AJ48" s="6">
        <f t="shared" si="14"/>
        <v>25.405737260273973</v>
      </c>
      <c r="AK48" s="6">
        <v>7882.13</v>
      </c>
      <c r="AL48" s="6">
        <f t="shared" si="15"/>
        <v>7882.13</v>
      </c>
      <c r="AM48" s="6">
        <f t="shared" si="16"/>
        <v>21.594876712328766</v>
      </c>
      <c r="AN48" s="6">
        <v>600.83659999999998</v>
      </c>
      <c r="AO48" s="6">
        <f t="shared" si="17"/>
        <v>600.83659999999998</v>
      </c>
      <c r="AP48" s="6">
        <f t="shared" si="18"/>
        <v>1.6461276712328767</v>
      </c>
      <c r="AQ48" s="6">
        <v>0</v>
      </c>
      <c r="AR48" s="6">
        <f t="shared" si="19"/>
        <v>0</v>
      </c>
      <c r="AS48" s="6">
        <f t="shared" si="20"/>
        <v>0</v>
      </c>
      <c r="AT48" s="6">
        <v>0</v>
      </c>
      <c r="AU48" s="6">
        <f t="shared" si="21"/>
        <v>0</v>
      </c>
      <c r="AV48" s="6">
        <f t="shared" si="22"/>
        <v>0</v>
      </c>
      <c r="AW48" s="6">
        <v>0</v>
      </c>
      <c r="AX48" s="6">
        <f t="shared" si="23"/>
        <v>0</v>
      </c>
      <c r="AY48" s="6">
        <f t="shared" si="24"/>
        <v>0</v>
      </c>
      <c r="AZ48" s="6">
        <v>0</v>
      </c>
      <c r="BA48" s="6">
        <f t="shared" si="25"/>
        <v>0</v>
      </c>
      <c r="BB48" s="6">
        <f t="shared" si="26"/>
        <v>0</v>
      </c>
      <c r="BC48" s="6">
        <v>0</v>
      </c>
      <c r="BD48" s="6">
        <f t="shared" si="27"/>
        <v>0</v>
      </c>
      <c r="BE48" s="6">
        <f t="shared" si="28"/>
        <v>0</v>
      </c>
      <c r="BF48" s="6">
        <v>0</v>
      </c>
      <c r="BG48" s="6">
        <f t="shared" si="29"/>
        <v>0</v>
      </c>
      <c r="BH48" s="6">
        <f t="shared" si="30"/>
        <v>0</v>
      </c>
      <c r="BI48" s="6">
        <v>0</v>
      </c>
      <c r="BJ48" s="6">
        <f t="shared" si="31"/>
        <v>0</v>
      </c>
      <c r="BK48" s="6">
        <f t="shared" si="32"/>
        <v>0</v>
      </c>
      <c r="BL48" s="6">
        <v>0</v>
      </c>
      <c r="BM48" s="6">
        <f t="shared" si="33"/>
        <v>0</v>
      </c>
      <c r="BN48" s="6">
        <f t="shared" si="34"/>
        <v>0</v>
      </c>
      <c r="BO48" s="6">
        <v>0</v>
      </c>
      <c r="BP48" s="6">
        <f t="shared" si="35"/>
        <v>0</v>
      </c>
      <c r="BQ48" s="6">
        <f t="shared" si="36"/>
        <v>0</v>
      </c>
      <c r="BR48" s="6">
        <v>0</v>
      </c>
      <c r="BS48" s="6">
        <f t="shared" si="37"/>
        <v>0</v>
      </c>
      <c r="BT48" s="6">
        <f t="shared" si="38"/>
        <v>0</v>
      </c>
      <c r="BU48" s="6">
        <v>0</v>
      </c>
      <c r="BV48" s="6">
        <f t="shared" si="39"/>
        <v>0</v>
      </c>
      <c r="BW48" s="6">
        <f t="shared" si="40"/>
        <v>0</v>
      </c>
      <c r="BX48" s="6">
        <v>0</v>
      </c>
      <c r="BY48" s="6">
        <f t="shared" si="41"/>
        <v>0</v>
      </c>
      <c r="BZ48" s="6">
        <f t="shared" si="42"/>
        <v>0</v>
      </c>
      <c r="CA48" s="6">
        <v>0</v>
      </c>
      <c r="CB48" s="6">
        <f t="shared" si="43"/>
        <v>0</v>
      </c>
      <c r="CC48" s="6">
        <f t="shared" si="44"/>
        <v>0</v>
      </c>
      <c r="CD48" s="6">
        <v>0</v>
      </c>
      <c r="CE48" s="6">
        <f t="shared" si="45"/>
        <v>0</v>
      </c>
      <c r="CF48" s="6">
        <f t="shared" si="46"/>
        <v>0</v>
      </c>
      <c r="CG48" s="6">
        <v>0</v>
      </c>
      <c r="CH48" s="6">
        <f t="shared" si="47"/>
        <v>0</v>
      </c>
      <c r="CI48" s="6">
        <f t="shared" si="48"/>
        <v>0</v>
      </c>
      <c r="CJ48" s="6">
        <v>0</v>
      </c>
      <c r="CK48" s="6">
        <f t="shared" si="49"/>
        <v>0</v>
      </c>
      <c r="CL48" s="6">
        <f t="shared" si="50"/>
        <v>0</v>
      </c>
      <c r="CM48" s="6">
        <v>0</v>
      </c>
      <c r="CN48" s="6">
        <f t="shared" si="51"/>
        <v>0</v>
      </c>
      <c r="CO48" s="6">
        <f t="shared" si="52"/>
        <v>0</v>
      </c>
      <c r="CP48" s="6">
        <v>0</v>
      </c>
      <c r="CQ48" s="6">
        <f t="shared" si="53"/>
        <v>0</v>
      </c>
      <c r="CR48" s="6">
        <f t="shared" si="54"/>
        <v>0</v>
      </c>
      <c r="CS48" s="6">
        <v>0</v>
      </c>
      <c r="CT48" s="6">
        <f t="shared" si="55"/>
        <v>0</v>
      </c>
      <c r="CU48" s="6">
        <f t="shared" si="56"/>
        <v>0</v>
      </c>
      <c r="CV48" s="6">
        <v>0</v>
      </c>
      <c r="CW48" s="6">
        <f t="shared" si="57"/>
        <v>0</v>
      </c>
      <c r="CX48" s="6">
        <f t="shared" si="58"/>
        <v>0</v>
      </c>
      <c r="CY48" s="6">
        <v>0</v>
      </c>
      <c r="CZ48" s="6">
        <f t="shared" si="59"/>
        <v>0</v>
      </c>
      <c r="DA48" s="6">
        <f t="shared" si="60"/>
        <v>0</v>
      </c>
      <c r="DB48" s="6">
        <v>0</v>
      </c>
      <c r="DC48" s="6">
        <f t="shared" si="61"/>
        <v>0</v>
      </c>
      <c r="DD48" s="6">
        <f t="shared" si="62"/>
        <v>0</v>
      </c>
      <c r="DE48" s="6">
        <v>0</v>
      </c>
      <c r="DF48" s="6">
        <f t="shared" si="63"/>
        <v>0</v>
      </c>
      <c r="DG48" s="6">
        <f t="shared" si="64"/>
        <v>0</v>
      </c>
      <c r="DH48" s="6">
        <v>0</v>
      </c>
      <c r="DI48" s="6">
        <f t="shared" si="65"/>
        <v>0</v>
      </c>
      <c r="DJ48" s="6">
        <f t="shared" si="66"/>
        <v>0</v>
      </c>
      <c r="DK48" s="6">
        <v>0</v>
      </c>
      <c r="DL48" s="6">
        <f t="shared" si="67"/>
        <v>0</v>
      </c>
      <c r="DM48" s="6">
        <f t="shared" si="68"/>
        <v>0</v>
      </c>
      <c r="DN48" s="6">
        <v>0</v>
      </c>
      <c r="DO48" s="6">
        <f t="shared" si="69"/>
        <v>0</v>
      </c>
      <c r="DP48" s="6">
        <f t="shared" si="70"/>
        <v>0</v>
      </c>
    </row>
    <row r="49" spans="1:120" x14ac:dyDescent="0.2">
      <c r="A49" s="21">
        <v>85</v>
      </c>
      <c r="B49" s="21" t="s">
        <v>612</v>
      </c>
      <c r="C49" s="21">
        <v>85250</v>
      </c>
      <c r="D49" s="21" t="s">
        <v>663</v>
      </c>
      <c r="E49" s="21" t="s">
        <v>611</v>
      </c>
      <c r="F49" s="22" t="s">
        <v>662</v>
      </c>
      <c r="G49" s="4" t="s">
        <v>161</v>
      </c>
      <c r="H49" s="6">
        <v>35546.199999999997</v>
      </c>
      <c r="I49" s="6">
        <f t="shared" si="75"/>
        <v>97.386849315068488</v>
      </c>
      <c r="J49" s="6">
        <v>15961.904500000001</v>
      </c>
      <c r="K49" s="6">
        <v>21709.27</v>
      </c>
      <c r="L49" s="6">
        <f t="shared" si="76"/>
        <v>59.314945355191256</v>
      </c>
      <c r="M49" s="6">
        <v>0</v>
      </c>
      <c r="N49" s="6">
        <v>5614.48</v>
      </c>
      <c r="O49" s="6">
        <f t="shared" si="73"/>
        <v>15.382136986301369</v>
      </c>
      <c r="P49" s="6">
        <v>0</v>
      </c>
      <c r="Q49" s="6"/>
      <c r="R49" s="6"/>
      <c r="S49" s="6">
        <v>0</v>
      </c>
      <c r="T49" s="6">
        <f t="shared" si="3"/>
        <v>0</v>
      </c>
      <c r="U49" s="6">
        <f t="shared" si="4"/>
        <v>0</v>
      </c>
      <c r="V49" s="6">
        <v>0</v>
      </c>
      <c r="W49" s="6">
        <f t="shared" si="5"/>
        <v>0</v>
      </c>
      <c r="X49" s="6">
        <f t="shared" si="6"/>
        <v>0</v>
      </c>
      <c r="Y49" s="6">
        <v>0</v>
      </c>
      <c r="Z49" s="6">
        <f t="shared" si="7"/>
        <v>0</v>
      </c>
      <c r="AA49" s="6">
        <f t="shared" si="8"/>
        <v>0</v>
      </c>
      <c r="AB49" s="6">
        <v>0</v>
      </c>
      <c r="AC49" s="6">
        <f t="shared" si="9"/>
        <v>0</v>
      </c>
      <c r="AD49" s="6">
        <f t="shared" si="10"/>
        <v>0</v>
      </c>
      <c r="AE49" s="6">
        <v>0</v>
      </c>
      <c r="AF49" s="6">
        <f t="shared" si="11"/>
        <v>0</v>
      </c>
      <c r="AG49" s="6">
        <f t="shared" si="12"/>
        <v>0</v>
      </c>
      <c r="AH49" s="6">
        <v>0</v>
      </c>
      <c r="AI49" s="6">
        <f t="shared" si="13"/>
        <v>0</v>
      </c>
      <c r="AJ49" s="6">
        <f t="shared" si="14"/>
        <v>0</v>
      </c>
      <c r="AK49" s="6">
        <v>0</v>
      </c>
      <c r="AL49" s="6">
        <f t="shared" si="15"/>
        <v>0</v>
      </c>
      <c r="AM49" s="6">
        <f t="shared" si="16"/>
        <v>0</v>
      </c>
      <c r="AN49" s="6">
        <v>0</v>
      </c>
      <c r="AO49" s="6">
        <f t="shared" si="17"/>
        <v>0</v>
      </c>
      <c r="AP49" s="6">
        <f t="shared" si="18"/>
        <v>0</v>
      </c>
      <c r="AQ49" s="6">
        <v>0</v>
      </c>
      <c r="AR49" s="6">
        <f t="shared" si="19"/>
        <v>0</v>
      </c>
      <c r="AS49" s="6">
        <f t="shared" si="20"/>
        <v>0</v>
      </c>
      <c r="AT49" s="6">
        <v>0</v>
      </c>
      <c r="AU49" s="6">
        <f t="shared" si="21"/>
        <v>0</v>
      </c>
      <c r="AV49" s="6">
        <f t="shared" si="22"/>
        <v>0</v>
      </c>
      <c r="AW49" s="6">
        <v>0</v>
      </c>
      <c r="AX49" s="6">
        <f t="shared" si="23"/>
        <v>0</v>
      </c>
      <c r="AY49" s="6">
        <f t="shared" si="24"/>
        <v>0</v>
      </c>
      <c r="AZ49" s="6">
        <v>0</v>
      </c>
      <c r="BA49" s="6">
        <f t="shared" si="25"/>
        <v>0</v>
      </c>
      <c r="BB49" s="6">
        <f t="shared" si="26"/>
        <v>0</v>
      </c>
      <c r="BC49" s="6">
        <v>0</v>
      </c>
      <c r="BD49" s="6">
        <f t="shared" si="27"/>
        <v>0</v>
      </c>
      <c r="BE49" s="6">
        <f t="shared" si="28"/>
        <v>0</v>
      </c>
      <c r="BF49" s="6">
        <v>0</v>
      </c>
      <c r="BG49" s="6">
        <f t="shared" si="29"/>
        <v>0</v>
      </c>
      <c r="BH49" s="6">
        <f t="shared" si="30"/>
        <v>0</v>
      </c>
      <c r="BI49" s="6">
        <v>0</v>
      </c>
      <c r="BJ49" s="6">
        <f t="shared" si="31"/>
        <v>0</v>
      </c>
      <c r="BK49" s="6">
        <f t="shared" si="32"/>
        <v>0</v>
      </c>
      <c r="BL49" s="6">
        <v>0</v>
      </c>
      <c r="BM49" s="6">
        <f t="shared" si="33"/>
        <v>0</v>
      </c>
      <c r="BN49" s="6">
        <f t="shared" si="34"/>
        <v>0</v>
      </c>
      <c r="BO49" s="6">
        <v>0</v>
      </c>
      <c r="BP49" s="6">
        <f t="shared" si="35"/>
        <v>0</v>
      </c>
      <c r="BQ49" s="6">
        <f t="shared" si="36"/>
        <v>0</v>
      </c>
      <c r="BR49" s="6">
        <v>0</v>
      </c>
      <c r="BS49" s="6">
        <f t="shared" si="37"/>
        <v>0</v>
      </c>
      <c r="BT49" s="6">
        <f t="shared" si="38"/>
        <v>0</v>
      </c>
      <c r="BU49" s="6">
        <v>0</v>
      </c>
      <c r="BV49" s="6">
        <f t="shared" si="39"/>
        <v>0</v>
      </c>
      <c r="BW49" s="6">
        <f t="shared" si="40"/>
        <v>0</v>
      </c>
      <c r="BX49" s="6">
        <v>0</v>
      </c>
      <c r="BY49" s="6">
        <f t="shared" si="41"/>
        <v>0</v>
      </c>
      <c r="BZ49" s="6">
        <f t="shared" si="42"/>
        <v>0</v>
      </c>
      <c r="CA49" s="6">
        <v>0</v>
      </c>
      <c r="CB49" s="6">
        <f t="shared" si="43"/>
        <v>0</v>
      </c>
      <c r="CC49" s="6">
        <f t="shared" si="44"/>
        <v>0</v>
      </c>
      <c r="CD49" s="6">
        <v>0</v>
      </c>
      <c r="CE49" s="6">
        <f t="shared" si="45"/>
        <v>0</v>
      </c>
      <c r="CF49" s="6">
        <f t="shared" si="46"/>
        <v>0</v>
      </c>
      <c r="CG49" s="6">
        <v>0</v>
      </c>
      <c r="CH49" s="6">
        <f t="shared" si="47"/>
        <v>0</v>
      </c>
      <c r="CI49" s="6">
        <f t="shared" si="48"/>
        <v>0</v>
      </c>
      <c r="CJ49" s="6">
        <v>0</v>
      </c>
      <c r="CK49" s="6">
        <f t="shared" si="49"/>
        <v>0</v>
      </c>
      <c r="CL49" s="6">
        <f t="shared" si="50"/>
        <v>0</v>
      </c>
      <c r="CM49" s="6">
        <v>0</v>
      </c>
      <c r="CN49" s="6">
        <f t="shared" si="51"/>
        <v>0</v>
      </c>
      <c r="CO49" s="6">
        <f t="shared" si="52"/>
        <v>0</v>
      </c>
      <c r="CP49" s="6">
        <v>0</v>
      </c>
      <c r="CQ49" s="6">
        <f t="shared" si="53"/>
        <v>0</v>
      </c>
      <c r="CR49" s="6">
        <f t="shared" si="54"/>
        <v>0</v>
      </c>
      <c r="CS49" s="6">
        <v>0</v>
      </c>
      <c r="CT49" s="6">
        <f t="shared" si="55"/>
        <v>0</v>
      </c>
      <c r="CU49" s="6">
        <f t="shared" si="56"/>
        <v>0</v>
      </c>
      <c r="CV49" s="6">
        <v>0</v>
      </c>
      <c r="CW49" s="6">
        <f t="shared" si="57"/>
        <v>0</v>
      </c>
      <c r="CX49" s="6">
        <f t="shared" si="58"/>
        <v>0</v>
      </c>
      <c r="CY49" s="6">
        <v>0</v>
      </c>
      <c r="CZ49" s="6">
        <f t="shared" si="59"/>
        <v>0</v>
      </c>
      <c r="DA49" s="6">
        <f t="shared" si="60"/>
        <v>0</v>
      </c>
      <c r="DB49" s="6">
        <v>0</v>
      </c>
      <c r="DC49" s="6">
        <f t="shared" si="61"/>
        <v>0</v>
      </c>
      <c r="DD49" s="6">
        <f t="shared" si="62"/>
        <v>0</v>
      </c>
      <c r="DE49" s="6">
        <v>0</v>
      </c>
      <c r="DF49" s="6">
        <f t="shared" si="63"/>
        <v>0</v>
      </c>
      <c r="DG49" s="6">
        <f t="shared" si="64"/>
        <v>0</v>
      </c>
      <c r="DH49" s="6">
        <v>0</v>
      </c>
      <c r="DI49" s="6">
        <f t="shared" si="65"/>
        <v>0</v>
      </c>
      <c r="DJ49" s="6">
        <f t="shared" si="66"/>
        <v>0</v>
      </c>
      <c r="DK49" s="6">
        <v>0</v>
      </c>
      <c r="DL49" s="6">
        <f t="shared" si="67"/>
        <v>0</v>
      </c>
      <c r="DM49" s="6">
        <f t="shared" si="68"/>
        <v>0</v>
      </c>
      <c r="DN49" s="6">
        <v>0</v>
      </c>
      <c r="DO49" s="6">
        <f t="shared" si="69"/>
        <v>0</v>
      </c>
      <c r="DP49" s="6">
        <f t="shared" si="70"/>
        <v>0</v>
      </c>
    </row>
    <row r="50" spans="1:120" x14ac:dyDescent="0.2">
      <c r="A50" s="21">
        <v>85</v>
      </c>
      <c r="B50" s="21" t="s">
        <v>612</v>
      </c>
      <c r="C50" s="21">
        <v>85250</v>
      </c>
      <c r="D50" s="21" t="s">
        <v>663</v>
      </c>
      <c r="E50" s="21" t="s">
        <v>611</v>
      </c>
      <c r="F50" s="22" t="s">
        <v>662</v>
      </c>
      <c r="G50" s="4" t="s">
        <v>162</v>
      </c>
      <c r="H50" s="6">
        <v>47042.52</v>
      </c>
      <c r="I50" s="6">
        <f t="shared" si="75"/>
        <v>128.88361643835614</v>
      </c>
      <c r="J50" s="6">
        <v>48408.557399999998</v>
      </c>
      <c r="K50" s="6">
        <v>40962.43</v>
      </c>
      <c r="L50" s="6">
        <f t="shared" si="76"/>
        <v>111.91920765027322</v>
      </c>
      <c r="M50" s="6">
        <v>43083.616099999999</v>
      </c>
      <c r="N50" s="6">
        <v>10962.45</v>
      </c>
      <c r="O50" s="6">
        <f t="shared" si="73"/>
        <v>30.034109589041098</v>
      </c>
      <c r="P50" s="6">
        <v>38344.418299999998</v>
      </c>
      <c r="Q50" s="6"/>
      <c r="R50" s="6"/>
      <c r="S50" s="6">
        <v>34126.532299999999</v>
      </c>
      <c r="T50" s="6">
        <f t="shared" si="3"/>
        <v>34126.532299999999</v>
      </c>
      <c r="U50" s="6">
        <f t="shared" si="4"/>
        <v>93.497348767123285</v>
      </c>
      <c r="V50" s="6">
        <v>30372.613700000002</v>
      </c>
      <c r="W50" s="6">
        <f t="shared" si="5"/>
        <v>30372.613700000002</v>
      </c>
      <c r="X50" s="6">
        <f t="shared" si="6"/>
        <v>83.21264027397261</v>
      </c>
      <c r="Y50" s="6">
        <v>11647.1355</v>
      </c>
      <c r="Z50" s="6">
        <f t="shared" si="7"/>
        <v>11647.1355</v>
      </c>
      <c r="AA50" s="6">
        <f t="shared" si="8"/>
        <v>31.909960273972604</v>
      </c>
      <c r="AB50" s="6">
        <v>0</v>
      </c>
      <c r="AC50" s="6">
        <f t="shared" si="9"/>
        <v>0</v>
      </c>
      <c r="AD50" s="6">
        <f t="shared" si="10"/>
        <v>0</v>
      </c>
      <c r="AE50" s="6">
        <v>0</v>
      </c>
      <c r="AF50" s="6">
        <f t="shared" si="11"/>
        <v>0</v>
      </c>
      <c r="AG50" s="6">
        <f t="shared" si="12"/>
        <v>0</v>
      </c>
      <c r="AH50" s="6">
        <v>0</v>
      </c>
      <c r="AI50" s="6">
        <f t="shared" si="13"/>
        <v>0</v>
      </c>
      <c r="AJ50" s="6">
        <f t="shared" si="14"/>
        <v>0</v>
      </c>
      <c r="AK50" s="6">
        <v>0</v>
      </c>
      <c r="AL50" s="6">
        <f t="shared" si="15"/>
        <v>0</v>
      </c>
      <c r="AM50" s="6">
        <f t="shared" si="16"/>
        <v>0</v>
      </c>
      <c r="AN50" s="6">
        <v>0</v>
      </c>
      <c r="AO50" s="6">
        <f t="shared" si="17"/>
        <v>0</v>
      </c>
      <c r="AP50" s="6">
        <f t="shared" si="18"/>
        <v>0</v>
      </c>
      <c r="AQ50" s="6">
        <v>0</v>
      </c>
      <c r="AR50" s="6">
        <f t="shared" si="19"/>
        <v>0</v>
      </c>
      <c r="AS50" s="6">
        <f t="shared" si="20"/>
        <v>0</v>
      </c>
      <c r="AT50" s="6">
        <v>0</v>
      </c>
      <c r="AU50" s="6">
        <f t="shared" si="21"/>
        <v>0</v>
      </c>
      <c r="AV50" s="6">
        <f t="shared" si="22"/>
        <v>0</v>
      </c>
      <c r="AW50" s="6">
        <v>0</v>
      </c>
      <c r="AX50" s="6">
        <f t="shared" si="23"/>
        <v>0</v>
      </c>
      <c r="AY50" s="6">
        <f t="shared" si="24"/>
        <v>0</v>
      </c>
      <c r="AZ50" s="6">
        <v>0</v>
      </c>
      <c r="BA50" s="6">
        <f t="shared" si="25"/>
        <v>0</v>
      </c>
      <c r="BB50" s="6">
        <f t="shared" si="26"/>
        <v>0</v>
      </c>
      <c r="BC50" s="6">
        <v>0</v>
      </c>
      <c r="BD50" s="6">
        <f t="shared" si="27"/>
        <v>0</v>
      </c>
      <c r="BE50" s="6">
        <f t="shared" si="28"/>
        <v>0</v>
      </c>
      <c r="BF50" s="6">
        <v>0</v>
      </c>
      <c r="BG50" s="6">
        <f t="shared" si="29"/>
        <v>0</v>
      </c>
      <c r="BH50" s="6">
        <f t="shared" si="30"/>
        <v>0</v>
      </c>
      <c r="BI50" s="6">
        <v>0</v>
      </c>
      <c r="BJ50" s="6">
        <f t="shared" si="31"/>
        <v>0</v>
      </c>
      <c r="BK50" s="6">
        <f t="shared" si="32"/>
        <v>0</v>
      </c>
      <c r="BL50" s="6">
        <v>0</v>
      </c>
      <c r="BM50" s="6">
        <f t="shared" si="33"/>
        <v>0</v>
      </c>
      <c r="BN50" s="6">
        <f t="shared" si="34"/>
        <v>0</v>
      </c>
      <c r="BO50" s="6">
        <v>0</v>
      </c>
      <c r="BP50" s="6">
        <f t="shared" si="35"/>
        <v>0</v>
      </c>
      <c r="BQ50" s="6">
        <f t="shared" si="36"/>
        <v>0</v>
      </c>
      <c r="BR50" s="6">
        <v>0</v>
      </c>
      <c r="BS50" s="6">
        <f t="shared" si="37"/>
        <v>0</v>
      </c>
      <c r="BT50" s="6">
        <f t="shared" si="38"/>
        <v>0</v>
      </c>
      <c r="BU50" s="6">
        <v>0</v>
      </c>
      <c r="BV50" s="6">
        <f t="shared" si="39"/>
        <v>0</v>
      </c>
      <c r="BW50" s="6">
        <f t="shared" si="40"/>
        <v>0</v>
      </c>
      <c r="BX50" s="6">
        <v>0</v>
      </c>
      <c r="BY50" s="6">
        <f t="shared" si="41"/>
        <v>0</v>
      </c>
      <c r="BZ50" s="6">
        <f t="shared" si="42"/>
        <v>0</v>
      </c>
      <c r="CA50" s="6">
        <v>0</v>
      </c>
      <c r="CB50" s="6">
        <f t="shared" si="43"/>
        <v>0</v>
      </c>
      <c r="CC50" s="6">
        <f t="shared" si="44"/>
        <v>0</v>
      </c>
      <c r="CD50" s="6">
        <v>0</v>
      </c>
      <c r="CE50" s="6">
        <f t="shared" si="45"/>
        <v>0</v>
      </c>
      <c r="CF50" s="6">
        <f t="shared" si="46"/>
        <v>0</v>
      </c>
      <c r="CG50" s="6">
        <v>0</v>
      </c>
      <c r="CH50" s="6">
        <f t="shared" si="47"/>
        <v>0</v>
      </c>
      <c r="CI50" s="6">
        <f t="shared" si="48"/>
        <v>0</v>
      </c>
      <c r="CJ50" s="6">
        <v>0</v>
      </c>
      <c r="CK50" s="6">
        <f t="shared" si="49"/>
        <v>0</v>
      </c>
      <c r="CL50" s="6">
        <f t="shared" si="50"/>
        <v>0</v>
      </c>
      <c r="CM50" s="6">
        <v>0</v>
      </c>
      <c r="CN50" s="6">
        <f t="shared" si="51"/>
        <v>0</v>
      </c>
      <c r="CO50" s="6">
        <f t="shared" si="52"/>
        <v>0</v>
      </c>
      <c r="CP50" s="6">
        <v>0</v>
      </c>
      <c r="CQ50" s="6">
        <f t="shared" si="53"/>
        <v>0</v>
      </c>
      <c r="CR50" s="6">
        <f t="shared" si="54"/>
        <v>0</v>
      </c>
      <c r="CS50" s="6">
        <v>0</v>
      </c>
      <c r="CT50" s="6">
        <f t="shared" si="55"/>
        <v>0</v>
      </c>
      <c r="CU50" s="6">
        <f t="shared" si="56"/>
        <v>0</v>
      </c>
      <c r="CV50" s="6">
        <v>0</v>
      </c>
      <c r="CW50" s="6">
        <f t="shared" si="57"/>
        <v>0</v>
      </c>
      <c r="CX50" s="6">
        <f t="shared" si="58"/>
        <v>0</v>
      </c>
      <c r="CY50" s="6">
        <v>0</v>
      </c>
      <c r="CZ50" s="6">
        <f t="shared" si="59"/>
        <v>0</v>
      </c>
      <c r="DA50" s="6">
        <f t="shared" si="60"/>
        <v>0</v>
      </c>
      <c r="DB50" s="6">
        <v>0</v>
      </c>
      <c r="DC50" s="6">
        <f t="shared" si="61"/>
        <v>0</v>
      </c>
      <c r="DD50" s="6">
        <f t="shared" si="62"/>
        <v>0</v>
      </c>
      <c r="DE50" s="6">
        <v>0</v>
      </c>
      <c r="DF50" s="6">
        <f t="shared" si="63"/>
        <v>0</v>
      </c>
      <c r="DG50" s="6">
        <f t="shared" si="64"/>
        <v>0</v>
      </c>
      <c r="DH50" s="6">
        <v>0</v>
      </c>
      <c r="DI50" s="6">
        <f t="shared" si="65"/>
        <v>0</v>
      </c>
      <c r="DJ50" s="6">
        <f t="shared" si="66"/>
        <v>0</v>
      </c>
      <c r="DK50" s="6">
        <v>0</v>
      </c>
      <c r="DL50" s="6">
        <f t="shared" si="67"/>
        <v>0</v>
      </c>
      <c r="DM50" s="6">
        <f t="shared" si="68"/>
        <v>0</v>
      </c>
      <c r="DN50" s="6">
        <v>0</v>
      </c>
      <c r="DO50" s="6">
        <f t="shared" si="69"/>
        <v>0</v>
      </c>
      <c r="DP50" s="6">
        <f t="shared" si="70"/>
        <v>0</v>
      </c>
    </row>
    <row r="51" spans="1:120" x14ac:dyDescent="0.2">
      <c r="A51" s="21">
        <v>85</v>
      </c>
      <c r="B51" s="21" t="s">
        <v>612</v>
      </c>
      <c r="C51" s="21">
        <v>85250</v>
      </c>
      <c r="D51" s="21" t="s">
        <v>663</v>
      </c>
      <c r="E51" s="21" t="s">
        <v>611</v>
      </c>
      <c r="F51" s="22" t="s">
        <v>662</v>
      </c>
      <c r="G51" s="4" t="s">
        <v>163</v>
      </c>
      <c r="H51" s="6">
        <v>100134.39</v>
      </c>
      <c r="I51" s="6">
        <f t="shared" si="75"/>
        <v>274.34079452054795</v>
      </c>
      <c r="J51" s="6">
        <v>68061.772899999996</v>
      </c>
      <c r="K51" s="6">
        <v>56607.23</v>
      </c>
      <c r="L51" s="6">
        <f t="shared" si="76"/>
        <v>154.66456284153006</v>
      </c>
      <c r="M51" s="6">
        <v>57852.506999999998</v>
      </c>
      <c r="N51" s="6">
        <v>512.82000000000005</v>
      </c>
      <c r="O51" s="6">
        <f t="shared" si="73"/>
        <v>1.4049863013698631</v>
      </c>
      <c r="P51" s="6">
        <v>49174.630899999996</v>
      </c>
      <c r="Q51" s="6"/>
      <c r="R51" s="6"/>
      <c r="S51" s="6">
        <v>41798.436300000001</v>
      </c>
      <c r="T51" s="6">
        <f t="shared" si="3"/>
        <v>41798.436300000001</v>
      </c>
      <c r="U51" s="6">
        <f t="shared" si="4"/>
        <v>114.51626383561644</v>
      </c>
      <c r="V51" s="6">
        <v>35528.6708</v>
      </c>
      <c r="W51" s="6">
        <f t="shared" si="5"/>
        <v>35528.6708</v>
      </c>
      <c r="X51" s="6">
        <f t="shared" si="6"/>
        <v>97.338824109589041</v>
      </c>
      <c r="Y51" s="6">
        <v>13181.897199999999</v>
      </c>
      <c r="Z51" s="6">
        <f t="shared" si="7"/>
        <v>13181.897199999999</v>
      </c>
      <c r="AA51" s="6">
        <f t="shared" si="8"/>
        <v>36.114786849315067</v>
      </c>
      <c r="AB51" s="6">
        <v>0</v>
      </c>
      <c r="AC51" s="6">
        <f t="shared" si="9"/>
        <v>0</v>
      </c>
      <c r="AD51" s="6">
        <f t="shared" si="10"/>
        <v>0</v>
      </c>
      <c r="AE51" s="6">
        <v>0</v>
      </c>
      <c r="AF51" s="6">
        <f t="shared" si="11"/>
        <v>0</v>
      </c>
      <c r="AG51" s="6">
        <f t="shared" si="12"/>
        <v>0</v>
      </c>
      <c r="AH51" s="6">
        <v>0</v>
      </c>
      <c r="AI51" s="6">
        <f t="shared" si="13"/>
        <v>0</v>
      </c>
      <c r="AJ51" s="6">
        <f t="shared" si="14"/>
        <v>0</v>
      </c>
      <c r="AK51" s="6">
        <v>0</v>
      </c>
      <c r="AL51" s="6">
        <f t="shared" si="15"/>
        <v>0</v>
      </c>
      <c r="AM51" s="6">
        <f t="shared" si="16"/>
        <v>0</v>
      </c>
      <c r="AN51" s="6">
        <v>0</v>
      </c>
      <c r="AO51" s="6">
        <f t="shared" si="17"/>
        <v>0</v>
      </c>
      <c r="AP51" s="6">
        <f t="shared" si="18"/>
        <v>0</v>
      </c>
      <c r="AQ51" s="6">
        <v>0</v>
      </c>
      <c r="AR51" s="6">
        <f t="shared" si="19"/>
        <v>0</v>
      </c>
      <c r="AS51" s="6">
        <f t="shared" si="20"/>
        <v>0</v>
      </c>
      <c r="AT51" s="6">
        <v>0</v>
      </c>
      <c r="AU51" s="6">
        <f t="shared" si="21"/>
        <v>0</v>
      </c>
      <c r="AV51" s="6">
        <f t="shared" si="22"/>
        <v>0</v>
      </c>
      <c r="AW51" s="6">
        <v>0</v>
      </c>
      <c r="AX51" s="6">
        <f t="shared" si="23"/>
        <v>0</v>
      </c>
      <c r="AY51" s="6">
        <f t="shared" si="24"/>
        <v>0</v>
      </c>
      <c r="AZ51" s="6">
        <v>0</v>
      </c>
      <c r="BA51" s="6">
        <f t="shared" si="25"/>
        <v>0</v>
      </c>
      <c r="BB51" s="6">
        <f t="shared" si="26"/>
        <v>0</v>
      </c>
      <c r="BC51" s="6">
        <v>0</v>
      </c>
      <c r="BD51" s="6">
        <f t="shared" si="27"/>
        <v>0</v>
      </c>
      <c r="BE51" s="6">
        <f t="shared" si="28"/>
        <v>0</v>
      </c>
      <c r="BF51" s="6">
        <v>0</v>
      </c>
      <c r="BG51" s="6">
        <f t="shared" si="29"/>
        <v>0</v>
      </c>
      <c r="BH51" s="6">
        <f t="shared" si="30"/>
        <v>0</v>
      </c>
      <c r="BI51" s="6">
        <v>0</v>
      </c>
      <c r="BJ51" s="6">
        <f t="shared" si="31"/>
        <v>0</v>
      </c>
      <c r="BK51" s="6">
        <f t="shared" si="32"/>
        <v>0</v>
      </c>
      <c r="BL51" s="6">
        <v>0</v>
      </c>
      <c r="BM51" s="6">
        <f t="shared" si="33"/>
        <v>0</v>
      </c>
      <c r="BN51" s="6">
        <f t="shared" si="34"/>
        <v>0</v>
      </c>
      <c r="BO51" s="6">
        <v>0</v>
      </c>
      <c r="BP51" s="6">
        <f t="shared" si="35"/>
        <v>0</v>
      </c>
      <c r="BQ51" s="6">
        <f t="shared" si="36"/>
        <v>0</v>
      </c>
      <c r="BR51" s="6">
        <v>0</v>
      </c>
      <c r="BS51" s="6">
        <f t="shared" si="37"/>
        <v>0</v>
      </c>
      <c r="BT51" s="6">
        <f t="shared" si="38"/>
        <v>0</v>
      </c>
      <c r="BU51" s="6">
        <v>0</v>
      </c>
      <c r="BV51" s="6">
        <f t="shared" si="39"/>
        <v>0</v>
      </c>
      <c r="BW51" s="6">
        <f t="shared" si="40"/>
        <v>0</v>
      </c>
      <c r="BX51" s="6">
        <v>0</v>
      </c>
      <c r="BY51" s="6">
        <f t="shared" si="41"/>
        <v>0</v>
      </c>
      <c r="BZ51" s="6">
        <f t="shared" si="42"/>
        <v>0</v>
      </c>
      <c r="CA51" s="6">
        <v>0</v>
      </c>
      <c r="CB51" s="6">
        <f t="shared" si="43"/>
        <v>0</v>
      </c>
      <c r="CC51" s="6">
        <f t="shared" si="44"/>
        <v>0</v>
      </c>
      <c r="CD51" s="6">
        <v>0</v>
      </c>
      <c r="CE51" s="6">
        <f t="shared" si="45"/>
        <v>0</v>
      </c>
      <c r="CF51" s="6">
        <f t="shared" si="46"/>
        <v>0</v>
      </c>
      <c r="CG51" s="6">
        <v>0</v>
      </c>
      <c r="CH51" s="6">
        <f t="shared" si="47"/>
        <v>0</v>
      </c>
      <c r="CI51" s="6">
        <f t="shared" si="48"/>
        <v>0</v>
      </c>
      <c r="CJ51" s="6">
        <v>0</v>
      </c>
      <c r="CK51" s="6">
        <f t="shared" si="49"/>
        <v>0</v>
      </c>
      <c r="CL51" s="6">
        <f t="shared" si="50"/>
        <v>0</v>
      </c>
      <c r="CM51" s="6">
        <v>0</v>
      </c>
      <c r="CN51" s="6">
        <f t="shared" si="51"/>
        <v>0</v>
      </c>
      <c r="CO51" s="6">
        <f t="shared" si="52"/>
        <v>0</v>
      </c>
      <c r="CP51" s="6">
        <v>0</v>
      </c>
      <c r="CQ51" s="6">
        <f t="shared" si="53"/>
        <v>0</v>
      </c>
      <c r="CR51" s="6">
        <f t="shared" si="54"/>
        <v>0</v>
      </c>
      <c r="CS51" s="6">
        <v>0</v>
      </c>
      <c r="CT51" s="6">
        <f t="shared" si="55"/>
        <v>0</v>
      </c>
      <c r="CU51" s="6">
        <f t="shared" si="56"/>
        <v>0</v>
      </c>
      <c r="CV51" s="6">
        <v>0</v>
      </c>
      <c r="CW51" s="6">
        <f t="shared" si="57"/>
        <v>0</v>
      </c>
      <c r="CX51" s="6">
        <f t="shared" si="58"/>
        <v>0</v>
      </c>
      <c r="CY51" s="6">
        <v>0</v>
      </c>
      <c r="CZ51" s="6">
        <f t="shared" si="59"/>
        <v>0</v>
      </c>
      <c r="DA51" s="6">
        <f t="shared" si="60"/>
        <v>0</v>
      </c>
      <c r="DB51" s="6">
        <v>0</v>
      </c>
      <c r="DC51" s="6">
        <f t="shared" si="61"/>
        <v>0</v>
      </c>
      <c r="DD51" s="6">
        <f t="shared" si="62"/>
        <v>0</v>
      </c>
      <c r="DE51" s="6">
        <v>0</v>
      </c>
      <c r="DF51" s="6">
        <f t="shared" si="63"/>
        <v>0</v>
      </c>
      <c r="DG51" s="6">
        <f t="shared" si="64"/>
        <v>0</v>
      </c>
      <c r="DH51" s="6">
        <v>0</v>
      </c>
      <c r="DI51" s="6">
        <f t="shared" si="65"/>
        <v>0</v>
      </c>
      <c r="DJ51" s="6">
        <f t="shared" si="66"/>
        <v>0</v>
      </c>
      <c r="DK51" s="6">
        <v>0</v>
      </c>
      <c r="DL51" s="6">
        <f t="shared" si="67"/>
        <v>0</v>
      </c>
      <c r="DM51" s="6">
        <f t="shared" si="68"/>
        <v>0</v>
      </c>
      <c r="DN51" s="6">
        <v>0</v>
      </c>
      <c r="DO51" s="6">
        <f t="shared" si="69"/>
        <v>0</v>
      </c>
      <c r="DP51" s="6">
        <f t="shared" si="70"/>
        <v>0</v>
      </c>
    </row>
    <row r="52" spans="1:120" x14ac:dyDescent="0.2">
      <c r="A52" s="21">
        <v>81</v>
      </c>
      <c r="B52" s="21" t="s">
        <v>132</v>
      </c>
      <c r="C52" s="21">
        <v>81001</v>
      </c>
      <c r="D52" s="21" t="s">
        <v>132</v>
      </c>
      <c r="E52" s="21" t="s">
        <v>683</v>
      </c>
      <c r="F52" s="22" t="s">
        <v>662</v>
      </c>
      <c r="G52" s="4" t="s">
        <v>164</v>
      </c>
      <c r="H52" s="6">
        <v>6326245.6799999997</v>
      </c>
      <c r="I52" s="6">
        <f t="shared" si="75"/>
        <v>17332.17994520548</v>
      </c>
      <c r="J52" s="6">
        <v>5594067.7238999996</v>
      </c>
      <c r="K52" s="6">
        <v>5540318.0199999996</v>
      </c>
      <c r="L52" s="6">
        <f t="shared" si="76"/>
        <v>15137.480928961748</v>
      </c>
      <c r="M52" s="6">
        <v>4552515.0065000001</v>
      </c>
      <c r="N52" s="6">
        <v>4916594.6100000003</v>
      </c>
      <c r="O52" s="6">
        <f t="shared" si="73"/>
        <v>13470.122219178083</v>
      </c>
      <c r="P52" s="6">
        <v>3726639</v>
      </c>
      <c r="Q52" s="6">
        <v>2598682.12</v>
      </c>
      <c r="R52" s="6">
        <f t="shared" ref="R52:R57" si="77">Q52/181</f>
        <v>14357.359779005525</v>
      </c>
      <c r="S52" s="6">
        <v>2997240</v>
      </c>
      <c r="T52" s="6">
        <f t="shared" si="3"/>
        <v>2997240</v>
      </c>
      <c r="U52" s="6">
        <f t="shared" si="4"/>
        <v>8211.6164383561645</v>
      </c>
      <c r="V52" s="6">
        <v>2399224</v>
      </c>
      <c r="W52" s="6">
        <f t="shared" si="5"/>
        <v>2399224</v>
      </c>
      <c r="X52" s="6">
        <f t="shared" si="6"/>
        <v>6573.216438356164</v>
      </c>
      <c r="Y52" s="6">
        <v>1842311</v>
      </c>
      <c r="Z52" s="6">
        <f t="shared" si="7"/>
        <v>1842311</v>
      </c>
      <c r="AA52" s="6">
        <f t="shared" si="8"/>
        <v>5047.4273972602741</v>
      </c>
      <c r="AB52" s="6">
        <v>1372764</v>
      </c>
      <c r="AC52" s="6">
        <f t="shared" si="9"/>
        <v>1372764</v>
      </c>
      <c r="AD52" s="6">
        <f t="shared" si="10"/>
        <v>3760.9972602739726</v>
      </c>
      <c r="AE52" s="6">
        <v>1031354</v>
      </c>
      <c r="AF52" s="6">
        <f t="shared" si="11"/>
        <v>1031354</v>
      </c>
      <c r="AG52" s="6">
        <f t="shared" si="12"/>
        <v>2825.6273972602739</v>
      </c>
      <c r="AH52" s="6">
        <v>814467</v>
      </c>
      <c r="AI52" s="6">
        <f t="shared" si="13"/>
        <v>814467</v>
      </c>
      <c r="AJ52" s="6">
        <f t="shared" si="14"/>
        <v>2231.4164383561642</v>
      </c>
      <c r="AK52" s="6">
        <v>632553</v>
      </c>
      <c r="AL52" s="6">
        <f t="shared" si="15"/>
        <v>632553</v>
      </c>
      <c r="AM52" s="6">
        <f t="shared" si="16"/>
        <v>1733.0219178082191</v>
      </c>
      <c r="AN52" s="6">
        <v>509482</v>
      </c>
      <c r="AO52" s="6">
        <f t="shared" si="17"/>
        <v>509482</v>
      </c>
      <c r="AP52" s="6">
        <f t="shared" si="18"/>
        <v>1395.841095890411</v>
      </c>
      <c r="AQ52" s="6">
        <v>0</v>
      </c>
      <c r="AR52" s="6">
        <f t="shared" si="19"/>
        <v>0</v>
      </c>
      <c r="AS52" s="6">
        <f t="shared" si="20"/>
        <v>0</v>
      </c>
      <c r="AT52" s="6">
        <v>0</v>
      </c>
      <c r="AU52" s="6">
        <f t="shared" si="21"/>
        <v>0</v>
      </c>
      <c r="AV52" s="6">
        <f t="shared" si="22"/>
        <v>0</v>
      </c>
      <c r="AW52" s="6">
        <v>0</v>
      </c>
      <c r="AX52" s="6">
        <f t="shared" si="23"/>
        <v>0</v>
      </c>
      <c r="AY52" s="6">
        <f t="shared" si="24"/>
        <v>0</v>
      </c>
      <c r="AZ52" s="6">
        <v>0</v>
      </c>
      <c r="BA52" s="6">
        <f t="shared" si="25"/>
        <v>0</v>
      </c>
      <c r="BB52" s="6">
        <f t="shared" si="26"/>
        <v>0</v>
      </c>
      <c r="BC52" s="6">
        <v>0</v>
      </c>
      <c r="BD52" s="6">
        <f t="shared" si="27"/>
        <v>0</v>
      </c>
      <c r="BE52" s="6">
        <f t="shared" si="28"/>
        <v>0</v>
      </c>
      <c r="BF52" s="6">
        <v>0</v>
      </c>
      <c r="BG52" s="6">
        <f t="shared" si="29"/>
        <v>0</v>
      </c>
      <c r="BH52" s="6">
        <f t="shared" si="30"/>
        <v>0</v>
      </c>
      <c r="BI52" s="6">
        <v>0</v>
      </c>
      <c r="BJ52" s="6">
        <f t="shared" si="31"/>
        <v>0</v>
      </c>
      <c r="BK52" s="6">
        <f t="shared" si="32"/>
        <v>0</v>
      </c>
      <c r="BL52" s="6">
        <v>0</v>
      </c>
      <c r="BM52" s="6">
        <f t="shared" si="33"/>
        <v>0</v>
      </c>
      <c r="BN52" s="6">
        <f t="shared" si="34"/>
        <v>0</v>
      </c>
      <c r="BO52" s="6">
        <v>0</v>
      </c>
      <c r="BP52" s="6">
        <f t="shared" si="35"/>
        <v>0</v>
      </c>
      <c r="BQ52" s="6">
        <f t="shared" si="36"/>
        <v>0</v>
      </c>
      <c r="BR52" s="6">
        <v>0</v>
      </c>
      <c r="BS52" s="6">
        <f t="shared" si="37"/>
        <v>0</v>
      </c>
      <c r="BT52" s="6">
        <f t="shared" si="38"/>
        <v>0</v>
      </c>
      <c r="BU52" s="6">
        <v>0</v>
      </c>
      <c r="BV52" s="6">
        <f t="shared" si="39"/>
        <v>0</v>
      </c>
      <c r="BW52" s="6">
        <f t="shared" si="40"/>
        <v>0</v>
      </c>
      <c r="BX52" s="6">
        <v>0</v>
      </c>
      <c r="BY52" s="6">
        <f t="shared" si="41"/>
        <v>0</v>
      </c>
      <c r="BZ52" s="6">
        <f t="shared" si="42"/>
        <v>0</v>
      </c>
      <c r="CA52" s="6">
        <v>0</v>
      </c>
      <c r="CB52" s="6">
        <f t="shared" si="43"/>
        <v>0</v>
      </c>
      <c r="CC52" s="6">
        <f t="shared" si="44"/>
        <v>0</v>
      </c>
      <c r="CD52" s="6">
        <v>0</v>
      </c>
      <c r="CE52" s="6">
        <f t="shared" si="45"/>
        <v>0</v>
      </c>
      <c r="CF52" s="6">
        <f t="shared" si="46"/>
        <v>0</v>
      </c>
      <c r="CG52" s="6">
        <v>0</v>
      </c>
      <c r="CH52" s="6">
        <f t="shared" si="47"/>
        <v>0</v>
      </c>
      <c r="CI52" s="6">
        <f t="shared" si="48"/>
        <v>0</v>
      </c>
      <c r="CJ52" s="6">
        <v>0</v>
      </c>
      <c r="CK52" s="6">
        <f t="shared" si="49"/>
        <v>0</v>
      </c>
      <c r="CL52" s="6">
        <f t="shared" si="50"/>
        <v>0</v>
      </c>
      <c r="CM52" s="6">
        <v>0</v>
      </c>
      <c r="CN52" s="6">
        <f t="shared" si="51"/>
        <v>0</v>
      </c>
      <c r="CO52" s="6">
        <f t="shared" si="52"/>
        <v>0</v>
      </c>
      <c r="CP52" s="6">
        <v>0</v>
      </c>
      <c r="CQ52" s="6">
        <f t="shared" si="53"/>
        <v>0</v>
      </c>
      <c r="CR52" s="6">
        <f t="shared" si="54"/>
        <v>0</v>
      </c>
      <c r="CS52" s="6">
        <v>0</v>
      </c>
      <c r="CT52" s="6">
        <f t="shared" si="55"/>
        <v>0</v>
      </c>
      <c r="CU52" s="6">
        <f t="shared" si="56"/>
        <v>0</v>
      </c>
      <c r="CV52" s="6">
        <v>0</v>
      </c>
      <c r="CW52" s="6">
        <f t="shared" si="57"/>
        <v>0</v>
      </c>
      <c r="CX52" s="6">
        <f t="shared" si="58"/>
        <v>0</v>
      </c>
      <c r="CY52" s="6">
        <v>0</v>
      </c>
      <c r="CZ52" s="6">
        <f t="shared" si="59"/>
        <v>0</v>
      </c>
      <c r="DA52" s="6">
        <f t="shared" si="60"/>
        <v>0</v>
      </c>
      <c r="DB52" s="6">
        <v>0</v>
      </c>
      <c r="DC52" s="6">
        <f t="shared" si="61"/>
        <v>0</v>
      </c>
      <c r="DD52" s="6">
        <f t="shared" si="62"/>
        <v>0</v>
      </c>
      <c r="DE52" s="6">
        <v>0</v>
      </c>
      <c r="DF52" s="6">
        <f t="shared" si="63"/>
        <v>0</v>
      </c>
      <c r="DG52" s="6">
        <f t="shared" si="64"/>
        <v>0</v>
      </c>
      <c r="DH52" s="6">
        <v>0</v>
      </c>
      <c r="DI52" s="6">
        <f t="shared" si="65"/>
        <v>0</v>
      </c>
      <c r="DJ52" s="6">
        <f t="shared" si="66"/>
        <v>0</v>
      </c>
      <c r="DK52" s="6">
        <v>0</v>
      </c>
      <c r="DL52" s="6">
        <f t="shared" si="67"/>
        <v>0</v>
      </c>
      <c r="DM52" s="6">
        <f t="shared" si="68"/>
        <v>0</v>
      </c>
      <c r="DN52" s="6">
        <v>0</v>
      </c>
      <c r="DO52" s="6">
        <f t="shared" si="69"/>
        <v>0</v>
      </c>
      <c r="DP52" s="6">
        <f t="shared" si="70"/>
        <v>0</v>
      </c>
    </row>
    <row r="53" spans="1:120" x14ac:dyDescent="0.2">
      <c r="A53" s="21">
        <v>81</v>
      </c>
      <c r="B53" s="21" t="s">
        <v>132</v>
      </c>
      <c r="C53" s="21">
        <v>81065</v>
      </c>
      <c r="D53" s="21" t="s">
        <v>682</v>
      </c>
      <c r="E53" s="21" t="s">
        <v>683</v>
      </c>
      <c r="F53" s="22" t="s">
        <v>662</v>
      </c>
      <c r="G53" s="4" t="s">
        <v>165</v>
      </c>
      <c r="H53" s="6">
        <v>376408.8</v>
      </c>
      <c r="I53" s="6">
        <f t="shared" si="75"/>
        <v>1031.2569863013698</v>
      </c>
      <c r="J53" s="6">
        <v>450794.29859999998</v>
      </c>
      <c r="K53" s="6">
        <v>558979.38</v>
      </c>
      <c r="L53" s="6">
        <f t="shared" si="76"/>
        <v>1527.2660655737704</v>
      </c>
      <c r="M53" s="6">
        <v>304016.93219999998</v>
      </c>
      <c r="N53" s="6">
        <v>592735.56000000006</v>
      </c>
      <c r="O53" s="6">
        <f t="shared" si="73"/>
        <v>1623.9330410958905</v>
      </c>
      <c r="P53" s="6">
        <v>188721</v>
      </c>
      <c r="Q53" s="6">
        <v>252718.28</v>
      </c>
      <c r="R53" s="6">
        <f t="shared" si="77"/>
        <v>1396.2335911602211</v>
      </c>
      <c r="S53" s="6">
        <v>157595</v>
      </c>
      <c r="T53" s="6">
        <f t="shared" si="3"/>
        <v>157595</v>
      </c>
      <c r="U53" s="6">
        <f t="shared" si="4"/>
        <v>431.76712328767121</v>
      </c>
      <c r="V53" s="6">
        <v>160719</v>
      </c>
      <c r="W53" s="6">
        <f t="shared" si="5"/>
        <v>160719</v>
      </c>
      <c r="X53" s="6">
        <f t="shared" si="6"/>
        <v>440.32602739726025</v>
      </c>
      <c r="Y53" s="6">
        <v>119083</v>
      </c>
      <c r="Z53" s="6">
        <f t="shared" si="7"/>
        <v>119083</v>
      </c>
      <c r="AA53" s="6">
        <f t="shared" si="8"/>
        <v>326.25479452054793</v>
      </c>
      <c r="AB53" s="6">
        <v>108087</v>
      </c>
      <c r="AC53" s="6">
        <f t="shared" si="9"/>
        <v>108087</v>
      </c>
      <c r="AD53" s="6">
        <f t="shared" si="10"/>
        <v>296.12876712328767</v>
      </c>
      <c r="AE53" s="6">
        <v>71730</v>
      </c>
      <c r="AF53" s="6">
        <f t="shared" si="11"/>
        <v>71730</v>
      </c>
      <c r="AG53" s="6">
        <f t="shared" si="12"/>
        <v>196.52054794520549</v>
      </c>
      <c r="AH53" s="6">
        <v>52764</v>
      </c>
      <c r="AI53" s="6">
        <f t="shared" si="13"/>
        <v>52764</v>
      </c>
      <c r="AJ53" s="6">
        <f t="shared" si="14"/>
        <v>144.55890410958904</v>
      </c>
      <c r="AK53" s="6">
        <v>42024</v>
      </c>
      <c r="AL53" s="6">
        <f t="shared" si="15"/>
        <v>42024</v>
      </c>
      <c r="AM53" s="6">
        <f t="shared" si="16"/>
        <v>115.13424657534246</v>
      </c>
      <c r="AN53" s="6">
        <v>35485</v>
      </c>
      <c r="AO53" s="6">
        <f t="shared" si="17"/>
        <v>35485</v>
      </c>
      <c r="AP53" s="6">
        <f t="shared" si="18"/>
        <v>97.219178082191775</v>
      </c>
      <c r="AQ53" s="6">
        <v>25785</v>
      </c>
      <c r="AR53" s="6">
        <f t="shared" si="19"/>
        <v>25785</v>
      </c>
      <c r="AS53" s="6">
        <f t="shared" si="20"/>
        <v>70.643835616438352</v>
      </c>
      <c r="AT53" s="6">
        <v>0</v>
      </c>
      <c r="AU53" s="6">
        <f t="shared" si="21"/>
        <v>0</v>
      </c>
      <c r="AV53" s="6">
        <f t="shared" si="22"/>
        <v>0</v>
      </c>
      <c r="AW53" s="6">
        <v>0</v>
      </c>
      <c r="AX53" s="6">
        <f t="shared" si="23"/>
        <v>0</v>
      </c>
      <c r="AY53" s="6">
        <f t="shared" si="24"/>
        <v>0</v>
      </c>
      <c r="AZ53" s="6">
        <v>0</v>
      </c>
      <c r="BA53" s="6">
        <f t="shared" si="25"/>
        <v>0</v>
      </c>
      <c r="BB53" s="6">
        <f t="shared" si="26"/>
        <v>0</v>
      </c>
      <c r="BC53" s="6">
        <v>0</v>
      </c>
      <c r="BD53" s="6">
        <f t="shared" si="27"/>
        <v>0</v>
      </c>
      <c r="BE53" s="6">
        <f t="shared" si="28"/>
        <v>0</v>
      </c>
      <c r="BF53" s="6">
        <v>0</v>
      </c>
      <c r="BG53" s="6">
        <f t="shared" si="29"/>
        <v>0</v>
      </c>
      <c r="BH53" s="6">
        <f t="shared" si="30"/>
        <v>0</v>
      </c>
      <c r="BI53" s="6">
        <v>0</v>
      </c>
      <c r="BJ53" s="6">
        <f t="shared" si="31"/>
        <v>0</v>
      </c>
      <c r="BK53" s="6">
        <f t="shared" si="32"/>
        <v>0</v>
      </c>
      <c r="BL53" s="6">
        <v>0</v>
      </c>
      <c r="BM53" s="6">
        <f t="shared" si="33"/>
        <v>0</v>
      </c>
      <c r="BN53" s="6">
        <f t="shared" si="34"/>
        <v>0</v>
      </c>
      <c r="BO53" s="6">
        <v>0</v>
      </c>
      <c r="BP53" s="6">
        <f t="shared" si="35"/>
        <v>0</v>
      </c>
      <c r="BQ53" s="6">
        <f t="shared" si="36"/>
        <v>0</v>
      </c>
      <c r="BR53" s="6">
        <v>0</v>
      </c>
      <c r="BS53" s="6">
        <f t="shared" si="37"/>
        <v>0</v>
      </c>
      <c r="BT53" s="6">
        <f t="shared" si="38"/>
        <v>0</v>
      </c>
      <c r="BU53" s="6">
        <v>0</v>
      </c>
      <c r="BV53" s="6">
        <f t="shared" si="39"/>
        <v>0</v>
      </c>
      <c r="BW53" s="6">
        <f t="shared" si="40"/>
        <v>0</v>
      </c>
      <c r="BX53" s="6">
        <v>0</v>
      </c>
      <c r="BY53" s="6">
        <f t="shared" si="41"/>
        <v>0</v>
      </c>
      <c r="BZ53" s="6">
        <f t="shared" si="42"/>
        <v>0</v>
      </c>
      <c r="CA53" s="6">
        <v>0</v>
      </c>
      <c r="CB53" s="6">
        <f t="shared" si="43"/>
        <v>0</v>
      </c>
      <c r="CC53" s="6">
        <f t="shared" si="44"/>
        <v>0</v>
      </c>
      <c r="CD53" s="6">
        <v>0</v>
      </c>
      <c r="CE53" s="6">
        <f t="shared" si="45"/>
        <v>0</v>
      </c>
      <c r="CF53" s="6">
        <f t="shared" si="46"/>
        <v>0</v>
      </c>
      <c r="CG53" s="6">
        <v>0</v>
      </c>
      <c r="CH53" s="6">
        <f t="shared" si="47"/>
        <v>0</v>
      </c>
      <c r="CI53" s="6">
        <f t="shared" si="48"/>
        <v>0</v>
      </c>
      <c r="CJ53" s="6">
        <v>0</v>
      </c>
      <c r="CK53" s="6">
        <f t="shared" si="49"/>
        <v>0</v>
      </c>
      <c r="CL53" s="6">
        <f t="shared" si="50"/>
        <v>0</v>
      </c>
      <c r="CM53" s="6">
        <v>0</v>
      </c>
      <c r="CN53" s="6">
        <f t="shared" si="51"/>
        <v>0</v>
      </c>
      <c r="CO53" s="6">
        <f t="shared" si="52"/>
        <v>0</v>
      </c>
      <c r="CP53" s="6">
        <v>0</v>
      </c>
      <c r="CQ53" s="6">
        <f t="shared" si="53"/>
        <v>0</v>
      </c>
      <c r="CR53" s="6">
        <f t="shared" si="54"/>
        <v>0</v>
      </c>
      <c r="CS53" s="6">
        <v>0</v>
      </c>
      <c r="CT53" s="6">
        <f t="shared" si="55"/>
        <v>0</v>
      </c>
      <c r="CU53" s="6">
        <f t="shared" si="56"/>
        <v>0</v>
      </c>
      <c r="CV53" s="6">
        <v>0</v>
      </c>
      <c r="CW53" s="6">
        <f t="shared" si="57"/>
        <v>0</v>
      </c>
      <c r="CX53" s="6">
        <f t="shared" si="58"/>
        <v>0</v>
      </c>
      <c r="CY53" s="6">
        <v>0</v>
      </c>
      <c r="CZ53" s="6">
        <f t="shared" si="59"/>
        <v>0</v>
      </c>
      <c r="DA53" s="6">
        <f t="shared" si="60"/>
        <v>0</v>
      </c>
      <c r="DB53" s="6">
        <v>0</v>
      </c>
      <c r="DC53" s="6">
        <f t="shared" si="61"/>
        <v>0</v>
      </c>
      <c r="DD53" s="6">
        <f t="shared" si="62"/>
        <v>0</v>
      </c>
      <c r="DE53" s="6">
        <v>0</v>
      </c>
      <c r="DF53" s="6">
        <f t="shared" si="63"/>
        <v>0</v>
      </c>
      <c r="DG53" s="6">
        <f t="shared" si="64"/>
        <v>0</v>
      </c>
      <c r="DH53" s="6">
        <v>0</v>
      </c>
      <c r="DI53" s="6">
        <f t="shared" si="65"/>
        <v>0</v>
      </c>
      <c r="DJ53" s="6">
        <f t="shared" si="66"/>
        <v>0</v>
      </c>
      <c r="DK53" s="6">
        <v>0</v>
      </c>
      <c r="DL53" s="6">
        <f t="shared" si="67"/>
        <v>0</v>
      </c>
      <c r="DM53" s="6">
        <f t="shared" si="68"/>
        <v>0</v>
      </c>
      <c r="DN53" s="6">
        <v>0</v>
      </c>
      <c r="DO53" s="6">
        <f t="shared" si="69"/>
        <v>0</v>
      </c>
      <c r="DP53" s="6">
        <f t="shared" si="70"/>
        <v>0</v>
      </c>
    </row>
    <row r="54" spans="1:120" x14ac:dyDescent="0.2">
      <c r="A54" s="21">
        <v>50</v>
      </c>
      <c r="B54" s="21" t="s">
        <v>675</v>
      </c>
      <c r="C54" s="21">
        <v>50568</v>
      </c>
      <c r="D54" s="21" t="s">
        <v>700</v>
      </c>
      <c r="E54" s="21" t="s">
        <v>522</v>
      </c>
      <c r="F54" s="22" t="s">
        <v>693</v>
      </c>
      <c r="G54" s="4" t="s">
        <v>166</v>
      </c>
      <c r="H54" s="6">
        <v>11647128.83</v>
      </c>
      <c r="I54" s="6">
        <f t="shared" si="75"/>
        <v>31909.941999999999</v>
      </c>
      <c r="J54" s="6">
        <v>14185032</v>
      </c>
      <c r="K54" s="6">
        <v>14472731.51</v>
      </c>
      <c r="L54" s="6">
        <f t="shared" si="76"/>
        <v>39542.982267759566</v>
      </c>
      <c r="M54" s="6">
        <v>17650964</v>
      </c>
      <c r="N54" s="6">
        <v>18524298.23</v>
      </c>
      <c r="O54" s="6">
        <f t="shared" si="73"/>
        <v>50751.502</v>
      </c>
      <c r="P54" s="6">
        <v>18570490</v>
      </c>
      <c r="Q54" s="6">
        <v>9039548.1500000004</v>
      </c>
      <c r="R54" s="6">
        <f t="shared" si="77"/>
        <v>49942.254972375689</v>
      </c>
      <c r="S54" s="6">
        <v>18684287</v>
      </c>
      <c r="T54" s="6">
        <f t="shared" si="3"/>
        <v>18684287</v>
      </c>
      <c r="U54" s="6">
        <f t="shared" si="4"/>
        <v>51189.827397260276</v>
      </c>
      <c r="V54" s="6">
        <v>17611822</v>
      </c>
      <c r="W54" s="6">
        <f t="shared" si="5"/>
        <v>17611822</v>
      </c>
      <c r="X54" s="6">
        <f t="shared" si="6"/>
        <v>48251.56712328767</v>
      </c>
      <c r="Y54" s="6">
        <v>13861502</v>
      </c>
      <c r="Z54" s="6">
        <f t="shared" si="7"/>
        <v>13861502</v>
      </c>
      <c r="AA54" s="6">
        <f t="shared" si="8"/>
        <v>37976.717808219175</v>
      </c>
      <c r="AB54" s="6">
        <v>10042740</v>
      </c>
      <c r="AC54" s="6">
        <f t="shared" si="9"/>
        <v>10042740</v>
      </c>
      <c r="AD54" s="6">
        <f t="shared" si="10"/>
        <v>27514.35616438356</v>
      </c>
      <c r="AE54" s="6">
        <v>7211805</v>
      </c>
      <c r="AF54" s="6">
        <f t="shared" si="11"/>
        <v>7211805</v>
      </c>
      <c r="AG54" s="6">
        <f t="shared" si="12"/>
        <v>19758.369863013697</v>
      </c>
      <c r="AH54" s="6">
        <v>5022749</v>
      </c>
      <c r="AI54" s="6">
        <f t="shared" si="13"/>
        <v>5022749</v>
      </c>
      <c r="AJ54" s="6">
        <f t="shared" si="14"/>
        <v>13760.956164383562</v>
      </c>
      <c r="AK54" s="6">
        <v>3395175</v>
      </c>
      <c r="AL54" s="6">
        <f t="shared" si="15"/>
        <v>3395175</v>
      </c>
      <c r="AM54" s="6">
        <f t="shared" si="16"/>
        <v>9301.8493150684935</v>
      </c>
      <c r="AN54" s="6">
        <v>2313201</v>
      </c>
      <c r="AO54" s="6">
        <f t="shared" si="17"/>
        <v>2313201</v>
      </c>
      <c r="AP54" s="6">
        <f t="shared" si="18"/>
        <v>6337.5369863013702</v>
      </c>
      <c r="AQ54" s="6">
        <v>1585615</v>
      </c>
      <c r="AR54" s="6">
        <f t="shared" si="19"/>
        <v>1585615</v>
      </c>
      <c r="AS54" s="6">
        <f t="shared" si="20"/>
        <v>4344.1506849315065</v>
      </c>
      <c r="AT54" s="6">
        <v>987148</v>
      </c>
      <c r="AU54" s="6">
        <f t="shared" si="21"/>
        <v>987148</v>
      </c>
      <c r="AV54" s="6">
        <f t="shared" si="22"/>
        <v>2704.5150684931505</v>
      </c>
      <c r="AW54" s="6">
        <v>0</v>
      </c>
      <c r="AX54" s="6">
        <f t="shared" si="23"/>
        <v>0</v>
      </c>
      <c r="AY54" s="6">
        <f t="shared" si="24"/>
        <v>0</v>
      </c>
      <c r="AZ54" s="6">
        <v>0</v>
      </c>
      <c r="BA54" s="6">
        <f t="shared" si="25"/>
        <v>0</v>
      </c>
      <c r="BB54" s="6">
        <f t="shared" si="26"/>
        <v>0</v>
      </c>
      <c r="BC54" s="6">
        <v>0</v>
      </c>
      <c r="BD54" s="6">
        <f t="shared" si="27"/>
        <v>0</v>
      </c>
      <c r="BE54" s="6">
        <f t="shared" si="28"/>
        <v>0</v>
      </c>
      <c r="BF54" s="6">
        <v>0</v>
      </c>
      <c r="BG54" s="6">
        <f t="shared" si="29"/>
        <v>0</v>
      </c>
      <c r="BH54" s="6">
        <f t="shared" si="30"/>
        <v>0</v>
      </c>
      <c r="BI54" s="6">
        <v>0</v>
      </c>
      <c r="BJ54" s="6">
        <f t="shared" si="31"/>
        <v>0</v>
      </c>
      <c r="BK54" s="6">
        <f t="shared" si="32"/>
        <v>0</v>
      </c>
      <c r="BL54" s="6">
        <v>0</v>
      </c>
      <c r="BM54" s="6">
        <f t="shared" si="33"/>
        <v>0</v>
      </c>
      <c r="BN54" s="6">
        <f t="shared" si="34"/>
        <v>0</v>
      </c>
      <c r="BO54" s="6">
        <v>0</v>
      </c>
      <c r="BP54" s="6">
        <f t="shared" si="35"/>
        <v>0</v>
      </c>
      <c r="BQ54" s="6">
        <f t="shared" si="36"/>
        <v>0</v>
      </c>
      <c r="BR54" s="6">
        <v>0</v>
      </c>
      <c r="BS54" s="6">
        <f t="shared" si="37"/>
        <v>0</v>
      </c>
      <c r="BT54" s="6">
        <f t="shared" si="38"/>
        <v>0</v>
      </c>
      <c r="BU54" s="6">
        <v>0</v>
      </c>
      <c r="BV54" s="6">
        <f t="shared" si="39"/>
        <v>0</v>
      </c>
      <c r="BW54" s="6">
        <f t="shared" si="40"/>
        <v>0</v>
      </c>
      <c r="BX54" s="6">
        <v>0</v>
      </c>
      <c r="BY54" s="6">
        <f t="shared" si="41"/>
        <v>0</v>
      </c>
      <c r="BZ54" s="6">
        <f t="shared" si="42"/>
        <v>0</v>
      </c>
      <c r="CA54" s="6">
        <v>0</v>
      </c>
      <c r="CB54" s="6">
        <f t="shared" si="43"/>
        <v>0</v>
      </c>
      <c r="CC54" s="6">
        <f t="shared" si="44"/>
        <v>0</v>
      </c>
      <c r="CD54" s="6">
        <v>0</v>
      </c>
      <c r="CE54" s="6">
        <f t="shared" si="45"/>
        <v>0</v>
      </c>
      <c r="CF54" s="6">
        <f t="shared" si="46"/>
        <v>0</v>
      </c>
      <c r="CG54" s="6">
        <v>0</v>
      </c>
      <c r="CH54" s="6">
        <f t="shared" si="47"/>
        <v>0</v>
      </c>
      <c r="CI54" s="6">
        <f t="shared" si="48"/>
        <v>0</v>
      </c>
      <c r="CJ54" s="6">
        <v>0</v>
      </c>
      <c r="CK54" s="6">
        <f t="shared" si="49"/>
        <v>0</v>
      </c>
      <c r="CL54" s="6">
        <f t="shared" si="50"/>
        <v>0</v>
      </c>
      <c r="CM54" s="6">
        <v>0</v>
      </c>
      <c r="CN54" s="6">
        <f t="shared" si="51"/>
        <v>0</v>
      </c>
      <c r="CO54" s="6">
        <f t="shared" si="52"/>
        <v>0</v>
      </c>
      <c r="CP54" s="6">
        <v>0</v>
      </c>
      <c r="CQ54" s="6">
        <f t="shared" si="53"/>
        <v>0</v>
      </c>
      <c r="CR54" s="6">
        <f t="shared" si="54"/>
        <v>0</v>
      </c>
      <c r="CS54" s="6">
        <v>0</v>
      </c>
      <c r="CT54" s="6">
        <f t="shared" si="55"/>
        <v>0</v>
      </c>
      <c r="CU54" s="6">
        <f t="shared" si="56"/>
        <v>0</v>
      </c>
      <c r="CV54" s="6">
        <v>0</v>
      </c>
      <c r="CW54" s="6">
        <f t="shared" si="57"/>
        <v>0</v>
      </c>
      <c r="CX54" s="6">
        <f t="shared" si="58"/>
        <v>0</v>
      </c>
      <c r="CY54" s="6">
        <v>0</v>
      </c>
      <c r="CZ54" s="6">
        <f t="shared" si="59"/>
        <v>0</v>
      </c>
      <c r="DA54" s="6">
        <f t="shared" si="60"/>
        <v>0</v>
      </c>
      <c r="DB54" s="6">
        <v>0</v>
      </c>
      <c r="DC54" s="6">
        <f t="shared" si="61"/>
        <v>0</v>
      </c>
      <c r="DD54" s="6">
        <f t="shared" si="62"/>
        <v>0</v>
      </c>
      <c r="DE54" s="6">
        <v>0</v>
      </c>
      <c r="DF54" s="6">
        <f t="shared" si="63"/>
        <v>0</v>
      </c>
      <c r="DG54" s="6">
        <f t="shared" si="64"/>
        <v>0</v>
      </c>
      <c r="DH54" s="6">
        <v>0</v>
      </c>
      <c r="DI54" s="6">
        <f t="shared" si="65"/>
        <v>0</v>
      </c>
      <c r="DJ54" s="6">
        <f t="shared" si="66"/>
        <v>0</v>
      </c>
      <c r="DK54" s="6">
        <v>0</v>
      </c>
      <c r="DL54" s="6">
        <f t="shared" si="67"/>
        <v>0</v>
      </c>
      <c r="DM54" s="6">
        <f t="shared" si="68"/>
        <v>0</v>
      </c>
      <c r="DN54" s="6">
        <v>0</v>
      </c>
      <c r="DO54" s="6">
        <f t="shared" si="69"/>
        <v>0</v>
      </c>
      <c r="DP54" s="6">
        <f t="shared" si="70"/>
        <v>0</v>
      </c>
    </row>
    <row r="55" spans="1:120" x14ac:dyDescent="0.2">
      <c r="A55" s="21">
        <v>81</v>
      </c>
      <c r="B55" s="21" t="s">
        <v>132</v>
      </c>
      <c r="C55" s="21">
        <v>81001</v>
      </c>
      <c r="D55" s="21" t="s">
        <v>132</v>
      </c>
      <c r="E55" s="21" t="s">
        <v>683</v>
      </c>
      <c r="F55" s="22" t="s">
        <v>662</v>
      </c>
      <c r="G55" s="4" t="s">
        <v>167</v>
      </c>
      <c r="H55" s="6">
        <v>1189583.46</v>
      </c>
      <c r="I55" s="6">
        <f t="shared" si="75"/>
        <v>3259.1327671232875</v>
      </c>
      <c r="J55" s="6">
        <v>931280.14720000001</v>
      </c>
      <c r="K55" s="6">
        <v>1058331.07</v>
      </c>
      <c r="L55" s="6">
        <f t="shared" si="76"/>
        <v>2891.6149453551916</v>
      </c>
      <c r="M55" s="6">
        <v>737335.24060000002</v>
      </c>
      <c r="N55" s="6">
        <v>986547.18</v>
      </c>
      <c r="O55" s="6">
        <f t="shared" si="73"/>
        <v>2702.8689863013701</v>
      </c>
      <c r="P55" s="6">
        <v>649822</v>
      </c>
      <c r="Q55" s="6">
        <v>501497.69</v>
      </c>
      <c r="R55" s="6">
        <f t="shared" si="77"/>
        <v>2770.7054696132595</v>
      </c>
      <c r="S55" s="6">
        <v>554054</v>
      </c>
      <c r="T55" s="6">
        <f t="shared" si="3"/>
        <v>554054</v>
      </c>
      <c r="U55" s="6">
        <f t="shared" si="4"/>
        <v>1517.9561643835616</v>
      </c>
      <c r="V55" s="6">
        <v>437631</v>
      </c>
      <c r="W55" s="6">
        <f t="shared" si="5"/>
        <v>437631</v>
      </c>
      <c r="X55" s="6">
        <f t="shared" si="6"/>
        <v>1198.9890410958903</v>
      </c>
      <c r="Y55" s="6">
        <v>346450</v>
      </c>
      <c r="Z55" s="6">
        <f t="shared" si="7"/>
        <v>346450</v>
      </c>
      <c r="AA55" s="6">
        <f t="shared" si="8"/>
        <v>949.17808219178085</v>
      </c>
      <c r="AB55" s="6">
        <v>261438</v>
      </c>
      <c r="AC55" s="6">
        <f t="shared" si="9"/>
        <v>261438</v>
      </c>
      <c r="AD55" s="6">
        <f t="shared" si="10"/>
        <v>716.26849315068489</v>
      </c>
      <c r="AE55" s="6">
        <v>193962</v>
      </c>
      <c r="AF55" s="6">
        <f t="shared" si="11"/>
        <v>193962</v>
      </c>
      <c r="AG55" s="6">
        <f t="shared" si="12"/>
        <v>531.40273972602745</v>
      </c>
      <c r="AH55" s="6">
        <v>154559</v>
      </c>
      <c r="AI55" s="6">
        <f t="shared" si="13"/>
        <v>154559</v>
      </c>
      <c r="AJ55" s="6">
        <f t="shared" si="14"/>
        <v>423.44931506849315</v>
      </c>
      <c r="AK55" s="6">
        <v>132612</v>
      </c>
      <c r="AL55" s="6">
        <f t="shared" si="15"/>
        <v>132612</v>
      </c>
      <c r="AM55" s="6">
        <f t="shared" si="16"/>
        <v>363.32054794520548</v>
      </c>
      <c r="AN55" s="6">
        <v>108151</v>
      </c>
      <c r="AO55" s="6">
        <f t="shared" si="17"/>
        <v>108151</v>
      </c>
      <c r="AP55" s="6">
        <f t="shared" si="18"/>
        <v>296.3041095890411</v>
      </c>
      <c r="AQ55" s="6">
        <v>0</v>
      </c>
      <c r="AR55" s="6">
        <f t="shared" si="19"/>
        <v>0</v>
      </c>
      <c r="AS55" s="6">
        <f t="shared" si="20"/>
        <v>0</v>
      </c>
      <c r="AT55" s="6">
        <v>0</v>
      </c>
      <c r="AU55" s="6">
        <f t="shared" si="21"/>
        <v>0</v>
      </c>
      <c r="AV55" s="6">
        <f t="shared" si="22"/>
        <v>0</v>
      </c>
      <c r="AW55" s="6">
        <v>0</v>
      </c>
      <c r="AX55" s="6">
        <f t="shared" si="23"/>
        <v>0</v>
      </c>
      <c r="AY55" s="6">
        <f t="shared" si="24"/>
        <v>0</v>
      </c>
      <c r="AZ55" s="6">
        <v>0</v>
      </c>
      <c r="BA55" s="6">
        <f t="shared" si="25"/>
        <v>0</v>
      </c>
      <c r="BB55" s="6">
        <f t="shared" si="26"/>
        <v>0</v>
      </c>
      <c r="BC55" s="6">
        <v>0</v>
      </c>
      <c r="BD55" s="6">
        <f t="shared" si="27"/>
        <v>0</v>
      </c>
      <c r="BE55" s="6">
        <f t="shared" si="28"/>
        <v>0</v>
      </c>
      <c r="BF55" s="6">
        <v>0</v>
      </c>
      <c r="BG55" s="6">
        <f t="shared" si="29"/>
        <v>0</v>
      </c>
      <c r="BH55" s="6">
        <f t="shared" si="30"/>
        <v>0</v>
      </c>
      <c r="BI55" s="6">
        <v>0</v>
      </c>
      <c r="BJ55" s="6">
        <f t="shared" si="31"/>
        <v>0</v>
      </c>
      <c r="BK55" s="6">
        <f t="shared" si="32"/>
        <v>0</v>
      </c>
      <c r="BL55" s="6">
        <v>0</v>
      </c>
      <c r="BM55" s="6">
        <f t="shared" si="33"/>
        <v>0</v>
      </c>
      <c r="BN55" s="6">
        <f t="shared" si="34"/>
        <v>0</v>
      </c>
      <c r="BO55" s="6">
        <v>0</v>
      </c>
      <c r="BP55" s="6">
        <f t="shared" si="35"/>
        <v>0</v>
      </c>
      <c r="BQ55" s="6">
        <f t="shared" si="36"/>
        <v>0</v>
      </c>
      <c r="BR55" s="6">
        <v>0</v>
      </c>
      <c r="BS55" s="6">
        <f t="shared" si="37"/>
        <v>0</v>
      </c>
      <c r="BT55" s="6">
        <f t="shared" si="38"/>
        <v>0</v>
      </c>
      <c r="BU55" s="6">
        <v>0</v>
      </c>
      <c r="BV55" s="6">
        <f t="shared" si="39"/>
        <v>0</v>
      </c>
      <c r="BW55" s="6">
        <f t="shared" si="40"/>
        <v>0</v>
      </c>
      <c r="BX55" s="6">
        <v>0</v>
      </c>
      <c r="BY55" s="6">
        <f t="shared" si="41"/>
        <v>0</v>
      </c>
      <c r="BZ55" s="6">
        <f t="shared" si="42"/>
        <v>0</v>
      </c>
      <c r="CA55" s="6">
        <v>0</v>
      </c>
      <c r="CB55" s="6">
        <f t="shared" si="43"/>
        <v>0</v>
      </c>
      <c r="CC55" s="6">
        <f t="shared" si="44"/>
        <v>0</v>
      </c>
      <c r="CD55" s="6">
        <v>0</v>
      </c>
      <c r="CE55" s="6">
        <f t="shared" si="45"/>
        <v>0</v>
      </c>
      <c r="CF55" s="6">
        <f t="shared" si="46"/>
        <v>0</v>
      </c>
      <c r="CG55" s="6">
        <v>0</v>
      </c>
      <c r="CH55" s="6">
        <f t="shared" si="47"/>
        <v>0</v>
      </c>
      <c r="CI55" s="6">
        <f t="shared" si="48"/>
        <v>0</v>
      </c>
      <c r="CJ55" s="6">
        <v>0</v>
      </c>
      <c r="CK55" s="6">
        <f t="shared" si="49"/>
        <v>0</v>
      </c>
      <c r="CL55" s="6">
        <f t="shared" si="50"/>
        <v>0</v>
      </c>
      <c r="CM55" s="6">
        <v>0</v>
      </c>
      <c r="CN55" s="6">
        <f t="shared" si="51"/>
        <v>0</v>
      </c>
      <c r="CO55" s="6">
        <f t="shared" si="52"/>
        <v>0</v>
      </c>
      <c r="CP55" s="6">
        <v>0</v>
      </c>
      <c r="CQ55" s="6">
        <f t="shared" si="53"/>
        <v>0</v>
      </c>
      <c r="CR55" s="6">
        <f t="shared" si="54"/>
        <v>0</v>
      </c>
      <c r="CS55" s="6">
        <v>0</v>
      </c>
      <c r="CT55" s="6">
        <f t="shared" si="55"/>
        <v>0</v>
      </c>
      <c r="CU55" s="6">
        <f t="shared" si="56"/>
        <v>0</v>
      </c>
      <c r="CV55" s="6">
        <v>0</v>
      </c>
      <c r="CW55" s="6">
        <f t="shared" si="57"/>
        <v>0</v>
      </c>
      <c r="CX55" s="6">
        <f t="shared" si="58"/>
        <v>0</v>
      </c>
      <c r="CY55" s="6">
        <v>0</v>
      </c>
      <c r="CZ55" s="6">
        <f t="shared" si="59"/>
        <v>0</v>
      </c>
      <c r="DA55" s="6">
        <f t="shared" si="60"/>
        <v>0</v>
      </c>
      <c r="DB55" s="6">
        <v>0</v>
      </c>
      <c r="DC55" s="6">
        <f t="shared" si="61"/>
        <v>0</v>
      </c>
      <c r="DD55" s="6">
        <f t="shared" si="62"/>
        <v>0</v>
      </c>
      <c r="DE55" s="6">
        <v>0</v>
      </c>
      <c r="DF55" s="6">
        <f t="shared" si="63"/>
        <v>0</v>
      </c>
      <c r="DG55" s="6">
        <f t="shared" si="64"/>
        <v>0</v>
      </c>
      <c r="DH55" s="6">
        <v>0</v>
      </c>
      <c r="DI55" s="6">
        <f t="shared" si="65"/>
        <v>0</v>
      </c>
      <c r="DJ55" s="6">
        <f t="shared" si="66"/>
        <v>0</v>
      </c>
      <c r="DK55" s="6">
        <v>0</v>
      </c>
      <c r="DL55" s="6">
        <f t="shared" si="67"/>
        <v>0</v>
      </c>
      <c r="DM55" s="6">
        <f t="shared" si="68"/>
        <v>0</v>
      </c>
      <c r="DN55" s="6">
        <v>0</v>
      </c>
      <c r="DO55" s="6">
        <f t="shared" si="69"/>
        <v>0</v>
      </c>
      <c r="DP55" s="6">
        <f t="shared" si="70"/>
        <v>0</v>
      </c>
    </row>
    <row r="56" spans="1:120" x14ac:dyDescent="0.2">
      <c r="A56" s="21">
        <v>81</v>
      </c>
      <c r="B56" s="21" t="s">
        <v>132</v>
      </c>
      <c r="C56" s="21">
        <v>81794</v>
      </c>
      <c r="D56" s="21" t="s">
        <v>680</v>
      </c>
      <c r="E56" s="21" t="s">
        <v>671</v>
      </c>
      <c r="F56" s="22" t="s">
        <v>666</v>
      </c>
      <c r="G56" s="4" t="s">
        <v>168</v>
      </c>
      <c r="H56" s="6">
        <v>237609.71</v>
      </c>
      <c r="I56" s="6">
        <f t="shared" si="75"/>
        <v>650.98550684931502</v>
      </c>
      <c r="J56" s="6">
        <v>300901.10369999998</v>
      </c>
      <c r="K56" s="6">
        <v>316804.15999999997</v>
      </c>
      <c r="L56" s="6">
        <f t="shared" si="76"/>
        <v>865.58513661202176</v>
      </c>
      <c r="M56" s="6">
        <v>634407.21580000001</v>
      </c>
      <c r="N56" s="6">
        <v>297868.86</v>
      </c>
      <c r="O56" s="6">
        <f t="shared" si="73"/>
        <v>816.07906849315066</v>
      </c>
      <c r="P56" s="6">
        <v>946751.41480000003</v>
      </c>
      <c r="Q56" s="6">
        <v>84264.8</v>
      </c>
      <c r="R56" s="6">
        <f t="shared" si="77"/>
        <v>465.55138121546963</v>
      </c>
      <c r="S56" s="6">
        <v>611610.27379999997</v>
      </c>
      <c r="T56" s="6">
        <f t="shared" si="3"/>
        <v>611610.27379999997</v>
      </c>
      <c r="U56" s="6">
        <f t="shared" si="4"/>
        <v>1675.6445857534245</v>
      </c>
      <c r="V56" s="6">
        <v>433903.05050000001</v>
      </c>
      <c r="W56" s="6">
        <f t="shared" si="5"/>
        <v>433903.05050000001</v>
      </c>
      <c r="X56" s="6">
        <f t="shared" si="6"/>
        <v>1188.7754808219179</v>
      </c>
      <c r="Y56" s="6">
        <v>325019.74410000001</v>
      </c>
      <c r="Z56" s="6">
        <f t="shared" si="7"/>
        <v>325019.74410000001</v>
      </c>
      <c r="AA56" s="6">
        <f t="shared" si="8"/>
        <v>890.46505232876711</v>
      </c>
      <c r="AB56" s="6">
        <v>254564.47750000001</v>
      </c>
      <c r="AC56" s="6">
        <f t="shared" si="9"/>
        <v>254564.47750000001</v>
      </c>
      <c r="AD56" s="6">
        <f t="shared" si="10"/>
        <v>697.43692465753429</v>
      </c>
      <c r="AE56" s="6">
        <v>205540.6697</v>
      </c>
      <c r="AF56" s="6">
        <f t="shared" si="11"/>
        <v>205540.6697</v>
      </c>
      <c r="AG56" s="6">
        <f t="shared" si="12"/>
        <v>563.12512246575341</v>
      </c>
      <c r="AH56" s="6">
        <v>15665.906300000001</v>
      </c>
      <c r="AI56" s="6">
        <f t="shared" si="13"/>
        <v>15665.906300000001</v>
      </c>
      <c r="AJ56" s="6">
        <f t="shared" si="14"/>
        <v>42.920291232876714</v>
      </c>
      <c r="AK56" s="6">
        <v>0</v>
      </c>
      <c r="AL56" s="6">
        <f t="shared" si="15"/>
        <v>0</v>
      </c>
      <c r="AM56" s="6">
        <f t="shared" si="16"/>
        <v>0</v>
      </c>
      <c r="AN56" s="6">
        <v>0</v>
      </c>
      <c r="AO56" s="6">
        <f t="shared" si="17"/>
        <v>0</v>
      </c>
      <c r="AP56" s="6">
        <f t="shared" si="18"/>
        <v>0</v>
      </c>
      <c r="AQ56" s="6">
        <v>0</v>
      </c>
      <c r="AR56" s="6">
        <f t="shared" si="19"/>
        <v>0</v>
      </c>
      <c r="AS56" s="6">
        <f t="shared" si="20"/>
        <v>0</v>
      </c>
      <c r="AT56" s="6">
        <v>0</v>
      </c>
      <c r="AU56" s="6">
        <f t="shared" si="21"/>
        <v>0</v>
      </c>
      <c r="AV56" s="6">
        <f t="shared" si="22"/>
        <v>0</v>
      </c>
      <c r="AW56" s="6">
        <v>0</v>
      </c>
      <c r="AX56" s="6">
        <f t="shared" si="23"/>
        <v>0</v>
      </c>
      <c r="AY56" s="6">
        <f t="shared" si="24"/>
        <v>0</v>
      </c>
      <c r="AZ56" s="6">
        <v>0</v>
      </c>
      <c r="BA56" s="6">
        <f t="shared" si="25"/>
        <v>0</v>
      </c>
      <c r="BB56" s="6">
        <f t="shared" si="26"/>
        <v>0</v>
      </c>
      <c r="BC56" s="6">
        <v>0</v>
      </c>
      <c r="BD56" s="6">
        <f t="shared" si="27"/>
        <v>0</v>
      </c>
      <c r="BE56" s="6">
        <f t="shared" si="28"/>
        <v>0</v>
      </c>
      <c r="BF56" s="6">
        <v>0</v>
      </c>
      <c r="BG56" s="6">
        <f t="shared" si="29"/>
        <v>0</v>
      </c>
      <c r="BH56" s="6">
        <f t="shared" si="30"/>
        <v>0</v>
      </c>
      <c r="BI56" s="6">
        <v>0</v>
      </c>
      <c r="BJ56" s="6">
        <f t="shared" si="31"/>
        <v>0</v>
      </c>
      <c r="BK56" s="6">
        <f t="shared" si="32"/>
        <v>0</v>
      </c>
      <c r="BL56" s="6">
        <v>0</v>
      </c>
      <c r="BM56" s="6">
        <f t="shared" si="33"/>
        <v>0</v>
      </c>
      <c r="BN56" s="6">
        <f t="shared" si="34"/>
        <v>0</v>
      </c>
      <c r="BO56" s="6">
        <v>0</v>
      </c>
      <c r="BP56" s="6">
        <f t="shared" si="35"/>
        <v>0</v>
      </c>
      <c r="BQ56" s="6">
        <f t="shared" si="36"/>
        <v>0</v>
      </c>
      <c r="BR56" s="6">
        <v>0</v>
      </c>
      <c r="BS56" s="6">
        <f t="shared" si="37"/>
        <v>0</v>
      </c>
      <c r="BT56" s="6">
        <f t="shared" si="38"/>
        <v>0</v>
      </c>
      <c r="BU56" s="6">
        <v>0</v>
      </c>
      <c r="BV56" s="6">
        <f t="shared" si="39"/>
        <v>0</v>
      </c>
      <c r="BW56" s="6">
        <f t="shared" si="40"/>
        <v>0</v>
      </c>
      <c r="BX56" s="6">
        <v>0</v>
      </c>
      <c r="BY56" s="6">
        <f t="shared" si="41"/>
        <v>0</v>
      </c>
      <c r="BZ56" s="6">
        <f t="shared" si="42"/>
        <v>0</v>
      </c>
      <c r="CA56" s="6">
        <v>0</v>
      </c>
      <c r="CB56" s="6">
        <f t="shared" si="43"/>
        <v>0</v>
      </c>
      <c r="CC56" s="6">
        <f t="shared" si="44"/>
        <v>0</v>
      </c>
      <c r="CD56" s="6">
        <v>0</v>
      </c>
      <c r="CE56" s="6">
        <f t="shared" si="45"/>
        <v>0</v>
      </c>
      <c r="CF56" s="6">
        <f t="shared" si="46"/>
        <v>0</v>
      </c>
      <c r="CG56" s="6">
        <v>0</v>
      </c>
      <c r="CH56" s="6">
        <f t="shared" si="47"/>
        <v>0</v>
      </c>
      <c r="CI56" s="6">
        <f t="shared" si="48"/>
        <v>0</v>
      </c>
      <c r="CJ56" s="6">
        <v>0</v>
      </c>
      <c r="CK56" s="6">
        <f t="shared" si="49"/>
        <v>0</v>
      </c>
      <c r="CL56" s="6">
        <f t="shared" si="50"/>
        <v>0</v>
      </c>
      <c r="CM56" s="6">
        <v>0</v>
      </c>
      <c r="CN56" s="6">
        <f t="shared" si="51"/>
        <v>0</v>
      </c>
      <c r="CO56" s="6">
        <f t="shared" si="52"/>
        <v>0</v>
      </c>
      <c r="CP56" s="6">
        <v>0</v>
      </c>
      <c r="CQ56" s="6">
        <f t="shared" si="53"/>
        <v>0</v>
      </c>
      <c r="CR56" s="6">
        <f t="shared" si="54"/>
        <v>0</v>
      </c>
      <c r="CS56" s="6">
        <v>0</v>
      </c>
      <c r="CT56" s="6">
        <f t="shared" si="55"/>
        <v>0</v>
      </c>
      <c r="CU56" s="6">
        <f t="shared" si="56"/>
        <v>0</v>
      </c>
      <c r="CV56" s="6">
        <v>0</v>
      </c>
      <c r="CW56" s="6">
        <f t="shared" si="57"/>
        <v>0</v>
      </c>
      <c r="CX56" s="6">
        <f t="shared" si="58"/>
        <v>0</v>
      </c>
      <c r="CY56" s="6">
        <v>0</v>
      </c>
      <c r="CZ56" s="6">
        <f t="shared" si="59"/>
        <v>0</v>
      </c>
      <c r="DA56" s="6">
        <f t="shared" si="60"/>
        <v>0</v>
      </c>
      <c r="DB56" s="6">
        <v>0</v>
      </c>
      <c r="DC56" s="6">
        <f t="shared" si="61"/>
        <v>0</v>
      </c>
      <c r="DD56" s="6">
        <f t="shared" si="62"/>
        <v>0</v>
      </c>
      <c r="DE56" s="6">
        <v>0</v>
      </c>
      <c r="DF56" s="6">
        <f t="shared" si="63"/>
        <v>0</v>
      </c>
      <c r="DG56" s="6">
        <f t="shared" si="64"/>
        <v>0</v>
      </c>
      <c r="DH56" s="6">
        <v>0</v>
      </c>
      <c r="DI56" s="6">
        <f t="shared" si="65"/>
        <v>0</v>
      </c>
      <c r="DJ56" s="6">
        <f t="shared" si="66"/>
        <v>0</v>
      </c>
      <c r="DK56" s="6">
        <v>0</v>
      </c>
      <c r="DL56" s="6">
        <f t="shared" si="67"/>
        <v>0</v>
      </c>
      <c r="DM56" s="6">
        <f t="shared" si="68"/>
        <v>0</v>
      </c>
      <c r="DN56" s="6">
        <v>0</v>
      </c>
      <c r="DO56" s="6">
        <f t="shared" si="69"/>
        <v>0</v>
      </c>
      <c r="DP56" s="6">
        <f t="shared" si="70"/>
        <v>0</v>
      </c>
    </row>
    <row r="57" spans="1:120" x14ac:dyDescent="0.2">
      <c r="A57" s="21">
        <v>81</v>
      </c>
      <c r="B57" s="21" t="s">
        <v>132</v>
      </c>
      <c r="C57" s="21">
        <v>81794</v>
      </c>
      <c r="D57" s="21" t="s">
        <v>680</v>
      </c>
      <c r="E57" s="21" t="s">
        <v>671</v>
      </c>
      <c r="F57" s="22" t="s">
        <v>666</v>
      </c>
      <c r="G57" s="4" t="s">
        <v>169</v>
      </c>
      <c r="H57" s="6">
        <v>70135.22</v>
      </c>
      <c r="I57" s="6">
        <f t="shared" si="75"/>
        <v>192.15128767123289</v>
      </c>
      <c r="J57" s="6">
        <v>258313.33410000001</v>
      </c>
      <c r="K57" s="6">
        <v>199384.68</v>
      </c>
      <c r="L57" s="6">
        <f t="shared" si="76"/>
        <v>544.76688524590168</v>
      </c>
      <c r="M57" s="6">
        <v>214071.53779999999</v>
      </c>
      <c r="N57" s="6">
        <v>239264.29</v>
      </c>
      <c r="O57" s="6">
        <f t="shared" si="73"/>
        <v>655.51860273972602</v>
      </c>
      <c r="P57" s="6">
        <v>150224.42139999999</v>
      </c>
      <c r="Q57" s="6">
        <v>61617.89</v>
      </c>
      <c r="R57" s="6">
        <f t="shared" si="77"/>
        <v>340.43033149171271</v>
      </c>
      <c r="S57" s="6">
        <v>410373.70870000002</v>
      </c>
      <c r="T57" s="6">
        <f t="shared" si="3"/>
        <v>410373.70870000002</v>
      </c>
      <c r="U57" s="6">
        <f t="shared" si="4"/>
        <v>1124.3115306849315</v>
      </c>
      <c r="V57" s="6">
        <v>301913.52769999998</v>
      </c>
      <c r="W57" s="6">
        <f t="shared" si="5"/>
        <v>301913.52769999998</v>
      </c>
      <c r="X57" s="6">
        <f t="shared" si="6"/>
        <v>827.16034986301361</v>
      </c>
      <c r="Y57" s="6">
        <v>217774.92420000001</v>
      </c>
      <c r="Z57" s="6">
        <f t="shared" si="7"/>
        <v>217774.92420000001</v>
      </c>
      <c r="AA57" s="6">
        <f t="shared" si="8"/>
        <v>596.64362794520548</v>
      </c>
      <c r="AB57" s="6">
        <v>145715.36720000001</v>
      </c>
      <c r="AC57" s="6">
        <f t="shared" si="9"/>
        <v>145715.36720000001</v>
      </c>
      <c r="AD57" s="6">
        <f t="shared" si="10"/>
        <v>399.22018410958907</v>
      </c>
      <c r="AE57" s="6">
        <v>116620.0776</v>
      </c>
      <c r="AF57" s="6">
        <f t="shared" si="11"/>
        <v>116620.0776</v>
      </c>
      <c r="AG57" s="6">
        <f t="shared" si="12"/>
        <v>319.50706191780824</v>
      </c>
      <c r="AH57" s="6">
        <v>8840.9069999999992</v>
      </c>
      <c r="AI57" s="6">
        <f t="shared" si="13"/>
        <v>8840.9069999999992</v>
      </c>
      <c r="AJ57" s="6">
        <f t="shared" si="14"/>
        <v>24.221663013698628</v>
      </c>
      <c r="AK57" s="6">
        <v>0</v>
      </c>
      <c r="AL57" s="6">
        <f t="shared" si="15"/>
        <v>0</v>
      </c>
      <c r="AM57" s="6">
        <f t="shared" si="16"/>
        <v>0</v>
      </c>
      <c r="AN57" s="6">
        <v>0</v>
      </c>
      <c r="AO57" s="6">
        <f t="shared" si="17"/>
        <v>0</v>
      </c>
      <c r="AP57" s="6">
        <f t="shared" si="18"/>
        <v>0</v>
      </c>
      <c r="AQ57" s="6">
        <v>0</v>
      </c>
      <c r="AR57" s="6">
        <f t="shared" si="19"/>
        <v>0</v>
      </c>
      <c r="AS57" s="6">
        <f t="shared" si="20"/>
        <v>0</v>
      </c>
      <c r="AT57" s="6">
        <v>0</v>
      </c>
      <c r="AU57" s="6">
        <f t="shared" si="21"/>
        <v>0</v>
      </c>
      <c r="AV57" s="6">
        <f t="shared" si="22"/>
        <v>0</v>
      </c>
      <c r="AW57" s="6">
        <v>0</v>
      </c>
      <c r="AX57" s="6">
        <f t="shared" si="23"/>
        <v>0</v>
      </c>
      <c r="AY57" s="6">
        <f t="shared" si="24"/>
        <v>0</v>
      </c>
      <c r="AZ57" s="6">
        <v>0</v>
      </c>
      <c r="BA57" s="6">
        <f t="shared" si="25"/>
        <v>0</v>
      </c>
      <c r="BB57" s="6">
        <f t="shared" si="26"/>
        <v>0</v>
      </c>
      <c r="BC57" s="6">
        <v>0</v>
      </c>
      <c r="BD57" s="6">
        <f t="shared" si="27"/>
        <v>0</v>
      </c>
      <c r="BE57" s="6">
        <f t="shared" si="28"/>
        <v>0</v>
      </c>
      <c r="BF57" s="6">
        <v>0</v>
      </c>
      <c r="BG57" s="6">
        <f t="shared" si="29"/>
        <v>0</v>
      </c>
      <c r="BH57" s="6">
        <f t="shared" si="30"/>
        <v>0</v>
      </c>
      <c r="BI57" s="6">
        <v>0</v>
      </c>
      <c r="BJ57" s="6">
        <f t="shared" si="31"/>
        <v>0</v>
      </c>
      <c r="BK57" s="6">
        <f t="shared" si="32"/>
        <v>0</v>
      </c>
      <c r="BL57" s="6">
        <v>0</v>
      </c>
      <c r="BM57" s="6">
        <f t="shared" si="33"/>
        <v>0</v>
      </c>
      <c r="BN57" s="6">
        <f t="shared" si="34"/>
        <v>0</v>
      </c>
      <c r="BO57" s="6">
        <v>0</v>
      </c>
      <c r="BP57" s="6">
        <f t="shared" si="35"/>
        <v>0</v>
      </c>
      <c r="BQ57" s="6">
        <f t="shared" si="36"/>
        <v>0</v>
      </c>
      <c r="BR57" s="6">
        <v>0</v>
      </c>
      <c r="BS57" s="6">
        <f t="shared" si="37"/>
        <v>0</v>
      </c>
      <c r="BT57" s="6">
        <f t="shared" si="38"/>
        <v>0</v>
      </c>
      <c r="BU57" s="6">
        <v>0</v>
      </c>
      <c r="BV57" s="6">
        <f t="shared" si="39"/>
        <v>0</v>
      </c>
      <c r="BW57" s="6">
        <f t="shared" si="40"/>
        <v>0</v>
      </c>
      <c r="BX57" s="6">
        <v>0</v>
      </c>
      <c r="BY57" s="6">
        <f t="shared" si="41"/>
        <v>0</v>
      </c>
      <c r="BZ57" s="6">
        <f t="shared" si="42"/>
        <v>0</v>
      </c>
      <c r="CA57" s="6">
        <v>0</v>
      </c>
      <c r="CB57" s="6">
        <f t="shared" si="43"/>
        <v>0</v>
      </c>
      <c r="CC57" s="6">
        <f t="shared" si="44"/>
        <v>0</v>
      </c>
      <c r="CD57" s="6">
        <v>0</v>
      </c>
      <c r="CE57" s="6">
        <f t="shared" si="45"/>
        <v>0</v>
      </c>
      <c r="CF57" s="6">
        <f t="shared" si="46"/>
        <v>0</v>
      </c>
      <c r="CG57" s="6">
        <v>0</v>
      </c>
      <c r="CH57" s="6">
        <f t="shared" si="47"/>
        <v>0</v>
      </c>
      <c r="CI57" s="6">
        <f t="shared" si="48"/>
        <v>0</v>
      </c>
      <c r="CJ57" s="6">
        <v>0</v>
      </c>
      <c r="CK57" s="6">
        <f t="shared" si="49"/>
        <v>0</v>
      </c>
      <c r="CL57" s="6">
        <f t="shared" si="50"/>
        <v>0</v>
      </c>
      <c r="CM57" s="6">
        <v>0</v>
      </c>
      <c r="CN57" s="6">
        <f t="shared" si="51"/>
        <v>0</v>
      </c>
      <c r="CO57" s="6">
        <f t="shared" si="52"/>
        <v>0</v>
      </c>
      <c r="CP57" s="6">
        <v>0</v>
      </c>
      <c r="CQ57" s="6">
        <f t="shared" si="53"/>
        <v>0</v>
      </c>
      <c r="CR57" s="6">
        <f t="shared" si="54"/>
        <v>0</v>
      </c>
      <c r="CS57" s="6">
        <v>0</v>
      </c>
      <c r="CT57" s="6">
        <f t="shared" si="55"/>
        <v>0</v>
      </c>
      <c r="CU57" s="6">
        <f t="shared" si="56"/>
        <v>0</v>
      </c>
      <c r="CV57" s="6">
        <v>0</v>
      </c>
      <c r="CW57" s="6">
        <f t="shared" si="57"/>
        <v>0</v>
      </c>
      <c r="CX57" s="6">
        <f t="shared" si="58"/>
        <v>0</v>
      </c>
      <c r="CY57" s="6">
        <v>0</v>
      </c>
      <c r="CZ57" s="6">
        <f t="shared" si="59"/>
        <v>0</v>
      </c>
      <c r="DA57" s="6">
        <f t="shared" si="60"/>
        <v>0</v>
      </c>
      <c r="DB57" s="6">
        <v>0</v>
      </c>
      <c r="DC57" s="6">
        <f t="shared" si="61"/>
        <v>0</v>
      </c>
      <c r="DD57" s="6">
        <f t="shared" si="62"/>
        <v>0</v>
      </c>
      <c r="DE57" s="6">
        <v>0</v>
      </c>
      <c r="DF57" s="6">
        <f t="shared" si="63"/>
        <v>0</v>
      </c>
      <c r="DG57" s="6">
        <f t="shared" si="64"/>
        <v>0</v>
      </c>
      <c r="DH57" s="6">
        <v>0</v>
      </c>
      <c r="DI57" s="6">
        <f t="shared" si="65"/>
        <v>0</v>
      </c>
      <c r="DJ57" s="6">
        <f t="shared" si="66"/>
        <v>0</v>
      </c>
      <c r="DK57" s="6">
        <v>0</v>
      </c>
      <c r="DL57" s="6">
        <f t="shared" si="67"/>
        <v>0</v>
      </c>
      <c r="DM57" s="6">
        <f t="shared" si="68"/>
        <v>0</v>
      </c>
      <c r="DN57" s="6">
        <v>0</v>
      </c>
      <c r="DO57" s="6">
        <f t="shared" si="69"/>
        <v>0</v>
      </c>
      <c r="DP57" s="6">
        <f t="shared" si="70"/>
        <v>0</v>
      </c>
    </row>
    <row r="58" spans="1:120" x14ac:dyDescent="0.2">
      <c r="A58" s="21">
        <v>50</v>
      </c>
      <c r="B58" s="21" t="s">
        <v>675</v>
      </c>
      <c r="C58" s="21">
        <v>50350</v>
      </c>
      <c r="D58" s="21" t="s">
        <v>705</v>
      </c>
      <c r="E58" s="21" t="s">
        <v>551</v>
      </c>
      <c r="F58" s="22" t="s">
        <v>669</v>
      </c>
      <c r="G58" s="4" t="s">
        <v>170</v>
      </c>
      <c r="H58" s="6">
        <v>76479.710000000006</v>
      </c>
      <c r="I58" s="6">
        <f t="shared" si="75"/>
        <v>209.53345205479454</v>
      </c>
      <c r="J58" s="6">
        <v>642042.54520000005</v>
      </c>
      <c r="K58" s="6">
        <v>201.05</v>
      </c>
      <c r="L58" s="6">
        <f t="shared" si="76"/>
        <v>0.5493169398907104</v>
      </c>
      <c r="M58" s="6">
        <v>1284407.0436</v>
      </c>
      <c r="N58" s="6"/>
      <c r="O58" s="6"/>
      <c r="P58" s="6">
        <v>1871904.6288999999</v>
      </c>
      <c r="Q58" s="6"/>
      <c r="R58" s="6"/>
      <c r="S58" s="6">
        <v>2440592.2138</v>
      </c>
      <c r="T58" s="6">
        <f t="shared" si="3"/>
        <v>2440592.2138</v>
      </c>
      <c r="U58" s="6">
        <f t="shared" si="4"/>
        <v>6686.5540104109587</v>
      </c>
      <c r="V58" s="6">
        <v>3539420.4139999999</v>
      </c>
      <c r="W58" s="6">
        <f t="shared" si="5"/>
        <v>3539420.4139999999</v>
      </c>
      <c r="X58" s="6">
        <f t="shared" si="6"/>
        <v>9697.0422301369854</v>
      </c>
      <c r="Y58" s="6">
        <v>3389598.2450000001</v>
      </c>
      <c r="Z58" s="6">
        <f t="shared" si="7"/>
        <v>3389598.2450000001</v>
      </c>
      <c r="AA58" s="6">
        <f t="shared" si="8"/>
        <v>9286.5705342465753</v>
      </c>
      <c r="AB58" s="6">
        <v>2583885.4706000001</v>
      </c>
      <c r="AC58" s="6">
        <f t="shared" si="9"/>
        <v>2583885.4706000001</v>
      </c>
      <c r="AD58" s="6">
        <f t="shared" si="10"/>
        <v>7079.1382756164385</v>
      </c>
      <c r="AE58" s="6">
        <v>1979399.8067999999</v>
      </c>
      <c r="AF58" s="6">
        <f t="shared" si="11"/>
        <v>1979399.8067999999</v>
      </c>
      <c r="AG58" s="6">
        <f t="shared" si="12"/>
        <v>5423.0131693150679</v>
      </c>
      <c r="AH58" s="6">
        <v>1466302.2272000001</v>
      </c>
      <c r="AI58" s="6">
        <f t="shared" si="13"/>
        <v>1466302.2272000001</v>
      </c>
      <c r="AJ58" s="6">
        <f t="shared" si="14"/>
        <v>4017.2663758904114</v>
      </c>
      <c r="AK58" s="6">
        <v>1059662.2376000001</v>
      </c>
      <c r="AL58" s="6">
        <f t="shared" si="15"/>
        <v>1059662.2376000001</v>
      </c>
      <c r="AM58" s="6">
        <f t="shared" si="16"/>
        <v>2903.18421260274</v>
      </c>
      <c r="AN58" s="6">
        <v>765078.39309999999</v>
      </c>
      <c r="AO58" s="6">
        <f t="shared" si="17"/>
        <v>765078.39309999999</v>
      </c>
      <c r="AP58" s="6">
        <f t="shared" si="18"/>
        <v>2096.1051865753425</v>
      </c>
      <c r="AQ58" s="6">
        <v>297170.32740000001</v>
      </c>
      <c r="AR58" s="6">
        <f t="shared" si="19"/>
        <v>297170.32740000001</v>
      </c>
      <c r="AS58" s="6">
        <f t="shared" si="20"/>
        <v>814.16528054794526</v>
      </c>
      <c r="AT58" s="6">
        <v>0</v>
      </c>
      <c r="AU58" s="6">
        <f t="shared" si="21"/>
        <v>0</v>
      </c>
      <c r="AV58" s="6">
        <f t="shared" si="22"/>
        <v>0</v>
      </c>
      <c r="AW58" s="6">
        <v>0</v>
      </c>
      <c r="AX58" s="6">
        <f t="shared" si="23"/>
        <v>0</v>
      </c>
      <c r="AY58" s="6">
        <f t="shared" si="24"/>
        <v>0</v>
      </c>
      <c r="AZ58" s="6">
        <v>0</v>
      </c>
      <c r="BA58" s="6">
        <f t="shared" si="25"/>
        <v>0</v>
      </c>
      <c r="BB58" s="6">
        <f t="shared" si="26"/>
        <v>0</v>
      </c>
      <c r="BC58" s="6">
        <v>0</v>
      </c>
      <c r="BD58" s="6">
        <f t="shared" si="27"/>
        <v>0</v>
      </c>
      <c r="BE58" s="6">
        <f t="shared" si="28"/>
        <v>0</v>
      </c>
      <c r="BF58" s="6">
        <v>0</v>
      </c>
      <c r="BG58" s="6">
        <f t="shared" si="29"/>
        <v>0</v>
      </c>
      <c r="BH58" s="6">
        <f t="shared" si="30"/>
        <v>0</v>
      </c>
      <c r="BI58" s="6">
        <v>0</v>
      </c>
      <c r="BJ58" s="6">
        <f t="shared" si="31"/>
        <v>0</v>
      </c>
      <c r="BK58" s="6">
        <f t="shared" si="32"/>
        <v>0</v>
      </c>
      <c r="BL58" s="6">
        <v>0</v>
      </c>
      <c r="BM58" s="6">
        <f t="shared" si="33"/>
        <v>0</v>
      </c>
      <c r="BN58" s="6">
        <f t="shared" si="34"/>
        <v>0</v>
      </c>
      <c r="BO58" s="6">
        <v>0</v>
      </c>
      <c r="BP58" s="6">
        <f t="shared" si="35"/>
        <v>0</v>
      </c>
      <c r="BQ58" s="6">
        <f t="shared" si="36"/>
        <v>0</v>
      </c>
      <c r="BR58" s="6">
        <v>0</v>
      </c>
      <c r="BS58" s="6">
        <f t="shared" si="37"/>
        <v>0</v>
      </c>
      <c r="BT58" s="6">
        <f t="shared" si="38"/>
        <v>0</v>
      </c>
      <c r="BU58" s="6">
        <v>0</v>
      </c>
      <c r="BV58" s="6">
        <f t="shared" si="39"/>
        <v>0</v>
      </c>
      <c r="BW58" s="6">
        <f t="shared" si="40"/>
        <v>0</v>
      </c>
      <c r="BX58" s="6">
        <v>0</v>
      </c>
      <c r="BY58" s="6">
        <f t="shared" si="41"/>
        <v>0</v>
      </c>
      <c r="BZ58" s="6">
        <f t="shared" si="42"/>
        <v>0</v>
      </c>
      <c r="CA58" s="6">
        <v>0</v>
      </c>
      <c r="CB58" s="6">
        <f t="shared" si="43"/>
        <v>0</v>
      </c>
      <c r="CC58" s="6">
        <f t="shared" si="44"/>
        <v>0</v>
      </c>
      <c r="CD58" s="6">
        <v>0</v>
      </c>
      <c r="CE58" s="6">
        <f t="shared" si="45"/>
        <v>0</v>
      </c>
      <c r="CF58" s="6">
        <f t="shared" si="46"/>
        <v>0</v>
      </c>
      <c r="CG58" s="6">
        <v>0</v>
      </c>
      <c r="CH58" s="6">
        <f t="shared" si="47"/>
        <v>0</v>
      </c>
      <c r="CI58" s="6">
        <f t="shared" si="48"/>
        <v>0</v>
      </c>
      <c r="CJ58" s="6">
        <v>0</v>
      </c>
      <c r="CK58" s="6">
        <f t="shared" si="49"/>
        <v>0</v>
      </c>
      <c r="CL58" s="6">
        <f t="shared" si="50"/>
        <v>0</v>
      </c>
      <c r="CM58" s="6">
        <v>0</v>
      </c>
      <c r="CN58" s="6">
        <f t="shared" si="51"/>
        <v>0</v>
      </c>
      <c r="CO58" s="6">
        <f t="shared" si="52"/>
        <v>0</v>
      </c>
      <c r="CP58" s="6">
        <v>0</v>
      </c>
      <c r="CQ58" s="6">
        <f t="shared" si="53"/>
        <v>0</v>
      </c>
      <c r="CR58" s="6">
        <f t="shared" si="54"/>
        <v>0</v>
      </c>
      <c r="CS58" s="6">
        <v>0</v>
      </c>
      <c r="CT58" s="6">
        <f t="shared" si="55"/>
        <v>0</v>
      </c>
      <c r="CU58" s="6">
        <f t="shared" si="56"/>
        <v>0</v>
      </c>
      <c r="CV58" s="6">
        <v>0</v>
      </c>
      <c r="CW58" s="6">
        <f t="shared" si="57"/>
        <v>0</v>
      </c>
      <c r="CX58" s="6">
        <f t="shared" si="58"/>
        <v>0</v>
      </c>
      <c r="CY58" s="6">
        <v>0</v>
      </c>
      <c r="CZ58" s="6">
        <f t="shared" si="59"/>
        <v>0</v>
      </c>
      <c r="DA58" s="6">
        <f t="shared" si="60"/>
        <v>0</v>
      </c>
      <c r="DB58" s="6">
        <v>0</v>
      </c>
      <c r="DC58" s="6">
        <f t="shared" si="61"/>
        <v>0</v>
      </c>
      <c r="DD58" s="6">
        <f t="shared" si="62"/>
        <v>0</v>
      </c>
      <c r="DE58" s="6">
        <v>0</v>
      </c>
      <c r="DF58" s="6">
        <f t="shared" si="63"/>
        <v>0</v>
      </c>
      <c r="DG58" s="6">
        <f t="shared" si="64"/>
        <v>0</v>
      </c>
      <c r="DH58" s="6">
        <v>0</v>
      </c>
      <c r="DI58" s="6">
        <f t="shared" si="65"/>
        <v>0</v>
      </c>
      <c r="DJ58" s="6">
        <f t="shared" si="66"/>
        <v>0</v>
      </c>
      <c r="DK58" s="6">
        <v>0</v>
      </c>
      <c r="DL58" s="6">
        <f t="shared" si="67"/>
        <v>0</v>
      </c>
      <c r="DM58" s="6">
        <f t="shared" si="68"/>
        <v>0</v>
      </c>
      <c r="DN58" s="6">
        <v>0</v>
      </c>
      <c r="DO58" s="6">
        <f t="shared" si="69"/>
        <v>0</v>
      </c>
      <c r="DP58" s="6">
        <f t="shared" si="70"/>
        <v>0</v>
      </c>
    </row>
    <row r="59" spans="1:120" x14ac:dyDescent="0.2">
      <c r="A59" s="21">
        <v>50</v>
      </c>
      <c r="B59" s="21" t="s">
        <v>675</v>
      </c>
      <c r="C59" s="21">
        <v>50568</v>
      </c>
      <c r="D59" s="21" t="s">
        <v>700</v>
      </c>
      <c r="E59" s="21" t="s">
        <v>699</v>
      </c>
      <c r="F59" s="22" t="s">
        <v>659</v>
      </c>
      <c r="G59" s="4" t="s">
        <v>171</v>
      </c>
      <c r="H59" s="6">
        <v>542503.81999999995</v>
      </c>
      <c r="I59" s="6">
        <f t="shared" si="75"/>
        <v>1486.3118356164382</v>
      </c>
      <c r="J59" s="6">
        <v>495855.7095</v>
      </c>
      <c r="K59" s="6">
        <v>528438.19999999995</v>
      </c>
      <c r="L59" s="6">
        <f t="shared" si="76"/>
        <v>1443.8202185792347</v>
      </c>
      <c r="M59" s="6">
        <v>425040.11949999997</v>
      </c>
      <c r="N59" s="6">
        <v>542833</v>
      </c>
      <c r="O59" s="6">
        <f t="shared" ref="O59:O67" si="78">N59/365</f>
        <v>1487.2136986301371</v>
      </c>
      <c r="P59" s="6">
        <v>390272.24550000002</v>
      </c>
      <c r="Q59" s="6">
        <v>260194.31</v>
      </c>
      <c r="R59" s="6">
        <f>Q59/181</f>
        <v>1437.5376243093922</v>
      </c>
      <c r="S59" s="6">
        <v>335239.89569999999</v>
      </c>
      <c r="T59" s="6">
        <f t="shared" si="3"/>
        <v>335239.89569999999</v>
      </c>
      <c r="U59" s="6">
        <f t="shared" si="4"/>
        <v>918.46546767123289</v>
      </c>
      <c r="V59" s="6">
        <v>283033.46230000001</v>
      </c>
      <c r="W59" s="6">
        <f t="shared" si="5"/>
        <v>283033.46230000001</v>
      </c>
      <c r="X59" s="6">
        <f t="shared" si="6"/>
        <v>775.4341432876713</v>
      </c>
      <c r="Y59" s="6">
        <v>62292.409899999999</v>
      </c>
      <c r="Z59" s="6">
        <f t="shared" si="7"/>
        <v>62292.409899999999</v>
      </c>
      <c r="AA59" s="6">
        <f t="shared" si="8"/>
        <v>170.66413671232877</v>
      </c>
      <c r="AB59" s="6">
        <v>0</v>
      </c>
      <c r="AC59" s="6">
        <f t="shared" si="9"/>
        <v>0</v>
      </c>
      <c r="AD59" s="6">
        <f t="shared" si="10"/>
        <v>0</v>
      </c>
      <c r="AE59" s="6">
        <v>0</v>
      </c>
      <c r="AF59" s="6">
        <f t="shared" si="11"/>
        <v>0</v>
      </c>
      <c r="AG59" s="6">
        <f t="shared" si="12"/>
        <v>0</v>
      </c>
      <c r="AH59" s="6">
        <v>0</v>
      </c>
      <c r="AI59" s="6">
        <f t="shared" si="13"/>
        <v>0</v>
      </c>
      <c r="AJ59" s="6">
        <f t="shared" si="14"/>
        <v>0</v>
      </c>
      <c r="AK59" s="6">
        <v>0</v>
      </c>
      <c r="AL59" s="6">
        <f t="shared" si="15"/>
        <v>0</v>
      </c>
      <c r="AM59" s="6">
        <f t="shared" si="16"/>
        <v>0</v>
      </c>
      <c r="AN59" s="6">
        <v>0</v>
      </c>
      <c r="AO59" s="6">
        <f t="shared" si="17"/>
        <v>0</v>
      </c>
      <c r="AP59" s="6">
        <f t="shared" si="18"/>
        <v>0</v>
      </c>
      <c r="AQ59" s="6">
        <v>0</v>
      </c>
      <c r="AR59" s="6">
        <f t="shared" si="19"/>
        <v>0</v>
      </c>
      <c r="AS59" s="6">
        <f t="shared" si="20"/>
        <v>0</v>
      </c>
      <c r="AT59" s="6">
        <v>0</v>
      </c>
      <c r="AU59" s="6">
        <f t="shared" si="21"/>
        <v>0</v>
      </c>
      <c r="AV59" s="6">
        <f t="shared" si="22"/>
        <v>0</v>
      </c>
      <c r="AW59" s="6">
        <v>0</v>
      </c>
      <c r="AX59" s="6">
        <f t="shared" si="23"/>
        <v>0</v>
      </c>
      <c r="AY59" s="6">
        <f t="shared" si="24"/>
        <v>0</v>
      </c>
      <c r="AZ59" s="6">
        <v>0</v>
      </c>
      <c r="BA59" s="6">
        <f t="shared" si="25"/>
        <v>0</v>
      </c>
      <c r="BB59" s="6">
        <f t="shared" si="26"/>
        <v>0</v>
      </c>
      <c r="BC59" s="6">
        <v>0</v>
      </c>
      <c r="BD59" s="6">
        <f t="shared" si="27"/>
        <v>0</v>
      </c>
      <c r="BE59" s="6">
        <f t="shared" si="28"/>
        <v>0</v>
      </c>
      <c r="BF59" s="6">
        <v>0</v>
      </c>
      <c r="BG59" s="6">
        <f t="shared" si="29"/>
        <v>0</v>
      </c>
      <c r="BH59" s="6">
        <f t="shared" si="30"/>
        <v>0</v>
      </c>
      <c r="BI59" s="6">
        <v>0</v>
      </c>
      <c r="BJ59" s="6">
        <f t="shared" si="31"/>
        <v>0</v>
      </c>
      <c r="BK59" s="6">
        <f t="shared" si="32"/>
        <v>0</v>
      </c>
      <c r="BL59" s="6">
        <v>0</v>
      </c>
      <c r="BM59" s="6">
        <f t="shared" si="33"/>
        <v>0</v>
      </c>
      <c r="BN59" s="6">
        <f t="shared" si="34"/>
        <v>0</v>
      </c>
      <c r="BO59" s="6">
        <v>0</v>
      </c>
      <c r="BP59" s="6">
        <f t="shared" si="35"/>
        <v>0</v>
      </c>
      <c r="BQ59" s="6">
        <f t="shared" si="36"/>
        <v>0</v>
      </c>
      <c r="BR59" s="6">
        <v>0</v>
      </c>
      <c r="BS59" s="6">
        <f t="shared" si="37"/>
        <v>0</v>
      </c>
      <c r="BT59" s="6">
        <f t="shared" si="38"/>
        <v>0</v>
      </c>
      <c r="BU59" s="6">
        <v>0</v>
      </c>
      <c r="BV59" s="6">
        <f t="shared" si="39"/>
        <v>0</v>
      </c>
      <c r="BW59" s="6">
        <f t="shared" si="40"/>
        <v>0</v>
      </c>
      <c r="BX59" s="6">
        <v>0</v>
      </c>
      <c r="BY59" s="6">
        <f t="shared" si="41"/>
        <v>0</v>
      </c>
      <c r="BZ59" s="6">
        <f t="shared" si="42"/>
        <v>0</v>
      </c>
      <c r="CA59" s="6">
        <v>0</v>
      </c>
      <c r="CB59" s="6">
        <f t="shared" si="43"/>
        <v>0</v>
      </c>
      <c r="CC59" s="6">
        <f t="shared" si="44"/>
        <v>0</v>
      </c>
      <c r="CD59" s="6">
        <v>0</v>
      </c>
      <c r="CE59" s="6">
        <f t="shared" si="45"/>
        <v>0</v>
      </c>
      <c r="CF59" s="6">
        <f t="shared" si="46"/>
        <v>0</v>
      </c>
      <c r="CG59" s="6">
        <v>0</v>
      </c>
      <c r="CH59" s="6">
        <f t="shared" si="47"/>
        <v>0</v>
      </c>
      <c r="CI59" s="6">
        <f t="shared" si="48"/>
        <v>0</v>
      </c>
      <c r="CJ59" s="6">
        <v>0</v>
      </c>
      <c r="CK59" s="6">
        <f t="shared" si="49"/>
        <v>0</v>
      </c>
      <c r="CL59" s="6">
        <f t="shared" si="50"/>
        <v>0</v>
      </c>
      <c r="CM59" s="6">
        <v>0</v>
      </c>
      <c r="CN59" s="6">
        <f t="shared" si="51"/>
        <v>0</v>
      </c>
      <c r="CO59" s="6">
        <f t="shared" si="52"/>
        <v>0</v>
      </c>
      <c r="CP59" s="6">
        <v>0</v>
      </c>
      <c r="CQ59" s="6">
        <f t="shared" si="53"/>
        <v>0</v>
      </c>
      <c r="CR59" s="6">
        <f t="shared" si="54"/>
        <v>0</v>
      </c>
      <c r="CS59" s="6">
        <v>0</v>
      </c>
      <c r="CT59" s="6">
        <f t="shared" si="55"/>
        <v>0</v>
      </c>
      <c r="CU59" s="6">
        <f t="shared" si="56"/>
        <v>0</v>
      </c>
      <c r="CV59" s="6">
        <v>0</v>
      </c>
      <c r="CW59" s="6">
        <f t="shared" si="57"/>
        <v>0</v>
      </c>
      <c r="CX59" s="6">
        <f t="shared" si="58"/>
        <v>0</v>
      </c>
      <c r="CY59" s="6">
        <v>0</v>
      </c>
      <c r="CZ59" s="6">
        <f t="shared" si="59"/>
        <v>0</v>
      </c>
      <c r="DA59" s="6">
        <f t="shared" si="60"/>
        <v>0</v>
      </c>
      <c r="DB59" s="6">
        <v>0</v>
      </c>
      <c r="DC59" s="6">
        <f t="shared" si="61"/>
        <v>0</v>
      </c>
      <c r="DD59" s="6">
        <f t="shared" si="62"/>
        <v>0</v>
      </c>
      <c r="DE59" s="6">
        <v>0</v>
      </c>
      <c r="DF59" s="6">
        <f t="shared" si="63"/>
        <v>0</v>
      </c>
      <c r="DG59" s="6">
        <f t="shared" si="64"/>
        <v>0</v>
      </c>
      <c r="DH59" s="6">
        <v>0</v>
      </c>
      <c r="DI59" s="6">
        <f t="shared" si="65"/>
        <v>0</v>
      </c>
      <c r="DJ59" s="6">
        <f t="shared" si="66"/>
        <v>0</v>
      </c>
      <c r="DK59" s="6">
        <v>0</v>
      </c>
      <c r="DL59" s="6">
        <f t="shared" si="67"/>
        <v>0</v>
      </c>
      <c r="DM59" s="6">
        <f t="shared" si="68"/>
        <v>0</v>
      </c>
      <c r="DN59" s="6">
        <v>0</v>
      </c>
      <c r="DO59" s="6">
        <f t="shared" si="69"/>
        <v>0</v>
      </c>
      <c r="DP59" s="6">
        <f t="shared" si="70"/>
        <v>0</v>
      </c>
    </row>
    <row r="60" spans="1:120" x14ac:dyDescent="0.2">
      <c r="A60" s="21">
        <v>50</v>
      </c>
      <c r="B60" s="21" t="s">
        <v>675</v>
      </c>
      <c r="C60" s="21">
        <v>50568</v>
      </c>
      <c r="D60" s="21" t="s">
        <v>700</v>
      </c>
      <c r="E60" s="21" t="s">
        <v>699</v>
      </c>
      <c r="F60" s="22" t="s">
        <v>659</v>
      </c>
      <c r="G60" s="4" t="s">
        <v>172</v>
      </c>
      <c r="H60" s="6">
        <v>462805.25</v>
      </c>
      <c r="I60" s="6">
        <f t="shared" si="75"/>
        <v>1267.9595890410958</v>
      </c>
      <c r="J60" s="6">
        <v>369640.02879999997</v>
      </c>
      <c r="K60" s="6">
        <v>359268.8</v>
      </c>
      <c r="L60" s="6">
        <f t="shared" si="76"/>
        <v>981.60874316939885</v>
      </c>
      <c r="M60" s="6">
        <v>312716.69510000001</v>
      </c>
      <c r="N60" s="6">
        <v>355309.29</v>
      </c>
      <c r="O60" s="6">
        <f t="shared" si="78"/>
        <v>973.45010958904106</v>
      </c>
      <c r="P60" s="6">
        <v>269860.72710000002</v>
      </c>
      <c r="Q60" s="6">
        <v>159126.28</v>
      </c>
      <c r="R60" s="6">
        <f>Q60/181</f>
        <v>879.15071823204414</v>
      </c>
      <c r="S60" s="6">
        <v>234274.68040000001</v>
      </c>
      <c r="T60" s="6">
        <f t="shared" si="3"/>
        <v>234274.68040000001</v>
      </c>
      <c r="U60" s="6">
        <f t="shared" si="4"/>
        <v>641.84843945205478</v>
      </c>
      <c r="V60" s="6">
        <v>205345.87890000001</v>
      </c>
      <c r="W60" s="6">
        <f t="shared" si="5"/>
        <v>205345.87890000001</v>
      </c>
      <c r="X60" s="6">
        <f t="shared" si="6"/>
        <v>562.59144904109587</v>
      </c>
      <c r="Y60" s="6">
        <v>46530.021500000003</v>
      </c>
      <c r="Z60" s="6">
        <f t="shared" si="7"/>
        <v>46530.021500000003</v>
      </c>
      <c r="AA60" s="6">
        <f t="shared" si="8"/>
        <v>127.47951095890411</v>
      </c>
      <c r="AB60" s="6">
        <v>0</v>
      </c>
      <c r="AC60" s="6">
        <f t="shared" si="9"/>
        <v>0</v>
      </c>
      <c r="AD60" s="6">
        <f t="shared" si="10"/>
        <v>0</v>
      </c>
      <c r="AE60" s="6">
        <v>0</v>
      </c>
      <c r="AF60" s="6">
        <f t="shared" si="11"/>
        <v>0</v>
      </c>
      <c r="AG60" s="6">
        <f t="shared" si="12"/>
        <v>0</v>
      </c>
      <c r="AH60" s="6">
        <v>0</v>
      </c>
      <c r="AI60" s="6">
        <f t="shared" si="13"/>
        <v>0</v>
      </c>
      <c r="AJ60" s="6">
        <f t="shared" si="14"/>
        <v>0</v>
      </c>
      <c r="AK60" s="6">
        <v>0</v>
      </c>
      <c r="AL60" s="6">
        <f t="shared" si="15"/>
        <v>0</v>
      </c>
      <c r="AM60" s="6">
        <f t="shared" si="16"/>
        <v>0</v>
      </c>
      <c r="AN60" s="6">
        <v>0</v>
      </c>
      <c r="AO60" s="6">
        <f t="shared" si="17"/>
        <v>0</v>
      </c>
      <c r="AP60" s="6">
        <f t="shared" si="18"/>
        <v>0</v>
      </c>
      <c r="AQ60" s="6">
        <v>0</v>
      </c>
      <c r="AR60" s="6">
        <f t="shared" si="19"/>
        <v>0</v>
      </c>
      <c r="AS60" s="6">
        <f t="shared" si="20"/>
        <v>0</v>
      </c>
      <c r="AT60" s="6">
        <v>0</v>
      </c>
      <c r="AU60" s="6">
        <f t="shared" si="21"/>
        <v>0</v>
      </c>
      <c r="AV60" s="6">
        <f t="shared" si="22"/>
        <v>0</v>
      </c>
      <c r="AW60" s="6">
        <v>0</v>
      </c>
      <c r="AX60" s="6">
        <f t="shared" si="23"/>
        <v>0</v>
      </c>
      <c r="AY60" s="6">
        <f t="shared" si="24"/>
        <v>0</v>
      </c>
      <c r="AZ60" s="6">
        <v>0</v>
      </c>
      <c r="BA60" s="6">
        <f t="shared" si="25"/>
        <v>0</v>
      </c>
      <c r="BB60" s="6">
        <f t="shared" si="26"/>
        <v>0</v>
      </c>
      <c r="BC60" s="6">
        <v>0</v>
      </c>
      <c r="BD60" s="6">
        <f t="shared" si="27"/>
        <v>0</v>
      </c>
      <c r="BE60" s="6">
        <f t="shared" si="28"/>
        <v>0</v>
      </c>
      <c r="BF60" s="6">
        <v>0</v>
      </c>
      <c r="BG60" s="6">
        <f t="shared" si="29"/>
        <v>0</v>
      </c>
      <c r="BH60" s="6">
        <f t="shared" si="30"/>
        <v>0</v>
      </c>
      <c r="BI60" s="6">
        <v>0</v>
      </c>
      <c r="BJ60" s="6">
        <f t="shared" si="31"/>
        <v>0</v>
      </c>
      <c r="BK60" s="6">
        <f t="shared" si="32"/>
        <v>0</v>
      </c>
      <c r="BL60" s="6">
        <v>0</v>
      </c>
      <c r="BM60" s="6">
        <f t="shared" si="33"/>
        <v>0</v>
      </c>
      <c r="BN60" s="6">
        <f t="shared" si="34"/>
        <v>0</v>
      </c>
      <c r="BO60" s="6">
        <v>0</v>
      </c>
      <c r="BP60" s="6">
        <f t="shared" si="35"/>
        <v>0</v>
      </c>
      <c r="BQ60" s="6">
        <f t="shared" si="36"/>
        <v>0</v>
      </c>
      <c r="BR60" s="6">
        <v>0</v>
      </c>
      <c r="BS60" s="6">
        <f t="shared" si="37"/>
        <v>0</v>
      </c>
      <c r="BT60" s="6">
        <f t="shared" si="38"/>
        <v>0</v>
      </c>
      <c r="BU60" s="6">
        <v>0</v>
      </c>
      <c r="BV60" s="6">
        <f t="shared" si="39"/>
        <v>0</v>
      </c>
      <c r="BW60" s="6">
        <f t="shared" si="40"/>
        <v>0</v>
      </c>
      <c r="BX60" s="6">
        <v>0</v>
      </c>
      <c r="BY60" s="6">
        <f t="shared" si="41"/>
        <v>0</v>
      </c>
      <c r="BZ60" s="6">
        <f t="shared" si="42"/>
        <v>0</v>
      </c>
      <c r="CA60" s="6">
        <v>0</v>
      </c>
      <c r="CB60" s="6">
        <f t="shared" si="43"/>
        <v>0</v>
      </c>
      <c r="CC60" s="6">
        <f t="shared" si="44"/>
        <v>0</v>
      </c>
      <c r="CD60" s="6">
        <v>0</v>
      </c>
      <c r="CE60" s="6">
        <f t="shared" si="45"/>
        <v>0</v>
      </c>
      <c r="CF60" s="6">
        <f t="shared" si="46"/>
        <v>0</v>
      </c>
      <c r="CG60" s="6">
        <v>0</v>
      </c>
      <c r="CH60" s="6">
        <f t="shared" si="47"/>
        <v>0</v>
      </c>
      <c r="CI60" s="6">
        <f t="shared" si="48"/>
        <v>0</v>
      </c>
      <c r="CJ60" s="6">
        <v>0</v>
      </c>
      <c r="CK60" s="6">
        <f t="shared" si="49"/>
        <v>0</v>
      </c>
      <c r="CL60" s="6">
        <f t="shared" si="50"/>
        <v>0</v>
      </c>
      <c r="CM60" s="6">
        <v>0</v>
      </c>
      <c r="CN60" s="6">
        <f t="shared" si="51"/>
        <v>0</v>
      </c>
      <c r="CO60" s="6">
        <f t="shared" si="52"/>
        <v>0</v>
      </c>
      <c r="CP60" s="6">
        <v>0</v>
      </c>
      <c r="CQ60" s="6">
        <f t="shared" si="53"/>
        <v>0</v>
      </c>
      <c r="CR60" s="6">
        <f t="shared" si="54"/>
        <v>0</v>
      </c>
      <c r="CS60" s="6">
        <v>0</v>
      </c>
      <c r="CT60" s="6">
        <f t="shared" si="55"/>
        <v>0</v>
      </c>
      <c r="CU60" s="6">
        <f t="shared" si="56"/>
        <v>0</v>
      </c>
      <c r="CV60" s="6">
        <v>0</v>
      </c>
      <c r="CW60" s="6">
        <f t="shared" si="57"/>
        <v>0</v>
      </c>
      <c r="CX60" s="6">
        <f t="shared" si="58"/>
        <v>0</v>
      </c>
      <c r="CY60" s="6">
        <v>0</v>
      </c>
      <c r="CZ60" s="6">
        <f t="shared" si="59"/>
        <v>0</v>
      </c>
      <c r="DA60" s="6">
        <f t="shared" si="60"/>
        <v>0</v>
      </c>
      <c r="DB60" s="6">
        <v>0</v>
      </c>
      <c r="DC60" s="6">
        <f t="shared" si="61"/>
        <v>0</v>
      </c>
      <c r="DD60" s="6">
        <f t="shared" si="62"/>
        <v>0</v>
      </c>
      <c r="DE60" s="6">
        <v>0</v>
      </c>
      <c r="DF60" s="6">
        <f t="shared" si="63"/>
        <v>0</v>
      </c>
      <c r="DG60" s="6">
        <f t="shared" si="64"/>
        <v>0</v>
      </c>
      <c r="DH60" s="6">
        <v>0</v>
      </c>
      <c r="DI60" s="6">
        <f t="shared" si="65"/>
        <v>0</v>
      </c>
      <c r="DJ60" s="6">
        <f t="shared" si="66"/>
        <v>0</v>
      </c>
      <c r="DK60" s="6">
        <v>0</v>
      </c>
      <c r="DL60" s="6">
        <f t="shared" si="67"/>
        <v>0</v>
      </c>
      <c r="DM60" s="6">
        <f t="shared" si="68"/>
        <v>0</v>
      </c>
      <c r="DN60" s="6">
        <v>0</v>
      </c>
      <c r="DO60" s="6">
        <f t="shared" si="69"/>
        <v>0</v>
      </c>
      <c r="DP60" s="6">
        <f t="shared" si="70"/>
        <v>0</v>
      </c>
    </row>
    <row r="61" spans="1:120" x14ac:dyDescent="0.2">
      <c r="A61" s="21">
        <v>85</v>
      </c>
      <c r="B61" s="21" t="s">
        <v>612</v>
      </c>
      <c r="C61" s="21">
        <v>85325</v>
      </c>
      <c r="D61" s="21" t="s">
        <v>670</v>
      </c>
      <c r="E61" s="21" t="s">
        <v>542</v>
      </c>
      <c r="F61" s="22" t="s">
        <v>693</v>
      </c>
      <c r="G61" s="4" t="s">
        <v>173</v>
      </c>
      <c r="H61" s="6">
        <v>24685.02</v>
      </c>
      <c r="I61" s="6">
        <f t="shared" si="75"/>
        <v>67.630191780821917</v>
      </c>
      <c r="J61" s="6">
        <v>18829</v>
      </c>
      <c r="K61" s="6">
        <v>20408.419999999998</v>
      </c>
      <c r="L61" s="6">
        <f t="shared" si="76"/>
        <v>55.760710382513658</v>
      </c>
      <c r="M61" s="6">
        <v>33299</v>
      </c>
      <c r="N61" s="6">
        <v>16879.39</v>
      </c>
      <c r="O61" s="6">
        <f t="shared" si="78"/>
        <v>46.244904109589037</v>
      </c>
      <c r="P61" s="6">
        <v>32615</v>
      </c>
      <c r="Q61" s="6">
        <v>8604.5</v>
      </c>
      <c r="R61" s="6">
        <f>Q61/181</f>
        <v>47.538674033149171</v>
      </c>
      <c r="S61" s="6">
        <v>22714</v>
      </c>
      <c r="T61" s="6">
        <f t="shared" si="3"/>
        <v>22714</v>
      </c>
      <c r="U61" s="6">
        <f t="shared" si="4"/>
        <v>62.230136986301368</v>
      </c>
      <c r="V61" s="6">
        <v>14479</v>
      </c>
      <c r="W61" s="6">
        <f t="shared" si="5"/>
        <v>14479</v>
      </c>
      <c r="X61" s="6">
        <f t="shared" si="6"/>
        <v>39.668493150684931</v>
      </c>
      <c r="Y61" s="6">
        <v>9881</v>
      </c>
      <c r="Z61" s="6">
        <f t="shared" si="7"/>
        <v>9881</v>
      </c>
      <c r="AA61" s="6">
        <f t="shared" si="8"/>
        <v>27.07123287671233</v>
      </c>
      <c r="AB61" s="6">
        <v>0</v>
      </c>
      <c r="AC61" s="6">
        <f t="shared" si="9"/>
        <v>0</v>
      </c>
      <c r="AD61" s="6">
        <f t="shared" si="10"/>
        <v>0</v>
      </c>
      <c r="AE61" s="6">
        <v>0</v>
      </c>
      <c r="AF61" s="6">
        <f t="shared" si="11"/>
        <v>0</v>
      </c>
      <c r="AG61" s="6">
        <f t="shared" si="12"/>
        <v>0</v>
      </c>
      <c r="AH61" s="6">
        <v>0</v>
      </c>
      <c r="AI61" s="6">
        <f t="shared" si="13"/>
        <v>0</v>
      </c>
      <c r="AJ61" s="6">
        <f t="shared" si="14"/>
        <v>0</v>
      </c>
      <c r="AK61" s="6">
        <v>0</v>
      </c>
      <c r="AL61" s="6">
        <f t="shared" si="15"/>
        <v>0</v>
      </c>
      <c r="AM61" s="6">
        <f t="shared" si="16"/>
        <v>0</v>
      </c>
      <c r="AN61" s="6">
        <v>0</v>
      </c>
      <c r="AO61" s="6">
        <f t="shared" si="17"/>
        <v>0</v>
      </c>
      <c r="AP61" s="6">
        <f t="shared" si="18"/>
        <v>0</v>
      </c>
      <c r="AQ61" s="6">
        <v>0</v>
      </c>
      <c r="AR61" s="6">
        <f t="shared" si="19"/>
        <v>0</v>
      </c>
      <c r="AS61" s="6">
        <f t="shared" si="20"/>
        <v>0</v>
      </c>
      <c r="AT61" s="6">
        <v>0</v>
      </c>
      <c r="AU61" s="6">
        <f t="shared" si="21"/>
        <v>0</v>
      </c>
      <c r="AV61" s="6">
        <f t="shared" si="22"/>
        <v>0</v>
      </c>
      <c r="AW61" s="6">
        <v>0</v>
      </c>
      <c r="AX61" s="6">
        <f t="shared" si="23"/>
        <v>0</v>
      </c>
      <c r="AY61" s="6">
        <f t="shared" si="24"/>
        <v>0</v>
      </c>
      <c r="AZ61" s="6">
        <v>0</v>
      </c>
      <c r="BA61" s="6">
        <f t="shared" si="25"/>
        <v>0</v>
      </c>
      <c r="BB61" s="6">
        <f t="shared" si="26"/>
        <v>0</v>
      </c>
      <c r="BC61" s="6">
        <v>0</v>
      </c>
      <c r="BD61" s="6">
        <f t="shared" si="27"/>
        <v>0</v>
      </c>
      <c r="BE61" s="6">
        <f t="shared" si="28"/>
        <v>0</v>
      </c>
      <c r="BF61" s="6">
        <v>0</v>
      </c>
      <c r="BG61" s="6">
        <f t="shared" si="29"/>
        <v>0</v>
      </c>
      <c r="BH61" s="6">
        <f t="shared" si="30"/>
        <v>0</v>
      </c>
      <c r="BI61" s="6">
        <v>0</v>
      </c>
      <c r="BJ61" s="6">
        <f t="shared" si="31"/>
        <v>0</v>
      </c>
      <c r="BK61" s="6">
        <f t="shared" si="32"/>
        <v>0</v>
      </c>
      <c r="BL61" s="6">
        <v>0</v>
      </c>
      <c r="BM61" s="6">
        <f t="shared" si="33"/>
        <v>0</v>
      </c>
      <c r="BN61" s="6">
        <f t="shared" si="34"/>
        <v>0</v>
      </c>
      <c r="BO61" s="6">
        <v>0</v>
      </c>
      <c r="BP61" s="6">
        <f t="shared" si="35"/>
        <v>0</v>
      </c>
      <c r="BQ61" s="6">
        <f t="shared" si="36"/>
        <v>0</v>
      </c>
      <c r="BR61" s="6">
        <v>0</v>
      </c>
      <c r="BS61" s="6">
        <f t="shared" si="37"/>
        <v>0</v>
      </c>
      <c r="BT61" s="6">
        <f t="shared" si="38"/>
        <v>0</v>
      </c>
      <c r="BU61" s="6">
        <v>0</v>
      </c>
      <c r="BV61" s="6">
        <f t="shared" si="39"/>
        <v>0</v>
      </c>
      <c r="BW61" s="6">
        <f t="shared" si="40"/>
        <v>0</v>
      </c>
      <c r="BX61" s="6">
        <v>0</v>
      </c>
      <c r="BY61" s="6">
        <f t="shared" si="41"/>
        <v>0</v>
      </c>
      <c r="BZ61" s="6">
        <f t="shared" si="42"/>
        <v>0</v>
      </c>
      <c r="CA61" s="6">
        <v>0</v>
      </c>
      <c r="CB61" s="6">
        <f t="shared" si="43"/>
        <v>0</v>
      </c>
      <c r="CC61" s="6">
        <f t="shared" si="44"/>
        <v>0</v>
      </c>
      <c r="CD61" s="6">
        <v>0</v>
      </c>
      <c r="CE61" s="6">
        <f t="shared" si="45"/>
        <v>0</v>
      </c>
      <c r="CF61" s="6">
        <f t="shared" si="46"/>
        <v>0</v>
      </c>
      <c r="CG61" s="6">
        <v>0</v>
      </c>
      <c r="CH61" s="6">
        <f t="shared" si="47"/>
        <v>0</v>
      </c>
      <c r="CI61" s="6">
        <f t="shared" si="48"/>
        <v>0</v>
      </c>
      <c r="CJ61" s="6">
        <v>0</v>
      </c>
      <c r="CK61" s="6">
        <f t="shared" si="49"/>
        <v>0</v>
      </c>
      <c r="CL61" s="6">
        <f t="shared" si="50"/>
        <v>0</v>
      </c>
      <c r="CM61" s="6">
        <v>0</v>
      </c>
      <c r="CN61" s="6">
        <f t="shared" si="51"/>
        <v>0</v>
      </c>
      <c r="CO61" s="6">
        <f t="shared" si="52"/>
        <v>0</v>
      </c>
      <c r="CP61" s="6">
        <v>0</v>
      </c>
      <c r="CQ61" s="6">
        <f t="shared" si="53"/>
        <v>0</v>
      </c>
      <c r="CR61" s="6">
        <f t="shared" si="54"/>
        <v>0</v>
      </c>
      <c r="CS61" s="6">
        <v>0</v>
      </c>
      <c r="CT61" s="6">
        <f t="shared" si="55"/>
        <v>0</v>
      </c>
      <c r="CU61" s="6">
        <f t="shared" si="56"/>
        <v>0</v>
      </c>
      <c r="CV61" s="6">
        <v>0</v>
      </c>
      <c r="CW61" s="6">
        <f t="shared" si="57"/>
        <v>0</v>
      </c>
      <c r="CX61" s="6">
        <f t="shared" si="58"/>
        <v>0</v>
      </c>
      <c r="CY61" s="6">
        <v>0</v>
      </c>
      <c r="CZ61" s="6">
        <f t="shared" si="59"/>
        <v>0</v>
      </c>
      <c r="DA61" s="6">
        <f t="shared" si="60"/>
        <v>0</v>
      </c>
      <c r="DB61" s="6">
        <v>0</v>
      </c>
      <c r="DC61" s="6">
        <f t="shared" si="61"/>
        <v>0</v>
      </c>
      <c r="DD61" s="6">
        <f t="shared" si="62"/>
        <v>0</v>
      </c>
      <c r="DE61" s="6">
        <v>0</v>
      </c>
      <c r="DF61" s="6">
        <f t="shared" si="63"/>
        <v>0</v>
      </c>
      <c r="DG61" s="6">
        <f t="shared" si="64"/>
        <v>0</v>
      </c>
      <c r="DH61" s="6">
        <v>0</v>
      </c>
      <c r="DI61" s="6">
        <f t="shared" si="65"/>
        <v>0</v>
      </c>
      <c r="DJ61" s="6">
        <f t="shared" si="66"/>
        <v>0</v>
      </c>
      <c r="DK61" s="6">
        <v>0</v>
      </c>
      <c r="DL61" s="6">
        <f t="shared" si="67"/>
        <v>0</v>
      </c>
      <c r="DM61" s="6">
        <f t="shared" si="68"/>
        <v>0</v>
      </c>
      <c r="DN61" s="6">
        <v>0</v>
      </c>
      <c r="DO61" s="6">
        <f t="shared" si="69"/>
        <v>0</v>
      </c>
      <c r="DP61" s="6">
        <f t="shared" si="70"/>
        <v>0</v>
      </c>
    </row>
    <row r="62" spans="1:120" x14ac:dyDescent="0.2">
      <c r="A62" s="21">
        <v>86</v>
      </c>
      <c r="B62" s="21" t="s">
        <v>664</v>
      </c>
      <c r="C62" s="21">
        <v>86320</v>
      </c>
      <c r="D62" s="21" t="s">
        <v>329</v>
      </c>
      <c r="E62" s="21" t="s">
        <v>522</v>
      </c>
      <c r="F62" s="22" t="s">
        <v>666</v>
      </c>
      <c r="G62" s="4" t="s">
        <v>174</v>
      </c>
      <c r="H62" s="6">
        <v>517570.37</v>
      </c>
      <c r="I62" s="6">
        <f t="shared" si="75"/>
        <v>1418.0010136986302</v>
      </c>
      <c r="J62" s="6">
        <v>404335</v>
      </c>
      <c r="K62" s="6">
        <v>603887.93000000005</v>
      </c>
      <c r="L62" s="6">
        <f t="shared" si="76"/>
        <v>1649.9670218579236</v>
      </c>
      <c r="M62" s="6">
        <v>348026</v>
      </c>
      <c r="N62" s="6">
        <v>526072.72</v>
      </c>
      <c r="O62" s="6">
        <f t="shared" si="78"/>
        <v>1441.2951232876712</v>
      </c>
      <c r="P62" s="6">
        <v>302444</v>
      </c>
      <c r="Q62" s="6">
        <v>323467.59000000003</v>
      </c>
      <c r="R62" s="6">
        <f>Q62/181</f>
        <v>1787.1137569060775</v>
      </c>
      <c r="S62" s="6">
        <v>264294</v>
      </c>
      <c r="T62" s="6">
        <f t="shared" si="3"/>
        <v>264294</v>
      </c>
      <c r="U62" s="6">
        <f t="shared" si="4"/>
        <v>724.09315068493152</v>
      </c>
      <c r="V62" s="6">
        <v>232634</v>
      </c>
      <c r="W62" s="6">
        <f t="shared" si="5"/>
        <v>232634</v>
      </c>
      <c r="X62" s="6">
        <f t="shared" si="6"/>
        <v>637.35342465753422</v>
      </c>
      <c r="Y62" s="6">
        <v>204459</v>
      </c>
      <c r="Z62" s="6">
        <f t="shared" si="7"/>
        <v>204459</v>
      </c>
      <c r="AA62" s="6">
        <f t="shared" si="8"/>
        <v>560.16164383561647</v>
      </c>
      <c r="AB62" s="6">
        <v>180830</v>
      </c>
      <c r="AC62" s="6">
        <f t="shared" si="9"/>
        <v>180830</v>
      </c>
      <c r="AD62" s="6">
        <f t="shared" si="10"/>
        <v>495.42465753424659</v>
      </c>
      <c r="AE62" s="6">
        <v>160395</v>
      </c>
      <c r="AF62" s="6">
        <f t="shared" si="11"/>
        <v>160395</v>
      </c>
      <c r="AG62" s="6">
        <f t="shared" si="12"/>
        <v>439.43835616438355</v>
      </c>
      <c r="AH62" s="6">
        <v>142990</v>
      </c>
      <c r="AI62" s="6">
        <f t="shared" si="13"/>
        <v>142990</v>
      </c>
      <c r="AJ62" s="6">
        <f t="shared" si="14"/>
        <v>391.75342465753425</v>
      </c>
      <c r="AK62" s="6">
        <v>127051</v>
      </c>
      <c r="AL62" s="6">
        <f t="shared" si="15"/>
        <v>127051</v>
      </c>
      <c r="AM62" s="6">
        <f t="shared" si="16"/>
        <v>348.08493150684933</v>
      </c>
      <c r="AN62" s="6">
        <v>113426</v>
      </c>
      <c r="AO62" s="6">
        <f t="shared" si="17"/>
        <v>113426</v>
      </c>
      <c r="AP62" s="6">
        <f t="shared" si="18"/>
        <v>310.75616438356167</v>
      </c>
      <c r="AQ62" s="6">
        <v>101426</v>
      </c>
      <c r="AR62" s="6">
        <f t="shared" si="19"/>
        <v>101426</v>
      </c>
      <c r="AS62" s="6">
        <f t="shared" si="20"/>
        <v>277.87945205479451</v>
      </c>
      <c r="AT62" s="6">
        <v>91067</v>
      </c>
      <c r="AU62" s="6">
        <f t="shared" si="21"/>
        <v>91067</v>
      </c>
      <c r="AV62" s="6">
        <f t="shared" si="22"/>
        <v>249.49863013698629</v>
      </c>
      <c r="AW62" s="6">
        <v>81415</v>
      </c>
      <c r="AX62" s="6">
        <f t="shared" si="23"/>
        <v>81415</v>
      </c>
      <c r="AY62" s="6">
        <f t="shared" si="24"/>
        <v>223.05479452054794</v>
      </c>
      <c r="AZ62" s="6">
        <v>73080</v>
      </c>
      <c r="BA62" s="6">
        <f t="shared" si="25"/>
        <v>73080</v>
      </c>
      <c r="BB62" s="6">
        <f t="shared" si="26"/>
        <v>200.21917808219177</v>
      </c>
      <c r="BC62" s="6">
        <v>65663</v>
      </c>
      <c r="BD62" s="6">
        <f t="shared" si="27"/>
        <v>65663</v>
      </c>
      <c r="BE62" s="6">
        <f t="shared" si="28"/>
        <v>179.8986301369863</v>
      </c>
      <c r="BF62" s="6">
        <v>58950</v>
      </c>
      <c r="BG62" s="6">
        <f t="shared" si="29"/>
        <v>58950</v>
      </c>
      <c r="BH62" s="6">
        <f t="shared" si="30"/>
        <v>161.50684931506851</v>
      </c>
      <c r="BI62" s="6">
        <v>52843</v>
      </c>
      <c r="BJ62" s="6">
        <f t="shared" si="31"/>
        <v>52843</v>
      </c>
      <c r="BK62" s="6">
        <f t="shared" si="32"/>
        <v>144.77534246575343</v>
      </c>
      <c r="BL62" s="6">
        <v>47612</v>
      </c>
      <c r="BM62" s="6">
        <f t="shared" si="33"/>
        <v>47612</v>
      </c>
      <c r="BN62" s="6">
        <f t="shared" si="34"/>
        <v>130.44383561643835</v>
      </c>
      <c r="BO62" s="6">
        <v>42923</v>
      </c>
      <c r="BP62" s="6">
        <f t="shared" si="35"/>
        <v>42923</v>
      </c>
      <c r="BQ62" s="6">
        <f t="shared" si="36"/>
        <v>117.59726027397261</v>
      </c>
      <c r="BR62" s="6">
        <v>0</v>
      </c>
      <c r="BS62" s="6">
        <f t="shared" si="37"/>
        <v>0</v>
      </c>
      <c r="BT62" s="6">
        <f t="shared" si="38"/>
        <v>0</v>
      </c>
      <c r="BU62" s="6">
        <v>0</v>
      </c>
      <c r="BV62" s="6">
        <f t="shared" si="39"/>
        <v>0</v>
      </c>
      <c r="BW62" s="6">
        <f t="shared" si="40"/>
        <v>0</v>
      </c>
      <c r="BX62" s="6">
        <v>0</v>
      </c>
      <c r="BY62" s="6">
        <f t="shared" si="41"/>
        <v>0</v>
      </c>
      <c r="BZ62" s="6">
        <f t="shared" si="42"/>
        <v>0</v>
      </c>
      <c r="CA62" s="6">
        <v>0</v>
      </c>
      <c r="CB62" s="6">
        <f t="shared" si="43"/>
        <v>0</v>
      </c>
      <c r="CC62" s="6">
        <f t="shared" si="44"/>
        <v>0</v>
      </c>
      <c r="CD62" s="6">
        <v>0</v>
      </c>
      <c r="CE62" s="6">
        <f t="shared" si="45"/>
        <v>0</v>
      </c>
      <c r="CF62" s="6">
        <f t="shared" si="46"/>
        <v>0</v>
      </c>
      <c r="CG62" s="6">
        <v>0</v>
      </c>
      <c r="CH62" s="6">
        <f t="shared" si="47"/>
        <v>0</v>
      </c>
      <c r="CI62" s="6">
        <f t="shared" si="48"/>
        <v>0</v>
      </c>
      <c r="CJ62" s="6">
        <v>0</v>
      </c>
      <c r="CK62" s="6">
        <f t="shared" si="49"/>
        <v>0</v>
      </c>
      <c r="CL62" s="6">
        <f t="shared" si="50"/>
        <v>0</v>
      </c>
      <c r="CM62" s="6">
        <v>0</v>
      </c>
      <c r="CN62" s="6">
        <f t="shared" si="51"/>
        <v>0</v>
      </c>
      <c r="CO62" s="6">
        <f t="shared" si="52"/>
        <v>0</v>
      </c>
      <c r="CP62" s="6">
        <v>0</v>
      </c>
      <c r="CQ62" s="6">
        <f t="shared" si="53"/>
        <v>0</v>
      </c>
      <c r="CR62" s="6">
        <f t="shared" si="54"/>
        <v>0</v>
      </c>
      <c r="CS62" s="6">
        <v>0</v>
      </c>
      <c r="CT62" s="6">
        <f t="shared" si="55"/>
        <v>0</v>
      </c>
      <c r="CU62" s="6">
        <f t="shared" si="56"/>
        <v>0</v>
      </c>
      <c r="CV62" s="6">
        <v>0</v>
      </c>
      <c r="CW62" s="6">
        <f t="shared" si="57"/>
        <v>0</v>
      </c>
      <c r="CX62" s="6">
        <f t="shared" si="58"/>
        <v>0</v>
      </c>
      <c r="CY62" s="6">
        <v>0</v>
      </c>
      <c r="CZ62" s="6">
        <f t="shared" si="59"/>
        <v>0</v>
      </c>
      <c r="DA62" s="6">
        <f t="shared" si="60"/>
        <v>0</v>
      </c>
      <c r="DB62" s="6">
        <v>0</v>
      </c>
      <c r="DC62" s="6">
        <f t="shared" si="61"/>
        <v>0</v>
      </c>
      <c r="DD62" s="6">
        <f t="shared" si="62"/>
        <v>0</v>
      </c>
      <c r="DE62" s="6">
        <v>0</v>
      </c>
      <c r="DF62" s="6">
        <f t="shared" si="63"/>
        <v>0</v>
      </c>
      <c r="DG62" s="6">
        <f t="shared" si="64"/>
        <v>0</v>
      </c>
      <c r="DH62" s="6">
        <v>0</v>
      </c>
      <c r="DI62" s="6">
        <f t="shared" si="65"/>
        <v>0</v>
      </c>
      <c r="DJ62" s="6">
        <f t="shared" si="66"/>
        <v>0</v>
      </c>
      <c r="DK62" s="6">
        <v>0</v>
      </c>
      <c r="DL62" s="6">
        <f t="shared" si="67"/>
        <v>0</v>
      </c>
      <c r="DM62" s="6">
        <f t="shared" si="68"/>
        <v>0</v>
      </c>
      <c r="DN62" s="6">
        <v>0</v>
      </c>
      <c r="DO62" s="6">
        <f t="shared" si="69"/>
        <v>0</v>
      </c>
      <c r="DP62" s="6">
        <f t="shared" si="70"/>
        <v>0</v>
      </c>
    </row>
    <row r="63" spans="1:120" x14ac:dyDescent="0.2">
      <c r="A63" s="21">
        <v>81</v>
      </c>
      <c r="B63" s="21" t="s">
        <v>132</v>
      </c>
      <c r="C63" s="21">
        <v>81065</v>
      </c>
      <c r="D63" s="21" t="s">
        <v>682</v>
      </c>
      <c r="E63" s="21" t="s">
        <v>683</v>
      </c>
      <c r="F63" s="22" t="s">
        <v>662</v>
      </c>
      <c r="G63" s="4" t="s">
        <v>175</v>
      </c>
      <c r="H63" s="6">
        <v>1066123.57</v>
      </c>
      <c r="I63" s="6">
        <f t="shared" si="75"/>
        <v>2920.8864931506851</v>
      </c>
      <c r="J63" s="6">
        <v>1033895</v>
      </c>
      <c r="K63" s="6">
        <v>1128074.73</v>
      </c>
      <c r="L63" s="6">
        <f t="shared" si="76"/>
        <v>3082.171393442623</v>
      </c>
      <c r="M63" s="6">
        <v>836313</v>
      </c>
      <c r="N63" s="6">
        <v>1202815</v>
      </c>
      <c r="O63" s="6">
        <f t="shared" si="78"/>
        <v>3295.3835616438355</v>
      </c>
      <c r="P63" s="6">
        <v>632429</v>
      </c>
      <c r="Q63" s="6">
        <v>677800.49</v>
      </c>
      <c r="R63" s="6">
        <f>Q63/181</f>
        <v>3744.7540883977899</v>
      </c>
      <c r="S63" s="6">
        <v>448807</v>
      </c>
      <c r="T63" s="6">
        <f t="shared" si="3"/>
        <v>448807</v>
      </c>
      <c r="U63" s="6">
        <f t="shared" si="4"/>
        <v>1229.6082191780822</v>
      </c>
      <c r="V63" s="6">
        <v>339706</v>
      </c>
      <c r="W63" s="6">
        <f t="shared" si="5"/>
        <v>339706</v>
      </c>
      <c r="X63" s="6">
        <f t="shared" si="6"/>
        <v>930.70136986301372</v>
      </c>
      <c r="Y63" s="6">
        <v>285254</v>
      </c>
      <c r="Z63" s="6">
        <f t="shared" si="7"/>
        <v>285254</v>
      </c>
      <c r="AA63" s="6">
        <f t="shared" si="8"/>
        <v>781.51780821917805</v>
      </c>
      <c r="AB63" s="6">
        <v>226667</v>
      </c>
      <c r="AC63" s="6">
        <f t="shared" si="9"/>
        <v>226667</v>
      </c>
      <c r="AD63" s="6">
        <f t="shared" si="10"/>
        <v>621.00547945205483</v>
      </c>
      <c r="AE63" s="6">
        <v>183802</v>
      </c>
      <c r="AF63" s="6">
        <f t="shared" si="11"/>
        <v>183802</v>
      </c>
      <c r="AG63" s="6">
        <f t="shared" si="12"/>
        <v>503.56712328767122</v>
      </c>
      <c r="AH63" s="6">
        <v>149299</v>
      </c>
      <c r="AI63" s="6">
        <f t="shared" si="13"/>
        <v>149299</v>
      </c>
      <c r="AJ63" s="6">
        <f t="shared" si="14"/>
        <v>409.03835616438357</v>
      </c>
      <c r="AK63" s="6">
        <v>120157</v>
      </c>
      <c r="AL63" s="6">
        <f t="shared" si="15"/>
        <v>120157</v>
      </c>
      <c r="AM63" s="6">
        <f t="shared" si="16"/>
        <v>329.19726027397257</v>
      </c>
      <c r="AN63" s="6">
        <v>98001</v>
      </c>
      <c r="AO63" s="6">
        <f t="shared" si="17"/>
        <v>98001</v>
      </c>
      <c r="AP63" s="6">
        <f t="shared" si="18"/>
        <v>268.49589041095891</v>
      </c>
      <c r="AQ63" s="6">
        <v>78160</v>
      </c>
      <c r="AR63" s="6">
        <f t="shared" si="19"/>
        <v>78160</v>
      </c>
      <c r="AS63" s="6">
        <f t="shared" si="20"/>
        <v>214.13698630136986</v>
      </c>
      <c r="AT63" s="6">
        <v>61819</v>
      </c>
      <c r="AU63" s="6">
        <f t="shared" si="21"/>
        <v>61819</v>
      </c>
      <c r="AV63" s="6">
        <f t="shared" si="22"/>
        <v>169.36712328767123</v>
      </c>
      <c r="AW63" s="6">
        <v>44923</v>
      </c>
      <c r="AX63" s="6">
        <f t="shared" si="23"/>
        <v>44923</v>
      </c>
      <c r="AY63" s="6">
        <f t="shared" si="24"/>
        <v>123.07671232876713</v>
      </c>
      <c r="AZ63" s="6">
        <v>0</v>
      </c>
      <c r="BA63" s="6">
        <f t="shared" si="25"/>
        <v>0</v>
      </c>
      <c r="BB63" s="6">
        <f t="shared" si="26"/>
        <v>0</v>
      </c>
      <c r="BC63" s="6">
        <v>0</v>
      </c>
      <c r="BD63" s="6">
        <f t="shared" si="27"/>
        <v>0</v>
      </c>
      <c r="BE63" s="6">
        <f t="shared" si="28"/>
        <v>0</v>
      </c>
      <c r="BF63" s="6">
        <v>0</v>
      </c>
      <c r="BG63" s="6">
        <f t="shared" si="29"/>
        <v>0</v>
      </c>
      <c r="BH63" s="6">
        <f t="shared" si="30"/>
        <v>0</v>
      </c>
      <c r="BI63" s="6">
        <v>0</v>
      </c>
      <c r="BJ63" s="6">
        <f t="shared" si="31"/>
        <v>0</v>
      </c>
      <c r="BK63" s="6">
        <f t="shared" si="32"/>
        <v>0</v>
      </c>
      <c r="BL63" s="6">
        <v>0</v>
      </c>
      <c r="BM63" s="6">
        <f t="shared" si="33"/>
        <v>0</v>
      </c>
      <c r="BN63" s="6">
        <f t="shared" si="34"/>
        <v>0</v>
      </c>
      <c r="BO63" s="6">
        <v>0</v>
      </c>
      <c r="BP63" s="6">
        <f t="shared" si="35"/>
        <v>0</v>
      </c>
      <c r="BQ63" s="6">
        <f t="shared" si="36"/>
        <v>0</v>
      </c>
      <c r="BR63" s="6">
        <v>0</v>
      </c>
      <c r="BS63" s="6">
        <f t="shared" si="37"/>
        <v>0</v>
      </c>
      <c r="BT63" s="6">
        <f t="shared" si="38"/>
        <v>0</v>
      </c>
      <c r="BU63" s="6">
        <v>0</v>
      </c>
      <c r="BV63" s="6">
        <f t="shared" si="39"/>
        <v>0</v>
      </c>
      <c r="BW63" s="6">
        <f t="shared" si="40"/>
        <v>0</v>
      </c>
      <c r="BX63" s="6">
        <v>0</v>
      </c>
      <c r="BY63" s="6">
        <f t="shared" si="41"/>
        <v>0</v>
      </c>
      <c r="BZ63" s="6">
        <f t="shared" si="42"/>
        <v>0</v>
      </c>
      <c r="CA63" s="6">
        <v>0</v>
      </c>
      <c r="CB63" s="6">
        <f t="shared" si="43"/>
        <v>0</v>
      </c>
      <c r="CC63" s="6">
        <f t="shared" si="44"/>
        <v>0</v>
      </c>
      <c r="CD63" s="6">
        <v>0</v>
      </c>
      <c r="CE63" s="6">
        <f t="shared" si="45"/>
        <v>0</v>
      </c>
      <c r="CF63" s="6">
        <f t="shared" si="46"/>
        <v>0</v>
      </c>
      <c r="CG63" s="6">
        <v>0</v>
      </c>
      <c r="CH63" s="6">
        <f t="shared" si="47"/>
        <v>0</v>
      </c>
      <c r="CI63" s="6">
        <f t="shared" si="48"/>
        <v>0</v>
      </c>
      <c r="CJ63" s="6">
        <v>0</v>
      </c>
      <c r="CK63" s="6">
        <f t="shared" si="49"/>
        <v>0</v>
      </c>
      <c r="CL63" s="6">
        <f t="shared" si="50"/>
        <v>0</v>
      </c>
      <c r="CM63" s="6">
        <v>0</v>
      </c>
      <c r="CN63" s="6">
        <f t="shared" si="51"/>
        <v>0</v>
      </c>
      <c r="CO63" s="6">
        <f t="shared" si="52"/>
        <v>0</v>
      </c>
      <c r="CP63" s="6">
        <v>0</v>
      </c>
      <c r="CQ63" s="6">
        <f t="shared" si="53"/>
        <v>0</v>
      </c>
      <c r="CR63" s="6">
        <f t="shared" si="54"/>
        <v>0</v>
      </c>
      <c r="CS63" s="6">
        <v>0</v>
      </c>
      <c r="CT63" s="6">
        <f t="shared" si="55"/>
        <v>0</v>
      </c>
      <c r="CU63" s="6">
        <f t="shared" si="56"/>
        <v>0</v>
      </c>
      <c r="CV63" s="6">
        <v>0</v>
      </c>
      <c r="CW63" s="6">
        <f t="shared" si="57"/>
        <v>0</v>
      </c>
      <c r="CX63" s="6">
        <f t="shared" si="58"/>
        <v>0</v>
      </c>
      <c r="CY63" s="6">
        <v>0</v>
      </c>
      <c r="CZ63" s="6">
        <f t="shared" si="59"/>
        <v>0</v>
      </c>
      <c r="DA63" s="6">
        <f t="shared" si="60"/>
        <v>0</v>
      </c>
      <c r="DB63" s="6">
        <v>0</v>
      </c>
      <c r="DC63" s="6">
        <f t="shared" si="61"/>
        <v>0</v>
      </c>
      <c r="DD63" s="6">
        <f t="shared" si="62"/>
        <v>0</v>
      </c>
      <c r="DE63" s="6">
        <v>0</v>
      </c>
      <c r="DF63" s="6">
        <f t="shared" si="63"/>
        <v>0</v>
      </c>
      <c r="DG63" s="6">
        <f t="shared" si="64"/>
        <v>0</v>
      </c>
      <c r="DH63" s="6">
        <v>0</v>
      </c>
      <c r="DI63" s="6">
        <f t="shared" si="65"/>
        <v>0</v>
      </c>
      <c r="DJ63" s="6">
        <f t="shared" si="66"/>
        <v>0</v>
      </c>
      <c r="DK63" s="6">
        <v>0</v>
      </c>
      <c r="DL63" s="6">
        <f t="shared" si="67"/>
        <v>0</v>
      </c>
      <c r="DM63" s="6">
        <f t="shared" si="68"/>
        <v>0</v>
      </c>
      <c r="DN63" s="6">
        <v>0</v>
      </c>
      <c r="DO63" s="6">
        <f t="shared" si="69"/>
        <v>0</v>
      </c>
      <c r="DP63" s="6">
        <f t="shared" si="70"/>
        <v>0</v>
      </c>
    </row>
    <row r="64" spans="1:120" x14ac:dyDescent="0.2">
      <c r="A64" s="21">
        <v>85</v>
      </c>
      <c r="B64" s="21" t="s">
        <v>612</v>
      </c>
      <c r="C64" s="21">
        <v>85410</v>
      </c>
      <c r="D64" s="21" t="s">
        <v>691</v>
      </c>
      <c r="E64" s="21" t="s">
        <v>638</v>
      </c>
      <c r="F64" s="22" t="s">
        <v>669</v>
      </c>
      <c r="G64" s="4" t="s">
        <v>176</v>
      </c>
      <c r="H64" s="6">
        <v>6335.44</v>
      </c>
      <c r="I64" s="6">
        <f t="shared" si="75"/>
        <v>17.357369863013698</v>
      </c>
      <c r="J64" s="6">
        <v>29098.5452</v>
      </c>
      <c r="K64" s="6">
        <v>5618.96</v>
      </c>
      <c r="L64" s="6">
        <f t="shared" si="76"/>
        <v>15.352349726775957</v>
      </c>
      <c r="M64" s="6">
        <v>24625.738099999999</v>
      </c>
      <c r="N64" s="6">
        <v>238.12</v>
      </c>
      <c r="O64" s="6">
        <f t="shared" si="78"/>
        <v>0.6523835616438356</v>
      </c>
      <c r="P64" s="6">
        <v>9101.5043000000005</v>
      </c>
      <c r="Q64" s="6"/>
      <c r="R64" s="6"/>
      <c r="S64" s="6">
        <v>0</v>
      </c>
      <c r="T64" s="6">
        <f t="shared" si="3"/>
        <v>0</v>
      </c>
      <c r="U64" s="6">
        <f t="shared" si="4"/>
        <v>0</v>
      </c>
      <c r="V64" s="6">
        <v>0</v>
      </c>
      <c r="W64" s="6">
        <f t="shared" si="5"/>
        <v>0</v>
      </c>
      <c r="X64" s="6">
        <f t="shared" si="6"/>
        <v>0</v>
      </c>
      <c r="Y64" s="6">
        <v>0</v>
      </c>
      <c r="Z64" s="6">
        <f t="shared" si="7"/>
        <v>0</v>
      </c>
      <c r="AA64" s="6">
        <f t="shared" si="8"/>
        <v>0</v>
      </c>
      <c r="AB64" s="6">
        <v>0</v>
      </c>
      <c r="AC64" s="6">
        <f t="shared" si="9"/>
        <v>0</v>
      </c>
      <c r="AD64" s="6">
        <f t="shared" si="10"/>
        <v>0</v>
      </c>
      <c r="AE64" s="6">
        <v>0</v>
      </c>
      <c r="AF64" s="6">
        <f t="shared" si="11"/>
        <v>0</v>
      </c>
      <c r="AG64" s="6">
        <f t="shared" si="12"/>
        <v>0</v>
      </c>
      <c r="AH64" s="6">
        <v>0</v>
      </c>
      <c r="AI64" s="6">
        <f t="shared" si="13"/>
        <v>0</v>
      </c>
      <c r="AJ64" s="6">
        <f t="shared" si="14"/>
        <v>0</v>
      </c>
      <c r="AK64" s="6">
        <v>0</v>
      </c>
      <c r="AL64" s="6">
        <f t="shared" si="15"/>
        <v>0</v>
      </c>
      <c r="AM64" s="6">
        <f t="shared" si="16"/>
        <v>0</v>
      </c>
      <c r="AN64" s="6">
        <v>0</v>
      </c>
      <c r="AO64" s="6">
        <f t="shared" si="17"/>
        <v>0</v>
      </c>
      <c r="AP64" s="6">
        <f t="shared" si="18"/>
        <v>0</v>
      </c>
      <c r="AQ64" s="6">
        <v>0</v>
      </c>
      <c r="AR64" s="6">
        <f t="shared" si="19"/>
        <v>0</v>
      </c>
      <c r="AS64" s="6">
        <f t="shared" si="20"/>
        <v>0</v>
      </c>
      <c r="AT64" s="6">
        <v>0</v>
      </c>
      <c r="AU64" s="6">
        <f t="shared" si="21"/>
        <v>0</v>
      </c>
      <c r="AV64" s="6">
        <f t="shared" si="22"/>
        <v>0</v>
      </c>
      <c r="AW64" s="6">
        <v>0</v>
      </c>
      <c r="AX64" s="6">
        <f t="shared" si="23"/>
        <v>0</v>
      </c>
      <c r="AY64" s="6">
        <f t="shared" si="24"/>
        <v>0</v>
      </c>
      <c r="AZ64" s="6">
        <v>0</v>
      </c>
      <c r="BA64" s="6">
        <f t="shared" si="25"/>
        <v>0</v>
      </c>
      <c r="BB64" s="6">
        <f t="shared" si="26"/>
        <v>0</v>
      </c>
      <c r="BC64" s="6">
        <v>0</v>
      </c>
      <c r="BD64" s="6">
        <f t="shared" si="27"/>
        <v>0</v>
      </c>
      <c r="BE64" s="6">
        <f t="shared" si="28"/>
        <v>0</v>
      </c>
      <c r="BF64" s="6">
        <v>0</v>
      </c>
      <c r="BG64" s="6">
        <f t="shared" si="29"/>
        <v>0</v>
      </c>
      <c r="BH64" s="6">
        <f t="shared" si="30"/>
        <v>0</v>
      </c>
      <c r="BI64" s="6">
        <v>0</v>
      </c>
      <c r="BJ64" s="6">
        <f t="shared" si="31"/>
        <v>0</v>
      </c>
      <c r="BK64" s="6">
        <f t="shared" si="32"/>
        <v>0</v>
      </c>
      <c r="BL64" s="6">
        <v>0</v>
      </c>
      <c r="BM64" s="6">
        <f t="shared" si="33"/>
        <v>0</v>
      </c>
      <c r="BN64" s="6">
        <f t="shared" si="34"/>
        <v>0</v>
      </c>
      <c r="BO64" s="6">
        <v>0</v>
      </c>
      <c r="BP64" s="6">
        <f t="shared" si="35"/>
        <v>0</v>
      </c>
      <c r="BQ64" s="6">
        <f t="shared" si="36"/>
        <v>0</v>
      </c>
      <c r="BR64" s="6">
        <v>0</v>
      </c>
      <c r="BS64" s="6">
        <f t="shared" si="37"/>
        <v>0</v>
      </c>
      <c r="BT64" s="6">
        <f t="shared" si="38"/>
        <v>0</v>
      </c>
      <c r="BU64" s="6">
        <v>0</v>
      </c>
      <c r="BV64" s="6">
        <f t="shared" si="39"/>
        <v>0</v>
      </c>
      <c r="BW64" s="6">
        <f t="shared" si="40"/>
        <v>0</v>
      </c>
      <c r="BX64" s="6">
        <v>0</v>
      </c>
      <c r="BY64" s="6">
        <f t="shared" si="41"/>
        <v>0</v>
      </c>
      <c r="BZ64" s="6">
        <f t="shared" si="42"/>
        <v>0</v>
      </c>
      <c r="CA64" s="6">
        <v>0</v>
      </c>
      <c r="CB64" s="6">
        <f t="shared" si="43"/>
        <v>0</v>
      </c>
      <c r="CC64" s="6">
        <f t="shared" si="44"/>
        <v>0</v>
      </c>
      <c r="CD64" s="6">
        <v>0</v>
      </c>
      <c r="CE64" s="6">
        <f t="shared" si="45"/>
        <v>0</v>
      </c>
      <c r="CF64" s="6">
        <f t="shared" si="46"/>
        <v>0</v>
      </c>
      <c r="CG64" s="6">
        <v>0</v>
      </c>
      <c r="CH64" s="6">
        <f t="shared" si="47"/>
        <v>0</v>
      </c>
      <c r="CI64" s="6">
        <f t="shared" si="48"/>
        <v>0</v>
      </c>
      <c r="CJ64" s="6">
        <v>0</v>
      </c>
      <c r="CK64" s="6">
        <f t="shared" si="49"/>
        <v>0</v>
      </c>
      <c r="CL64" s="6">
        <f t="shared" si="50"/>
        <v>0</v>
      </c>
      <c r="CM64" s="6">
        <v>0</v>
      </c>
      <c r="CN64" s="6">
        <f t="shared" si="51"/>
        <v>0</v>
      </c>
      <c r="CO64" s="6">
        <f t="shared" si="52"/>
        <v>0</v>
      </c>
      <c r="CP64" s="6">
        <v>0</v>
      </c>
      <c r="CQ64" s="6">
        <f t="shared" si="53"/>
        <v>0</v>
      </c>
      <c r="CR64" s="6">
        <f t="shared" si="54"/>
        <v>0</v>
      </c>
      <c r="CS64" s="6">
        <v>0</v>
      </c>
      <c r="CT64" s="6">
        <f t="shared" si="55"/>
        <v>0</v>
      </c>
      <c r="CU64" s="6">
        <f t="shared" si="56"/>
        <v>0</v>
      </c>
      <c r="CV64" s="6">
        <v>0</v>
      </c>
      <c r="CW64" s="6">
        <f t="shared" si="57"/>
        <v>0</v>
      </c>
      <c r="CX64" s="6">
        <f t="shared" si="58"/>
        <v>0</v>
      </c>
      <c r="CY64" s="6">
        <v>0</v>
      </c>
      <c r="CZ64" s="6">
        <f t="shared" si="59"/>
        <v>0</v>
      </c>
      <c r="DA64" s="6">
        <f t="shared" si="60"/>
        <v>0</v>
      </c>
      <c r="DB64" s="6">
        <v>0</v>
      </c>
      <c r="DC64" s="6">
        <f t="shared" si="61"/>
        <v>0</v>
      </c>
      <c r="DD64" s="6">
        <f t="shared" si="62"/>
        <v>0</v>
      </c>
      <c r="DE64" s="6">
        <v>0</v>
      </c>
      <c r="DF64" s="6">
        <f t="shared" si="63"/>
        <v>0</v>
      </c>
      <c r="DG64" s="6">
        <f t="shared" si="64"/>
        <v>0</v>
      </c>
      <c r="DH64" s="6">
        <v>0</v>
      </c>
      <c r="DI64" s="6">
        <f t="shared" si="65"/>
        <v>0</v>
      </c>
      <c r="DJ64" s="6">
        <f t="shared" si="66"/>
        <v>0</v>
      </c>
      <c r="DK64" s="6">
        <v>0</v>
      </c>
      <c r="DL64" s="6">
        <f t="shared" si="67"/>
        <v>0</v>
      </c>
      <c r="DM64" s="6">
        <f t="shared" si="68"/>
        <v>0</v>
      </c>
      <c r="DN64" s="6">
        <v>0</v>
      </c>
      <c r="DO64" s="6">
        <f t="shared" si="69"/>
        <v>0</v>
      </c>
      <c r="DP64" s="6">
        <f t="shared" si="70"/>
        <v>0</v>
      </c>
    </row>
    <row r="65" spans="1:120" x14ac:dyDescent="0.2">
      <c r="A65" s="21">
        <v>85</v>
      </c>
      <c r="B65" s="21" t="s">
        <v>612</v>
      </c>
      <c r="C65" s="21">
        <v>85230</v>
      </c>
      <c r="D65" s="21" t="s">
        <v>614</v>
      </c>
      <c r="E65" s="21" t="s">
        <v>542</v>
      </c>
      <c r="F65" s="22" t="s">
        <v>693</v>
      </c>
      <c r="G65" s="4" t="s">
        <v>177</v>
      </c>
      <c r="H65" s="6">
        <v>131300.13</v>
      </c>
      <c r="I65" s="6">
        <f t="shared" si="75"/>
        <v>359.72638356164384</v>
      </c>
      <c r="J65" s="6">
        <v>98667</v>
      </c>
      <c r="K65" s="6">
        <v>111340.59</v>
      </c>
      <c r="L65" s="6">
        <f t="shared" si="76"/>
        <v>304.20926229508194</v>
      </c>
      <c r="M65" s="6">
        <v>77442</v>
      </c>
      <c r="N65" s="6">
        <v>136173.91</v>
      </c>
      <c r="O65" s="6">
        <f t="shared" si="78"/>
        <v>373.07920547945207</v>
      </c>
      <c r="P65" s="6">
        <v>61643</v>
      </c>
      <c r="Q65" s="6">
        <v>60691.73</v>
      </c>
      <c r="R65" s="6">
        <f>Q65/181</f>
        <v>335.31342541436464</v>
      </c>
      <c r="S65" s="6">
        <v>43842</v>
      </c>
      <c r="T65" s="6">
        <f t="shared" si="3"/>
        <v>43842</v>
      </c>
      <c r="U65" s="6">
        <f t="shared" si="4"/>
        <v>120.11506849315069</v>
      </c>
      <c r="V65" s="6">
        <v>32474</v>
      </c>
      <c r="W65" s="6">
        <f t="shared" si="5"/>
        <v>32474</v>
      </c>
      <c r="X65" s="6">
        <f t="shared" si="6"/>
        <v>88.969863013698628</v>
      </c>
      <c r="Y65" s="6">
        <v>23935</v>
      </c>
      <c r="Z65" s="6">
        <f t="shared" si="7"/>
        <v>23935</v>
      </c>
      <c r="AA65" s="6">
        <f t="shared" si="8"/>
        <v>65.575342465753423</v>
      </c>
      <c r="AB65" s="6">
        <v>0</v>
      </c>
      <c r="AC65" s="6">
        <f t="shared" si="9"/>
        <v>0</v>
      </c>
      <c r="AD65" s="6">
        <f t="shared" si="10"/>
        <v>0</v>
      </c>
      <c r="AE65" s="6">
        <v>0</v>
      </c>
      <c r="AF65" s="6">
        <f t="shared" si="11"/>
        <v>0</v>
      </c>
      <c r="AG65" s="6">
        <f t="shared" si="12"/>
        <v>0</v>
      </c>
      <c r="AH65" s="6">
        <v>0</v>
      </c>
      <c r="AI65" s="6">
        <f t="shared" si="13"/>
        <v>0</v>
      </c>
      <c r="AJ65" s="6">
        <f t="shared" si="14"/>
        <v>0</v>
      </c>
      <c r="AK65" s="6">
        <v>0</v>
      </c>
      <c r="AL65" s="6">
        <f t="shared" si="15"/>
        <v>0</v>
      </c>
      <c r="AM65" s="6">
        <f t="shared" si="16"/>
        <v>0</v>
      </c>
      <c r="AN65" s="6">
        <v>0</v>
      </c>
      <c r="AO65" s="6">
        <f t="shared" si="17"/>
        <v>0</v>
      </c>
      <c r="AP65" s="6">
        <f t="shared" si="18"/>
        <v>0</v>
      </c>
      <c r="AQ65" s="6">
        <v>0</v>
      </c>
      <c r="AR65" s="6">
        <f t="shared" si="19"/>
        <v>0</v>
      </c>
      <c r="AS65" s="6">
        <f t="shared" si="20"/>
        <v>0</v>
      </c>
      <c r="AT65" s="6">
        <v>0</v>
      </c>
      <c r="AU65" s="6">
        <f t="shared" si="21"/>
        <v>0</v>
      </c>
      <c r="AV65" s="6">
        <f t="shared" si="22"/>
        <v>0</v>
      </c>
      <c r="AW65" s="6">
        <v>0</v>
      </c>
      <c r="AX65" s="6">
        <f t="shared" si="23"/>
        <v>0</v>
      </c>
      <c r="AY65" s="6">
        <f t="shared" si="24"/>
        <v>0</v>
      </c>
      <c r="AZ65" s="6">
        <v>0</v>
      </c>
      <c r="BA65" s="6">
        <f t="shared" si="25"/>
        <v>0</v>
      </c>
      <c r="BB65" s="6">
        <f t="shared" si="26"/>
        <v>0</v>
      </c>
      <c r="BC65" s="6">
        <v>0</v>
      </c>
      <c r="BD65" s="6">
        <f t="shared" si="27"/>
        <v>0</v>
      </c>
      <c r="BE65" s="6">
        <f t="shared" si="28"/>
        <v>0</v>
      </c>
      <c r="BF65" s="6">
        <v>0</v>
      </c>
      <c r="BG65" s="6">
        <f t="shared" si="29"/>
        <v>0</v>
      </c>
      <c r="BH65" s="6">
        <f t="shared" si="30"/>
        <v>0</v>
      </c>
      <c r="BI65" s="6">
        <v>0</v>
      </c>
      <c r="BJ65" s="6">
        <f t="shared" si="31"/>
        <v>0</v>
      </c>
      <c r="BK65" s="6">
        <f t="shared" si="32"/>
        <v>0</v>
      </c>
      <c r="BL65" s="6">
        <v>0</v>
      </c>
      <c r="BM65" s="6">
        <f t="shared" si="33"/>
        <v>0</v>
      </c>
      <c r="BN65" s="6">
        <f t="shared" si="34"/>
        <v>0</v>
      </c>
      <c r="BO65" s="6">
        <v>0</v>
      </c>
      <c r="BP65" s="6">
        <f t="shared" si="35"/>
        <v>0</v>
      </c>
      <c r="BQ65" s="6">
        <f t="shared" si="36"/>
        <v>0</v>
      </c>
      <c r="BR65" s="6">
        <v>0</v>
      </c>
      <c r="BS65" s="6">
        <f t="shared" si="37"/>
        <v>0</v>
      </c>
      <c r="BT65" s="6">
        <f t="shared" si="38"/>
        <v>0</v>
      </c>
      <c r="BU65" s="6">
        <v>0</v>
      </c>
      <c r="BV65" s="6">
        <f t="shared" si="39"/>
        <v>0</v>
      </c>
      <c r="BW65" s="6">
        <f t="shared" si="40"/>
        <v>0</v>
      </c>
      <c r="BX65" s="6">
        <v>0</v>
      </c>
      <c r="BY65" s="6">
        <f t="shared" si="41"/>
        <v>0</v>
      </c>
      <c r="BZ65" s="6">
        <f t="shared" si="42"/>
        <v>0</v>
      </c>
      <c r="CA65" s="6">
        <v>0</v>
      </c>
      <c r="CB65" s="6">
        <f t="shared" si="43"/>
        <v>0</v>
      </c>
      <c r="CC65" s="6">
        <f t="shared" si="44"/>
        <v>0</v>
      </c>
      <c r="CD65" s="6">
        <v>0</v>
      </c>
      <c r="CE65" s="6">
        <f t="shared" si="45"/>
        <v>0</v>
      </c>
      <c r="CF65" s="6">
        <f t="shared" si="46"/>
        <v>0</v>
      </c>
      <c r="CG65" s="6">
        <v>0</v>
      </c>
      <c r="CH65" s="6">
        <f t="shared" si="47"/>
        <v>0</v>
      </c>
      <c r="CI65" s="6">
        <f t="shared" si="48"/>
        <v>0</v>
      </c>
      <c r="CJ65" s="6">
        <v>0</v>
      </c>
      <c r="CK65" s="6">
        <f t="shared" si="49"/>
        <v>0</v>
      </c>
      <c r="CL65" s="6">
        <f t="shared" si="50"/>
        <v>0</v>
      </c>
      <c r="CM65" s="6">
        <v>0</v>
      </c>
      <c r="CN65" s="6">
        <f t="shared" si="51"/>
        <v>0</v>
      </c>
      <c r="CO65" s="6">
        <f t="shared" si="52"/>
        <v>0</v>
      </c>
      <c r="CP65" s="6">
        <v>0</v>
      </c>
      <c r="CQ65" s="6">
        <f t="shared" si="53"/>
        <v>0</v>
      </c>
      <c r="CR65" s="6">
        <f t="shared" si="54"/>
        <v>0</v>
      </c>
      <c r="CS65" s="6">
        <v>0</v>
      </c>
      <c r="CT65" s="6">
        <f t="shared" si="55"/>
        <v>0</v>
      </c>
      <c r="CU65" s="6">
        <f t="shared" si="56"/>
        <v>0</v>
      </c>
      <c r="CV65" s="6">
        <v>0</v>
      </c>
      <c r="CW65" s="6">
        <f t="shared" si="57"/>
        <v>0</v>
      </c>
      <c r="CX65" s="6">
        <f t="shared" si="58"/>
        <v>0</v>
      </c>
      <c r="CY65" s="6">
        <v>0</v>
      </c>
      <c r="CZ65" s="6">
        <f t="shared" si="59"/>
        <v>0</v>
      </c>
      <c r="DA65" s="6">
        <f t="shared" si="60"/>
        <v>0</v>
      </c>
      <c r="DB65" s="6">
        <v>0</v>
      </c>
      <c r="DC65" s="6">
        <f t="shared" si="61"/>
        <v>0</v>
      </c>
      <c r="DD65" s="6">
        <f t="shared" si="62"/>
        <v>0</v>
      </c>
      <c r="DE65" s="6">
        <v>0</v>
      </c>
      <c r="DF65" s="6">
        <f t="shared" si="63"/>
        <v>0</v>
      </c>
      <c r="DG65" s="6">
        <f t="shared" si="64"/>
        <v>0</v>
      </c>
      <c r="DH65" s="6">
        <v>0</v>
      </c>
      <c r="DI65" s="6">
        <f t="shared" si="65"/>
        <v>0</v>
      </c>
      <c r="DJ65" s="6">
        <f t="shared" si="66"/>
        <v>0</v>
      </c>
      <c r="DK65" s="6">
        <v>0</v>
      </c>
      <c r="DL65" s="6">
        <f t="shared" si="67"/>
        <v>0</v>
      </c>
      <c r="DM65" s="6">
        <f t="shared" si="68"/>
        <v>0</v>
      </c>
      <c r="DN65" s="6">
        <v>0</v>
      </c>
      <c r="DO65" s="6">
        <f t="shared" si="69"/>
        <v>0</v>
      </c>
      <c r="DP65" s="6">
        <f t="shared" si="70"/>
        <v>0</v>
      </c>
    </row>
    <row r="66" spans="1:120" x14ac:dyDescent="0.2">
      <c r="A66" s="21">
        <v>85</v>
      </c>
      <c r="B66" s="21" t="s">
        <v>612</v>
      </c>
      <c r="C66" s="21">
        <v>85230</v>
      </c>
      <c r="D66" s="21" t="s">
        <v>614</v>
      </c>
      <c r="E66" s="21" t="s">
        <v>617</v>
      </c>
      <c r="F66" s="22" t="s">
        <v>662</v>
      </c>
      <c r="G66" s="4" t="s">
        <v>178</v>
      </c>
      <c r="H66" s="6">
        <v>242609.66</v>
      </c>
      <c r="I66" s="6">
        <f t="shared" ref="I66:I97" si="79">H66/365</f>
        <v>664.68399999999997</v>
      </c>
      <c r="J66" s="6">
        <v>387328.04619999998</v>
      </c>
      <c r="K66" s="6">
        <v>1384806.8</v>
      </c>
      <c r="L66" s="6">
        <f t="shared" si="76"/>
        <v>3783.6251366120218</v>
      </c>
      <c r="M66" s="6">
        <v>235438.72289999999</v>
      </c>
      <c r="N66" s="6">
        <v>1453538.3</v>
      </c>
      <c r="O66" s="6">
        <f t="shared" si="78"/>
        <v>3982.2967123287672</v>
      </c>
      <c r="P66" s="6">
        <v>121977.5252</v>
      </c>
      <c r="Q66" s="6">
        <v>481914.98</v>
      </c>
      <c r="R66" s="6">
        <f>Q66/181</f>
        <v>2662.5137016574586</v>
      </c>
      <c r="S66" s="6">
        <v>13781.936299999999</v>
      </c>
      <c r="T66" s="6">
        <f t="shared" ref="T66:T129" si="80">S66</f>
        <v>13781.936299999999</v>
      </c>
      <c r="U66" s="6">
        <f t="shared" ref="U66:U129" si="81">T66/365</f>
        <v>37.758729589041096</v>
      </c>
      <c r="V66" s="6">
        <v>282.37470000000002</v>
      </c>
      <c r="W66" s="6">
        <f t="shared" ref="W66:W129" si="82">V66</f>
        <v>282.37470000000002</v>
      </c>
      <c r="X66" s="6">
        <f t="shared" ref="X66:X129" si="83">W66/365</f>
        <v>0.7736293150684932</v>
      </c>
      <c r="Y66" s="6">
        <v>0</v>
      </c>
      <c r="Z66" s="6">
        <f t="shared" ref="Z66:Z129" si="84">Y66</f>
        <v>0</v>
      </c>
      <c r="AA66" s="6">
        <f t="shared" ref="AA66:AA129" si="85">Z66/365</f>
        <v>0</v>
      </c>
      <c r="AB66" s="6">
        <v>0</v>
      </c>
      <c r="AC66" s="6">
        <f t="shared" ref="AC66:AC129" si="86">AB66</f>
        <v>0</v>
      </c>
      <c r="AD66" s="6">
        <f t="shared" ref="AD66:AD129" si="87">AC66/365</f>
        <v>0</v>
      </c>
      <c r="AE66" s="6">
        <v>0</v>
      </c>
      <c r="AF66" s="6">
        <f t="shared" ref="AF66:AF129" si="88">AE66</f>
        <v>0</v>
      </c>
      <c r="AG66" s="6">
        <f t="shared" ref="AG66:AG129" si="89">AF66/365</f>
        <v>0</v>
      </c>
      <c r="AH66" s="6">
        <v>0</v>
      </c>
      <c r="AI66" s="6">
        <f t="shared" ref="AI66:AI129" si="90">AH66</f>
        <v>0</v>
      </c>
      <c r="AJ66" s="6">
        <f t="shared" ref="AJ66:AJ129" si="91">AI66/365</f>
        <v>0</v>
      </c>
      <c r="AK66" s="6">
        <v>0</v>
      </c>
      <c r="AL66" s="6">
        <f t="shared" ref="AL66:AL129" si="92">AK66</f>
        <v>0</v>
      </c>
      <c r="AM66" s="6">
        <f t="shared" ref="AM66:AM129" si="93">AL66/365</f>
        <v>0</v>
      </c>
      <c r="AN66" s="6">
        <v>0</v>
      </c>
      <c r="AO66" s="6">
        <f t="shared" ref="AO66:AO129" si="94">AN66</f>
        <v>0</v>
      </c>
      <c r="AP66" s="6">
        <f t="shared" ref="AP66:AP129" si="95">AO66/365</f>
        <v>0</v>
      </c>
      <c r="AQ66" s="6">
        <v>0</v>
      </c>
      <c r="AR66" s="6">
        <f t="shared" ref="AR66:AR129" si="96">AQ66</f>
        <v>0</v>
      </c>
      <c r="AS66" s="6">
        <f t="shared" ref="AS66:AS129" si="97">AR66/365</f>
        <v>0</v>
      </c>
      <c r="AT66" s="6">
        <v>0</v>
      </c>
      <c r="AU66" s="6">
        <f t="shared" ref="AU66:AU129" si="98">AT66</f>
        <v>0</v>
      </c>
      <c r="AV66" s="6">
        <f t="shared" ref="AV66:AV129" si="99">AU66/365</f>
        <v>0</v>
      </c>
      <c r="AW66" s="6">
        <v>0</v>
      </c>
      <c r="AX66" s="6">
        <f t="shared" ref="AX66:AX129" si="100">AW66</f>
        <v>0</v>
      </c>
      <c r="AY66" s="6">
        <f t="shared" ref="AY66:AY129" si="101">AX66/365</f>
        <v>0</v>
      </c>
      <c r="AZ66" s="6">
        <v>0</v>
      </c>
      <c r="BA66" s="6">
        <f t="shared" ref="BA66:BA129" si="102">AZ66</f>
        <v>0</v>
      </c>
      <c r="BB66" s="6">
        <f t="shared" ref="BB66:BB129" si="103">BA66/365</f>
        <v>0</v>
      </c>
      <c r="BC66" s="6">
        <v>0</v>
      </c>
      <c r="BD66" s="6">
        <f t="shared" ref="BD66:BD129" si="104">BC66</f>
        <v>0</v>
      </c>
      <c r="BE66" s="6">
        <f t="shared" ref="BE66:BE129" si="105">BD66/365</f>
        <v>0</v>
      </c>
      <c r="BF66" s="6">
        <v>0</v>
      </c>
      <c r="BG66" s="6">
        <f t="shared" ref="BG66:BG129" si="106">BF66</f>
        <v>0</v>
      </c>
      <c r="BH66" s="6">
        <f t="shared" ref="BH66:BH129" si="107">BG66/365</f>
        <v>0</v>
      </c>
      <c r="BI66" s="6">
        <v>0</v>
      </c>
      <c r="BJ66" s="6">
        <f t="shared" ref="BJ66:BJ129" si="108">BI66</f>
        <v>0</v>
      </c>
      <c r="BK66" s="6">
        <f t="shared" ref="BK66:BK129" si="109">BJ66/365</f>
        <v>0</v>
      </c>
      <c r="BL66" s="6">
        <v>0</v>
      </c>
      <c r="BM66" s="6">
        <f t="shared" ref="BM66:BM129" si="110">BL66</f>
        <v>0</v>
      </c>
      <c r="BN66" s="6">
        <f t="shared" ref="BN66:BN129" si="111">BM66/365</f>
        <v>0</v>
      </c>
      <c r="BO66" s="6">
        <v>0</v>
      </c>
      <c r="BP66" s="6">
        <f t="shared" ref="BP66:BP129" si="112">BO66</f>
        <v>0</v>
      </c>
      <c r="BQ66" s="6">
        <f t="shared" ref="BQ66:BQ129" si="113">BP66/365</f>
        <v>0</v>
      </c>
      <c r="BR66" s="6">
        <v>0</v>
      </c>
      <c r="BS66" s="6">
        <f t="shared" ref="BS66:BS129" si="114">BR66</f>
        <v>0</v>
      </c>
      <c r="BT66" s="6">
        <f t="shared" ref="BT66:BT129" si="115">BS66/365</f>
        <v>0</v>
      </c>
      <c r="BU66" s="6">
        <v>0</v>
      </c>
      <c r="BV66" s="6">
        <f t="shared" ref="BV66:BV129" si="116">BU66</f>
        <v>0</v>
      </c>
      <c r="BW66" s="6">
        <f t="shared" ref="BW66:BW129" si="117">BV66/365</f>
        <v>0</v>
      </c>
      <c r="BX66" s="6">
        <v>0</v>
      </c>
      <c r="BY66" s="6">
        <f t="shared" ref="BY66:BY129" si="118">BX66</f>
        <v>0</v>
      </c>
      <c r="BZ66" s="6">
        <f t="shared" ref="BZ66:BZ129" si="119">BY66/365</f>
        <v>0</v>
      </c>
      <c r="CA66" s="6">
        <v>0</v>
      </c>
      <c r="CB66" s="6">
        <f t="shared" ref="CB66:CB129" si="120">CA66</f>
        <v>0</v>
      </c>
      <c r="CC66" s="6">
        <f t="shared" ref="CC66:CC129" si="121">CB66/365</f>
        <v>0</v>
      </c>
      <c r="CD66" s="6">
        <v>0</v>
      </c>
      <c r="CE66" s="6">
        <f t="shared" ref="CE66:CE129" si="122">CD66</f>
        <v>0</v>
      </c>
      <c r="CF66" s="6">
        <f t="shared" ref="CF66:CF129" si="123">CE66/365</f>
        <v>0</v>
      </c>
      <c r="CG66" s="6">
        <v>0</v>
      </c>
      <c r="CH66" s="6">
        <f t="shared" ref="CH66:CH129" si="124">CG66</f>
        <v>0</v>
      </c>
      <c r="CI66" s="6">
        <f t="shared" ref="CI66:CI129" si="125">CH66/365</f>
        <v>0</v>
      </c>
      <c r="CJ66" s="6">
        <v>0</v>
      </c>
      <c r="CK66" s="6">
        <f t="shared" ref="CK66:CK129" si="126">CJ66</f>
        <v>0</v>
      </c>
      <c r="CL66" s="6">
        <f t="shared" ref="CL66:CL129" si="127">CK66/365</f>
        <v>0</v>
      </c>
      <c r="CM66" s="6">
        <v>0</v>
      </c>
      <c r="CN66" s="6">
        <f t="shared" ref="CN66:CN129" si="128">CM66</f>
        <v>0</v>
      </c>
      <c r="CO66" s="6">
        <f t="shared" ref="CO66:CO129" si="129">CN66/365</f>
        <v>0</v>
      </c>
      <c r="CP66" s="6">
        <v>0</v>
      </c>
      <c r="CQ66" s="6">
        <f t="shared" ref="CQ66:CQ129" si="130">CP66</f>
        <v>0</v>
      </c>
      <c r="CR66" s="6">
        <f t="shared" ref="CR66:CR129" si="131">CQ66/365</f>
        <v>0</v>
      </c>
      <c r="CS66" s="6">
        <v>0</v>
      </c>
      <c r="CT66" s="6">
        <f t="shared" ref="CT66:CT129" si="132">CS66</f>
        <v>0</v>
      </c>
      <c r="CU66" s="6">
        <f t="shared" ref="CU66:CU129" si="133">CT66/365</f>
        <v>0</v>
      </c>
      <c r="CV66" s="6">
        <v>0</v>
      </c>
      <c r="CW66" s="6">
        <f t="shared" ref="CW66:CW129" si="134">CV66</f>
        <v>0</v>
      </c>
      <c r="CX66" s="6">
        <f t="shared" ref="CX66:CX129" si="135">CW66/365</f>
        <v>0</v>
      </c>
      <c r="CY66" s="6">
        <v>0</v>
      </c>
      <c r="CZ66" s="6">
        <f t="shared" ref="CZ66:CZ129" si="136">CY66</f>
        <v>0</v>
      </c>
      <c r="DA66" s="6">
        <f t="shared" ref="DA66:DA129" si="137">CZ66/365</f>
        <v>0</v>
      </c>
      <c r="DB66" s="6">
        <v>0</v>
      </c>
      <c r="DC66" s="6">
        <f t="shared" ref="DC66:DC129" si="138">DB66</f>
        <v>0</v>
      </c>
      <c r="DD66" s="6">
        <f t="shared" ref="DD66:DD129" si="139">DC66/365</f>
        <v>0</v>
      </c>
      <c r="DE66" s="6">
        <v>0</v>
      </c>
      <c r="DF66" s="6">
        <f t="shared" ref="DF66:DF129" si="140">DE66</f>
        <v>0</v>
      </c>
      <c r="DG66" s="6">
        <f t="shared" ref="DG66:DG129" si="141">DF66/365</f>
        <v>0</v>
      </c>
      <c r="DH66" s="6">
        <v>0</v>
      </c>
      <c r="DI66" s="6">
        <f t="shared" ref="DI66:DI129" si="142">DH66</f>
        <v>0</v>
      </c>
      <c r="DJ66" s="6">
        <f t="shared" ref="DJ66:DJ129" si="143">DI66/365</f>
        <v>0</v>
      </c>
      <c r="DK66" s="6">
        <v>0</v>
      </c>
      <c r="DL66" s="6">
        <f t="shared" ref="DL66:DL129" si="144">DK66</f>
        <v>0</v>
      </c>
      <c r="DM66" s="6">
        <f t="shared" ref="DM66:DM129" si="145">DL66/365</f>
        <v>0</v>
      </c>
      <c r="DN66" s="6">
        <v>0</v>
      </c>
      <c r="DO66" s="6">
        <f t="shared" ref="DO66:DO129" si="146">DN66</f>
        <v>0</v>
      </c>
      <c r="DP66" s="6">
        <f t="shared" ref="DP66:DP129" si="147">DO66/365</f>
        <v>0</v>
      </c>
    </row>
    <row r="67" spans="1:120" x14ac:dyDescent="0.2">
      <c r="A67" s="21">
        <v>85</v>
      </c>
      <c r="B67" s="21" t="s">
        <v>612</v>
      </c>
      <c r="C67" s="21">
        <v>85263</v>
      </c>
      <c r="D67" s="21" t="s">
        <v>706</v>
      </c>
      <c r="E67" s="21" t="s">
        <v>615</v>
      </c>
      <c r="F67" s="22" t="s">
        <v>693</v>
      </c>
      <c r="G67" s="4" t="s">
        <v>179</v>
      </c>
      <c r="H67" s="6">
        <v>178752.72</v>
      </c>
      <c r="I67" s="6">
        <f t="shared" si="79"/>
        <v>489.73347945205478</v>
      </c>
      <c r="J67" s="6">
        <v>175300.48550000001</v>
      </c>
      <c r="K67" s="6">
        <v>154022.54</v>
      </c>
      <c r="L67" s="6">
        <f t="shared" si="76"/>
        <v>420.82661202185795</v>
      </c>
      <c r="M67" s="6">
        <v>149959.80540000001</v>
      </c>
      <c r="N67" s="6">
        <v>111211.02</v>
      </c>
      <c r="O67" s="6">
        <f t="shared" si="78"/>
        <v>304.68772602739728</v>
      </c>
      <c r="P67" s="6">
        <v>154355.61679999999</v>
      </c>
      <c r="Q67" s="6">
        <v>38320.54</v>
      </c>
      <c r="R67" s="6">
        <f>Q67/181</f>
        <v>211.71569060773481</v>
      </c>
      <c r="S67" s="6">
        <v>146756.7267</v>
      </c>
      <c r="T67" s="6">
        <f t="shared" si="80"/>
        <v>146756.7267</v>
      </c>
      <c r="U67" s="6">
        <f t="shared" si="81"/>
        <v>402.07322383561643</v>
      </c>
      <c r="V67" s="6">
        <v>131025.5159</v>
      </c>
      <c r="W67" s="6">
        <f t="shared" si="82"/>
        <v>131025.5159</v>
      </c>
      <c r="X67" s="6">
        <f t="shared" si="83"/>
        <v>358.97401616438356</v>
      </c>
      <c r="Y67" s="6">
        <v>118454.3996</v>
      </c>
      <c r="Z67" s="6">
        <f t="shared" si="84"/>
        <v>118454.3996</v>
      </c>
      <c r="AA67" s="6">
        <f t="shared" si="85"/>
        <v>324.53260164383562</v>
      </c>
      <c r="AB67" s="6">
        <v>108151.433</v>
      </c>
      <c r="AC67" s="6">
        <f t="shared" si="86"/>
        <v>108151.433</v>
      </c>
      <c r="AD67" s="6">
        <f t="shared" si="87"/>
        <v>296.30529589041095</v>
      </c>
      <c r="AE67" s="6">
        <v>99519.900699999998</v>
      </c>
      <c r="AF67" s="6">
        <f t="shared" si="88"/>
        <v>99519.900699999998</v>
      </c>
      <c r="AG67" s="6">
        <f t="shared" si="89"/>
        <v>272.65726219178083</v>
      </c>
      <c r="AH67" s="6">
        <v>92140.228900000002</v>
      </c>
      <c r="AI67" s="6">
        <f t="shared" si="90"/>
        <v>92140.228900000002</v>
      </c>
      <c r="AJ67" s="6">
        <f t="shared" si="91"/>
        <v>252.43898328767125</v>
      </c>
      <c r="AK67" s="6">
        <v>85735.858900000007</v>
      </c>
      <c r="AL67" s="6">
        <f t="shared" si="92"/>
        <v>85735.858900000007</v>
      </c>
      <c r="AM67" s="6">
        <f t="shared" si="93"/>
        <v>234.89276410958905</v>
      </c>
      <c r="AN67" s="6">
        <v>67325.325800000006</v>
      </c>
      <c r="AO67" s="6">
        <f t="shared" si="94"/>
        <v>67325.325800000006</v>
      </c>
      <c r="AP67" s="6">
        <f t="shared" si="95"/>
        <v>184.45294739726029</v>
      </c>
      <c r="AQ67" s="6">
        <v>0</v>
      </c>
      <c r="AR67" s="6">
        <f t="shared" si="96"/>
        <v>0</v>
      </c>
      <c r="AS67" s="6">
        <f t="shared" si="97"/>
        <v>0</v>
      </c>
      <c r="AT67" s="6">
        <v>0</v>
      </c>
      <c r="AU67" s="6">
        <f t="shared" si="98"/>
        <v>0</v>
      </c>
      <c r="AV67" s="6">
        <f t="shared" si="99"/>
        <v>0</v>
      </c>
      <c r="AW67" s="6">
        <v>0</v>
      </c>
      <c r="AX67" s="6">
        <f t="shared" si="100"/>
        <v>0</v>
      </c>
      <c r="AY67" s="6">
        <f t="shared" si="101"/>
        <v>0</v>
      </c>
      <c r="AZ67" s="6">
        <v>0</v>
      </c>
      <c r="BA67" s="6">
        <f t="shared" si="102"/>
        <v>0</v>
      </c>
      <c r="BB67" s="6">
        <f t="shared" si="103"/>
        <v>0</v>
      </c>
      <c r="BC67" s="6">
        <v>0</v>
      </c>
      <c r="BD67" s="6">
        <f t="shared" si="104"/>
        <v>0</v>
      </c>
      <c r="BE67" s="6">
        <f t="shared" si="105"/>
        <v>0</v>
      </c>
      <c r="BF67" s="6">
        <v>0</v>
      </c>
      <c r="BG67" s="6">
        <f t="shared" si="106"/>
        <v>0</v>
      </c>
      <c r="BH67" s="6">
        <f t="shared" si="107"/>
        <v>0</v>
      </c>
      <c r="BI67" s="6">
        <v>0</v>
      </c>
      <c r="BJ67" s="6">
        <f t="shared" si="108"/>
        <v>0</v>
      </c>
      <c r="BK67" s="6">
        <f t="shared" si="109"/>
        <v>0</v>
      </c>
      <c r="BL67" s="6">
        <v>0</v>
      </c>
      <c r="BM67" s="6">
        <f t="shared" si="110"/>
        <v>0</v>
      </c>
      <c r="BN67" s="6">
        <f t="shared" si="111"/>
        <v>0</v>
      </c>
      <c r="BO67" s="6">
        <v>0</v>
      </c>
      <c r="BP67" s="6">
        <f t="shared" si="112"/>
        <v>0</v>
      </c>
      <c r="BQ67" s="6">
        <f t="shared" si="113"/>
        <v>0</v>
      </c>
      <c r="BR67" s="6">
        <v>0</v>
      </c>
      <c r="BS67" s="6">
        <f t="shared" si="114"/>
        <v>0</v>
      </c>
      <c r="BT67" s="6">
        <f t="shared" si="115"/>
        <v>0</v>
      </c>
      <c r="BU67" s="6">
        <v>0</v>
      </c>
      <c r="BV67" s="6">
        <f t="shared" si="116"/>
        <v>0</v>
      </c>
      <c r="BW67" s="6">
        <f t="shared" si="117"/>
        <v>0</v>
      </c>
      <c r="BX67" s="6">
        <v>0</v>
      </c>
      <c r="BY67" s="6">
        <f t="shared" si="118"/>
        <v>0</v>
      </c>
      <c r="BZ67" s="6">
        <f t="shared" si="119"/>
        <v>0</v>
      </c>
      <c r="CA67" s="6">
        <v>0</v>
      </c>
      <c r="CB67" s="6">
        <f t="shared" si="120"/>
        <v>0</v>
      </c>
      <c r="CC67" s="6">
        <f t="shared" si="121"/>
        <v>0</v>
      </c>
      <c r="CD67" s="6">
        <v>0</v>
      </c>
      <c r="CE67" s="6">
        <f t="shared" si="122"/>
        <v>0</v>
      </c>
      <c r="CF67" s="6">
        <f t="shared" si="123"/>
        <v>0</v>
      </c>
      <c r="CG67" s="6">
        <v>0</v>
      </c>
      <c r="CH67" s="6">
        <f t="shared" si="124"/>
        <v>0</v>
      </c>
      <c r="CI67" s="6">
        <f t="shared" si="125"/>
        <v>0</v>
      </c>
      <c r="CJ67" s="6">
        <v>0</v>
      </c>
      <c r="CK67" s="6">
        <f t="shared" si="126"/>
        <v>0</v>
      </c>
      <c r="CL67" s="6">
        <f t="shared" si="127"/>
        <v>0</v>
      </c>
      <c r="CM67" s="6">
        <v>0</v>
      </c>
      <c r="CN67" s="6">
        <f t="shared" si="128"/>
        <v>0</v>
      </c>
      <c r="CO67" s="6">
        <f t="shared" si="129"/>
        <v>0</v>
      </c>
      <c r="CP67" s="6">
        <v>0</v>
      </c>
      <c r="CQ67" s="6">
        <f t="shared" si="130"/>
        <v>0</v>
      </c>
      <c r="CR67" s="6">
        <f t="shared" si="131"/>
        <v>0</v>
      </c>
      <c r="CS67" s="6">
        <v>0</v>
      </c>
      <c r="CT67" s="6">
        <f t="shared" si="132"/>
        <v>0</v>
      </c>
      <c r="CU67" s="6">
        <f t="shared" si="133"/>
        <v>0</v>
      </c>
      <c r="CV67" s="6">
        <v>0</v>
      </c>
      <c r="CW67" s="6">
        <f t="shared" si="134"/>
        <v>0</v>
      </c>
      <c r="CX67" s="6">
        <f t="shared" si="135"/>
        <v>0</v>
      </c>
      <c r="CY67" s="6">
        <v>0</v>
      </c>
      <c r="CZ67" s="6">
        <f t="shared" si="136"/>
        <v>0</v>
      </c>
      <c r="DA67" s="6">
        <f t="shared" si="137"/>
        <v>0</v>
      </c>
      <c r="DB67" s="6">
        <v>0</v>
      </c>
      <c r="DC67" s="6">
        <f t="shared" si="138"/>
        <v>0</v>
      </c>
      <c r="DD67" s="6">
        <f t="shared" si="139"/>
        <v>0</v>
      </c>
      <c r="DE67" s="6">
        <v>0</v>
      </c>
      <c r="DF67" s="6">
        <f t="shared" si="140"/>
        <v>0</v>
      </c>
      <c r="DG67" s="6">
        <f t="shared" si="141"/>
        <v>0</v>
      </c>
      <c r="DH67" s="6">
        <v>0</v>
      </c>
      <c r="DI67" s="6">
        <f t="shared" si="142"/>
        <v>0</v>
      </c>
      <c r="DJ67" s="6">
        <f t="shared" si="143"/>
        <v>0</v>
      </c>
      <c r="DK67" s="6">
        <v>0</v>
      </c>
      <c r="DL67" s="6">
        <f t="shared" si="144"/>
        <v>0</v>
      </c>
      <c r="DM67" s="6">
        <f t="shared" si="145"/>
        <v>0</v>
      </c>
      <c r="DN67" s="6">
        <v>0</v>
      </c>
      <c r="DO67" s="6">
        <f t="shared" si="146"/>
        <v>0</v>
      </c>
      <c r="DP67" s="6">
        <f t="shared" si="147"/>
        <v>0</v>
      </c>
    </row>
    <row r="68" spans="1:120" x14ac:dyDescent="0.2">
      <c r="A68" s="21">
        <v>85</v>
      </c>
      <c r="B68" s="21" t="s">
        <v>612</v>
      </c>
      <c r="C68" s="21">
        <v>85440</v>
      </c>
      <c r="D68" s="21" t="s">
        <v>677</v>
      </c>
      <c r="E68" s="21" t="s">
        <v>542</v>
      </c>
      <c r="F68" s="22" t="s">
        <v>693</v>
      </c>
      <c r="G68" s="4" t="s">
        <v>180</v>
      </c>
      <c r="H68" s="6">
        <v>38357.629999999997</v>
      </c>
      <c r="I68" s="6">
        <f t="shared" si="79"/>
        <v>105.08939726027397</v>
      </c>
      <c r="J68" s="6">
        <v>28585</v>
      </c>
      <c r="K68" s="6">
        <v>4351.83</v>
      </c>
      <c r="L68" s="6">
        <f t="shared" si="76"/>
        <v>11.890245901639345</v>
      </c>
      <c r="M68" s="6">
        <v>22027</v>
      </c>
      <c r="N68" s="6"/>
      <c r="O68" s="6"/>
      <c r="P68" s="6">
        <v>17026</v>
      </c>
      <c r="Q68" s="6"/>
      <c r="R68" s="6"/>
      <c r="S68" s="6">
        <v>13160</v>
      </c>
      <c r="T68" s="6">
        <f t="shared" si="80"/>
        <v>13160</v>
      </c>
      <c r="U68" s="6">
        <f t="shared" si="81"/>
        <v>36.054794520547944</v>
      </c>
      <c r="V68" s="6">
        <v>10197</v>
      </c>
      <c r="W68" s="6">
        <f t="shared" si="82"/>
        <v>10197</v>
      </c>
      <c r="X68" s="6">
        <f t="shared" si="83"/>
        <v>27.936986301369863</v>
      </c>
      <c r="Y68" s="6">
        <v>0</v>
      </c>
      <c r="Z68" s="6">
        <f t="shared" si="84"/>
        <v>0</v>
      </c>
      <c r="AA68" s="6">
        <f t="shared" si="85"/>
        <v>0</v>
      </c>
      <c r="AB68" s="6">
        <v>0</v>
      </c>
      <c r="AC68" s="6">
        <f t="shared" si="86"/>
        <v>0</v>
      </c>
      <c r="AD68" s="6">
        <f t="shared" si="87"/>
        <v>0</v>
      </c>
      <c r="AE68" s="6">
        <v>0</v>
      </c>
      <c r="AF68" s="6">
        <f t="shared" si="88"/>
        <v>0</v>
      </c>
      <c r="AG68" s="6">
        <f t="shared" si="89"/>
        <v>0</v>
      </c>
      <c r="AH68" s="6">
        <v>0</v>
      </c>
      <c r="AI68" s="6">
        <f t="shared" si="90"/>
        <v>0</v>
      </c>
      <c r="AJ68" s="6">
        <f t="shared" si="91"/>
        <v>0</v>
      </c>
      <c r="AK68" s="6">
        <v>0</v>
      </c>
      <c r="AL68" s="6">
        <f t="shared" si="92"/>
        <v>0</v>
      </c>
      <c r="AM68" s="6">
        <f t="shared" si="93"/>
        <v>0</v>
      </c>
      <c r="AN68" s="6">
        <v>0</v>
      </c>
      <c r="AO68" s="6">
        <f t="shared" si="94"/>
        <v>0</v>
      </c>
      <c r="AP68" s="6">
        <f t="shared" si="95"/>
        <v>0</v>
      </c>
      <c r="AQ68" s="6">
        <v>0</v>
      </c>
      <c r="AR68" s="6">
        <f t="shared" si="96"/>
        <v>0</v>
      </c>
      <c r="AS68" s="6">
        <f t="shared" si="97"/>
        <v>0</v>
      </c>
      <c r="AT68" s="6">
        <v>0</v>
      </c>
      <c r="AU68" s="6">
        <f t="shared" si="98"/>
        <v>0</v>
      </c>
      <c r="AV68" s="6">
        <f t="shared" si="99"/>
        <v>0</v>
      </c>
      <c r="AW68" s="6">
        <v>0</v>
      </c>
      <c r="AX68" s="6">
        <f t="shared" si="100"/>
        <v>0</v>
      </c>
      <c r="AY68" s="6">
        <f t="shared" si="101"/>
        <v>0</v>
      </c>
      <c r="AZ68" s="6">
        <v>0</v>
      </c>
      <c r="BA68" s="6">
        <f t="shared" si="102"/>
        <v>0</v>
      </c>
      <c r="BB68" s="6">
        <f t="shared" si="103"/>
        <v>0</v>
      </c>
      <c r="BC68" s="6">
        <v>0</v>
      </c>
      <c r="BD68" s="6">
        <f t="shared" si="104"/>
        <v>0</v>
      </c>
      <c r="BE68" s="6">
        <f t="shared" si="105"/>
        <v>0</v>
      </c>
      <c r="BF68" s="6">
        <v>0</v>
      </c>
      <c r="BG68" s="6">
        <f t="shared" si="106"/>
        <v>0</v>
      </c>
      <c r="BH68" s="6">
        <f t="shared" si="107"/>
        <v>0</v>
      </c>
      <c r="BI68" s="6">
        <v>0</v>
      </c>
      <c r="BJ68" s="6">
        <f t="shared" si="108"/>
        <v>0</v>
      </c>
      <c r="BK68" s="6">
        <f t="shared" si="109"/>
        <v>0</v>
      </c>
      <c r="BL68" s="6">
        <v>0</v>
      </c>
      <c r="BM68" s="6">
        <f t="shared" si="110"/>
        <v>0</v>
      </c>
      <c r="BN68" s="6">
        <f t="shared" si="111"/>
        <v>0</v>
      </c>
      <c r="BO68" s="6">
        <v>0</v>
      </c>
      <c r="BP68" s="6">
        <f t="shared" si="112"/>
        <v>0</v>
      </c>
      <c r="BQ68" s="6">
        <f t="shared" si="113"/>
        <v>0</v>
      </c>
      <c r="BR68" s="6">
        <v>0</v>
      </c>
      <c r="BS68" s="6">
        <f t="shared" si="114"/>
        <v>0</v>
      </c>
      <c r="BT68" s="6">
        <f t="shared" si="115"/>
        <v>0</v>
      </c>
      <c r="BU68" s="6">
        <v>0</v>
      </c>
      <c r="BV68" s="6">
        <f t="shared" si="116"/>
        <v>0</v>
      </c>
      <c r="BW68" s="6">
        <f t="shared" si="117"/>
        <v>0</v>
      </c>
      <c r="BX68" s="6">
        <v>0</v>
      </c>
      <c r="BY68" s="6">
        <f t="shared" si="118"/>
        <v>0</v>
      </c>
      <c r="BZ68" s="6">
        <f t="shared" si="119"/>
        <v>0</v>
      </c>
      <c r="CA68" s="6">
        <v>0</v>
      </c>
      <c r="CB68" s="6">
        <f t="shared" si="120"/>
        <v>0</v>
      </c>
      <c r="CC68" s="6">
        <f t="shared" si="121"/>
        <v>0</v>
      </c>
      <c r="CD68" s="6">
        <v>0</v>
      </c>
      <c r="CE68" s="6">
        <f t="shared" si="122"/>
        <v>0</v>
      </c>
      <c r="CF68" s="6">
        <f t="shared" si="123"/>
        <v>0</v>
      </c>
      <c r="CG68" s="6">
        <v>0</v>
      </c>
      <c r="CH68" s="6">
        <f t="shared" si="124"/>
        <v>0</v>
      </c>
      <c r="CI68" s="6">
        <f t="shared" si="125"/>
        <v>0</v>
      </c>
      <c r="CJ68" s="6">
        <v>0</v>
      </c>
      <c r="CK68" s="6">
        <f t="shared" si="126"/>
        <v>0</v>
      </c>
      <c r="CL68" s="6">
        <f t="shared" si="127"/>
        <v>0</v>
      </c>
      <c r="CM68" s="6">
        <v>0</v>
      </c>
      <c r="CN68" s="6">
        <f t="shared" si="128"/>
        <v>0</v>
      </c>
      <c r="CO68" s="6">
        <f t="shared" si="129"/>
        <v>0</v>
      </c>
      <c r="CP68" s="6">
        <v>0</v>
      </c>
      <c r="CQ68" s="6">
        <f t="shared" si="130"/>
        <v>0</v>
      </c>
      <c r="CR68" s="6">
        <f t="shared" si="131"/>
        <v>0</v>
      </c>
      <c r="CS68" s="6">
        <v>0</v>
      </c>
      <c r="CT68" s="6">
        <f t="shared" si="132"/>
        <v>0</v>
      </c>
      <c r="CU68" s="6">
        <f t="shared" si="133"/>
        <v>0</v>
      </c>
      <c r="CV68" s="6">
        <v>0</v>
      </c>
      <c r="CW68" s="6">
        <f t="shared" si="134"/>
        <v>0</v>
      </c>
      <c r="CX68" s="6">
        <f t="shared" si="135"/>
        <v>0</v>
      </c>
      <c r="CY68" s="6">
        <v>0</v>
      </c>
      <c r="CZ68" s="6">
        <f t="shared" si="136"/>
        <v>0</v>
      </c>
      <c r="DA68" s="6">
        <f t="shared" si="137"/>
        <v>0</v>
      </c>
      <c r="DB68" s="6">
        <v>0</v>
      </c>
      <c r="DC68" s="6">
        <f t="shared" si="138"/>
        <v>0</v>
      </c>
      <c r="DD68" s="6">
        <f t="shared" si="139"/>
        <v>0</v>
      </c>
      <c r="DE68" s="6">
        <v>0</v>
      </c>
      <c r="DF68" s="6">
        <f t="shared" si="140"/>
        <v>0</v>
      </c>
      <c r="DG68" s="6">
        <f t="shared" si="141"/>
        <v>0</v>
      </c>
      <c r="DH68" s="6">
        <v>0</v>
      </c>
      <c r="DI68" s="6">
        <f t="shared" si="142"/>
        <v>0</v>
      </c>
      <c r="DJ68" s="6">
        <f t="shared" si="143"/>
        <v>0</v>
      </c>
      <c r="DK68" s="6">
        <v>0</v>
      </c>
      <c r="DL68" s="6">
        <f t="shared" si="144"/>
        <v>0</v>
      </c>
      <c r="DM68" s="6">
        <f t="shared" si="145"/>
        <v>0</v>
      </c>
      <c r="DN68" s="6">
        <v>0</v>
      </c>
      <c r="DO68" s="6">
        <f t="shared" si="146"/>
        <v>0</v>
      </c>
      <c r="DP68" s="6">
        <f t="shared" si="147"/>
        <v>0</v>
      </c>
    </row>
    <row r="69" spans="1:120" x14ac:dyDescent="0.2">
      <c r="A69" s="21">
        <v>5</v>
      </c>
      <c r="B69" s="21" t="s">
        <v>685</v>
      </c>
      <c r="C69" s="21">
        <v>5893</v>
      </c>
      <c r="D69" s="21" t="s">
        <v>707</v>
      </c>
      <c r="E69" s="21" t="s">
        <v>522</v>
      </c>
      <c r="F69" s="22" t="s">
        <v>666</v>
      </c>
      <c r="G69" s="4" t="s">
        <v>181</v>
      </c>
      <c r="H69" s="6">
        <v>3141885.04</v>
      </c>
      <c r="I69" s="6">
        <f t="shared" si="79"/>
        <v>8607.9042191780827</v>
      </c>
      <c r="J69" s="6">
        <v>3198153</v>
      </c>
      <c r="K69" s="6">
        <v>3026645.32</v>
      </c>
      <c r="L69" s="6">
        <f t="shared" si="76"/>
        <v>8269.5227322404371</v>
      </c>
      <c r="M69" s="6">
        <v>2863079</v>
      </c>
      <c r="N69" s="6">
        <v>2879280.35</v>
      </c>
      <c r="O69" s="6">
        <f>N69/365</f>
        <v>7888.4393150684937</v>
      </c>
      <c r="P69" s="6">
        <v>2843250</v>
      </c>
      <c r="Q69" s="6">
        <v>1452254.37</v>
      </c>
      <c r="R69" s="6">
        <f>Q69/181</f>
        <v>8023.504806629835</v>
      </c>
      <c r="S69" s="6">
        <v>2561627</v>
      </c>
      <c r="T69" s="6">
        <f t="shared" si="80"/>
        <v>2561627</v>
      </c>
      <c r="U69" s="6">
        <f t="shared" si="81"/>
        <v>7018.1561643835612</v>
      </c>
      <c r="V69" s="6">
        <v>2043740</v>
      </c>
      <c r="W69" s="6">
        <f t="shared" si="82"/>
        <v>2043740</v>
      </c>
      <c r="X69" s="6">
        <f t="shared" si="83"/>
        <v>5599.2876712328771</v>
      </c>
      <c r="Y69" s="6">
        <v>1627538</v>
      </c>
      <c r="Z69" s="6">
        <f t="shared" si="84"/>
        <v>1627538</v>
      </c>
      <c r="AA69" s="6">
        <f t="shared" si="85"/>
        <v>4459.0082191780821</v>
      </c>
      <c r="AB69" s="6">
        <v>1303049</v>
      </c>
      <c r="AC69" s="6">
        <f t="shared" si="86"/>
        <v>1303049</v>
      </c>
      <c r="AD69" s="6">
        <f t="shared" si="87"/>
        <v>3569.9972602739726</v>
      </c>
      <c r="AE69" s="6">
        <v>1037668</v>
      </c>
      <c r="AF69" s="6">
        <f t="shared" si="88"/>
        <v>1037668</v>
      </c>
      <c r="AG69" s="6">
        <f t="shared" si="89"/>
        <v>2842.9260273972604</v>
      </c>
      <c r="AH69" s="6">
        <v>0</v>
      </c>
      <c r="AI69" s="6">
        <f t="shared" si="90"/>
        <v>0</v>
      </c>
      <c r="AJ69" s="6">
        <f t="shared" si="91"/>
        <v>0</v>
      </c>
      <c r="AK69" s="6">
        <v>0</v>
      </c>
      <c r="AL69" s="6">
        <f t="shared" si="92"/>
        <v>0</v>
      </c>
      <c r="AM69" s="6">
        <f t="shared" si="93"/>
        <v>0</v>
      </c>
      <c r="AN69" s="6">
        <v>0</v>
      </c>
      <c r="AO69" s="6">
        <f t="shared" si="94"/>
        <v>0</v>
      </c>
      <c r="AP69" s="6">
        <f t="shared" si="95"/>
        <v>0</v>
      </c>
      <c r="AQ69" s="6">
        <v>0</v>
      </c>
      <c r="AR69" s="6">
        <f t="shared" si="96"/>
        <v>0</v>
      </c>
      <c r="AS69" s="6">
        <f t="shared" si="97"/>
        <v>0</v>
      </c>
      <c r="AT69" s="6">
        <v>0</v>
      </c>
      <c r="AU69" s="6">
        <f t="shared" si="98"/>
        <v>0</v>
      </c>
      <c r="AV69" s="6">
        <f t="shared" si="99"/>
        <v>0</v>
      </c>
      <c r="AW69" s="6">
        <v>0</v>
      </c>
      <c r="AX69" s="6">
        <f t="shared" si="100"/>
        <v>0</v>
      </c>
      <c r="AY69" s="6">
        <f t="shared" si="101"/>
        <v>0</v>
      </c>
      <c r="AZ69" s="6">
        <v>0</v>
      </c>
      <c r="BA69" s="6">
        <f t="shared" si="102"/>
        <v>0</v>
      </c>
      <c r="BB69" s="6">
        <f t="shared" si="103"/>
        <v>0</v>
      </c>
      <c r="BC69" s="6">
        <v>0</v>
      </c>
      <c r="BD69" s="6">
        <f t="shared" si="104"/>
        <v>0</v>
      </c>
      <c r="BE69" s="6">
        <f t="shared" si="105"/>
        <v>0</v>
      </c>
      <c r="BF69" s="6">
        <v>0</v>
      </c>
      <c r="BG69" s="6">
        <f t="shared" si="106"/>
        <v>0</v>
      </c>
      <c r="BH69" s="6">
        <f t="shared" si="107"/>
        <v>0</v>
      </c>
      <c r="BI69" s="6">
        <v>0</v>
      </c>
      <c r="BJ69" s="6">
        <f t="shared" si="108"/>
        <v>0</v>
      </c>
      <c r="BK69" s="6">
        <f t="shared" si="109"/>
        <v>0</v>
      </c>
      <c r="BL69" s="6">
        <v>0</v>
      </c>
      <c r="BM69" s="6">
        <f t="shared" si="110"/>
        <v>0</v>
      </c>
      <c r="BN69" s="6">
        <f t="shared" si="111"/>
        <v>0</v>
      </c>
      <c r="BO69" s="6">
        <v>0</v>
      </c>
      <c r="BP69" s="6">
        <f t="shared" si="112"/>
        <v>0</v>
      </c>
      <c r="BQ69" s="6">
        <f t="shared" si="113"/>
        <v>0</v>
      </c>
      <c r="BR69" s="6">
        <v>0</v>
      </c>
      <c r="BS69" s="6">
        <f t="shared" si="114"/>
        <v>0</v>
      </c>
      <c r="BT69" s="6">
        <f t="shared" si="115"/>
        <v>0</v>
      </c>
      <c r="BU69" s="6">
        <v>0</v>
      </c>
      <c r="BV69" s="6">
        <f t="shared" si="116"/>
        <v>0</v>
      </c>
      <c r="BW69" s="6">
        <f t="shared" si="117"/>
        <v>0</v>
      </c>
      <c r="BX69" s="6">
        <v>0</v>
      </c>
      <c r="BY69" s="6">
        <f t="shared" si="118"/>
        <v>0</v>
      </c>
      <c r="BZ69" s="6">
        <f t="shared" si="119"/>
        <v>0</v>
      </c>
      <c r="CA69" s="6">
        <v>0</v>
      </c>
      <c r="CB69" s="6">
        <f t="shared" si="120"/>
        <v>0</v>
      </c>
      <c r="CC69" s="6">
        <f t="shared" si="121"/>
        <v>0</v>
      </c>
      <c r="CD69" s="6">
        <v>0</v>
      </c>
      <c r="CE69" s="6">
        <f t="shared" si="122"/>
        <v>0</v>
      </c>
      <c r="CF69" s="6">
        <f t="shared" si="123"/>
        <v>0</v>
      </c>
      <c r="CG69" s="6">
        <v>0</v>
      </c>
      <c r="CH69" s="6">
        <f t="shared" si="124"/>
        <v>0</v>
      </c>
      <c r="CI69" s="6">
        <f t="shared" si="125"/>
        <v>0</v>
      </c>
      <c r="CJ69" s="6">
        <v>0</v>
      </c>
      <c r="CK69" s="6">
        <f t="shared" si="126"/>
        <v>0</v>
      </c>
      <c r="CL69" s="6">
        <f t="shared" si="127"/>
        <v>0</v>
      </c>
      <c r="CM69" s="6">
        <v>0</v>
      </c>
      <c r="CN69" s="6">
        <f t="shared" si="128"/>
        <v>0</v>
      </c>
      <c r="CO69" s="6">
        <f t="shared" si="129"/>
        <v>0</v>
      </c>
      <c r="CP69" s="6">
        <v>0</v>
      </c>
      <c r="CQ69" s="6">
        <f t="shared" si="130"/>
        <v>0</v>
      </c>
      <c r="CR69" s="6">
        <f t="shared" si="131"/>
        <v>0</v>
      </c>
      <c r="CS69" s="6">
        <v>0</v>
      </c>
      <c r="CT69" s="6">
        <f t="shared" si="132"/>
        <v>0</v>
      </c>
      <c r="CU69" s="6">
        <f t="shared" si="133"/>
        <v>0</v>
      </c>
      <c r="CV69" s="6">
        <v>0</v>
      </c>
      <c r="CW69" s="6">
        <f t="shared" si="134"/>
        <v>0</v>
      </c>
      <c r="CX69" s="6">
        <f t="shared" si="135"/>
        <v>0</v>
      </c>
      <c r="CY69" s="6">
        <v>0</v>
      </c>
      <c r="CZ69" s="6">
        <f t="shared" si="136"/>
        <v>0</v>
      </c>
      <c r="DA69" s="6">
        <f t="shared" si="137"/>
        <v>0</v>
      </c>
      <c r="DB69" s="6">
        <v>0</v>
      </c>
      <c r="DC69" s="6">
        <f t="shared" si="138"/>
        <v>0</v>
      </c>
      <c r="DD69" s="6">
        <f t="shared" si="139"/>
        <v>0</v>
      </c>
      <c r="DE69" s="6">
        <v>0</v>
      </c>
      <c r="DF69" s="6">
        <f t="shared" si="140"/>
        <v>0</v>
      </c>
      <c r="DG69" s="6">
        <f t="shared" si="141"/>
        <v>0</v>
      </c>
      <c r="DH69" s="6">
        <v>0</v>
      </c>
      <c r="DI69" s="6">
        <f t="shared" si="142"/>
        <v>0</v>
      </c>
      <c r="DJ69" s="6">
        <f t="shared" si="143"/>
        <v>0</v>
      </c>
      <c r="DK69" s="6">
        <v>0</v>
      </c>
      <c r="DL69" s="6">
        <f t="shared" si="144"/>
        <v>0</v>
      </c>
      <c r="DM69" s="6">
        <f t="shared" si="145"/>
        <v>0</v>
      </c>
      <c r="DN69" s="6">
        <v>0</v>
      </c>
      <c r="DO69" s="6">
        <f t="shared" si="146"/>
        <v>0</v>
      </c>
      <c r="DP69" s="6">
        <f t="shared" si="147"/>
        <v>0</v>
      </c>
    </row>
    <row r="70" spans="1:120" x14ac:dyDescent="0.2">
      <c r="A70" s="21">
        <v>5</v>
      </c>
      <c r="B70" s="21" t="s">
        <v>685</v>
      </c>
      <c r="C70" s="21">
        <v>5893</v>
      </c>
      <c r="D70" s="21" t="s">
        <v>707</v>
      </c>
      <c r="E70" s="21" t="s">
        <v>522</v>
      </c>
      <c r="F70" s="22" t="s">
        <v>666</v>
      </c>
      <c r="G70" s="4" t="s">
        <v>182</v>
      </c>
      <c r="H70" s="6">
        <v>751809.82</v>
      </c>
      <c r="I70" s="6">
        <f t="shared" si="79"/>
        <v>2059.7529315068491</v>
      </c>
      <c r="J70" s="6">
        <v>730782</v>
      </c>
      <c r="K70" s="6">
        <v>644489.06000000006</v>
      </c>
      <c r="L70" s="6">
        <f t="shared" si="76"/>
        <v>1760.8990710382516</v>
      </c>
      <c r="M70" s="6">
        <v>616847</v>
      </c>
      <c r="N70" s="6">
        <v>494273.45</v>
      </c>
      <c r="O70" s="6">
        <f>N70/365</f>
        <v>1354.1738356164383</v>
      </c>
      <c r="P70" s="6">
        <v>537553</v>
      </c>
      <c r="Q70" s="6">
        <v>205973.95</v>
      </c>
      <c r="R70" s="6">
        <f>Q70/181</f>
        <v>1137.9776243093922</v>
      </c>
      <c r="S70" s="6">
        <v>457929</v>
      </c>
      <c r="T70" s="6">
        <f t="shared" si="80"/>
        <v>457929</v>
      </c>
      <c r="U70" s="6">
        <f t="shared" si="81"/>
        <v>1254.5999999999999</v>
      </c>
      <c r="V70" s="6">
        <v>379086</v>
      </c>
      <c r="W70" s="6">
        <f t="shared" si="82"/>
        <v>379086</v>
      </c>
      <c r="X70" s="6">
        <f t="shared" si="83"/>
        <v>1038.5917808219178</v>
      </c>
      <c r="Y70" s="6">
        <v>310764</v>
      </c>
      <c r="Z70" s="6">
        <f t="shared" si="84"/>
        <v>310764</v>
      </c>
      <c r="AA70" s="6">
        <f t="shared" si="85"/>
        <v>851.40821917808216</v>
      </c>
      <c r="AB70" s="6">
        <v>255983</v>
      </c>
      <c r="AC70" s="6">
        <f t="shared" si="86"/>
        <v>255983</v>
      </c>
      <c r="AD70" s="6">
        <f t="shared" si="87"/>
        <v>701.32328767123283</v>
      </c>
      <c r="AE70" s="6">
        <v>205799</v>
      </c>
      <c r="AF70" s="6">
        <f t="shared" si="88"/>
        <v>205799</v>
      </c>
      <c r="AG70" s="6">
        <f t="shared" si="89"/>
        <v>563.83287671232881</v>
      </c>
      <c r="AH70" s="6">
        <v>0</v>
      </c>
      <c r="AI70" s="6">
        <f t="shared" si="90"/>
        <v>0</v>
      </c>
      <c r="AJ70" s="6">
        <f t="shared" si="91"/>
        <v>0</v>
      </c>
      <c r="AK70" s="6">
        <v>0</v>
      </c>
      <c r="AL70" s="6">
        <f t="shared" si="92"/>
        <v>0</v>
      </c>
      <c r="AM70" s="6">
        <f t="shared" si="93"/>
        <v>0</v>
      </c>
      <c r="AN70" s="6">
        <v>0</v>
      </c>
      <c r="AO70" s="6">
        <f t="shared" si="94"/>
        <v>0</v>
      </c>
      <c r="AP70" s="6">
        <f t="shared" si="95"/>
        <v>0</v>
      </c>
      <c r="AQ70" s="6">
        <v>0</v>
      </c>
      <c r="AR70" s="6">
        <f t="shared" si="96"/>
        <v>0</v>
      </c>
      <c r="AS70" s="6">
        <f t="shared" si="97"/>
        <v>0</v>
      </c>
      <c r="AT70" s="6">
        <v>0</v>
      </c>
      <c r="AU70" s="6">
        <f t="shared" si="98"/>
        <v>0</v>
      </c>
      <c r="AV70" s="6">
        <f t="shared" si="99"/>
        <v>0</v>
      </c>
      <c r="AW70" s="6">
        <v>0</v>
      </c>
      <c r="AX70" s="6">
        <f t="shared" si="100"/>
        <v>0</v>
      </c>
      <c r="AY70" s="6">
        <f t="shared" si="101"/>
        <v>0</v>
      </c>
      <c r="AZ70" s="6">
        <v>0</v>
      </c>
      <c r="BA70" s="6">
        <f t="shared" si="102"/>
        <v>0</v>
      </c>
      <c r="BB70" s="6">
        <f t="shared" si="103"/>
        <v>0</v>
      </c>
      <c r="BC70" s="6">
        <v>0</v>
      </c>
      <c r="BD70" s="6">
        <f t="shared" si="104"/>
        <v>0</v>
      </c>
      <c r="BE70" s="6">
        <f t="shared" si="105"/>
        <v>0</v>
      </c>
      <c r="BF70" s="6">
        <v>0</v>
      </c>
      <c r="BG70" s="6">
        <f t="shared" si="106"/>
        <v>0</v>
      </c>
      <c r="BH70" s="6">
        <f t="shared" si="107"/>
        <v>0</v>
      </c>
      <c r="BI70" s="6">
        <v>0</v>
      </c>
      <c r="BJ70" s="6">
        <f t="shared" si="108"/>
        <v>0</v>
      </c>
      <c r="BK70" s="6">
        <f t="shared" si="109"/>
        <v>0</v>
      </c>
      <c r="BL70" s="6">
        <v>0</v>
      </c>
      <c r="BM70" s="6">
        <f t="shared" si="110"/>
        <v>0</v>
      </c>
      <c r="BN70" s="6">
        <f t="shared" si="111"/>
        <v>0</v>
      </c>
      <c r="BO70" s="6">
        <v>0</v>
      </c>
      <c r="BP70" s="6">
        <f t="shared" si="112"/>
        <v>0</v>
      </c>
      <c r="BQ70" s="6">
        <f t="shared" si="113"/>
        <v>0</v>
      </c>
      <c r="BR70" s="6">
        <v>0</v>
      </c>
      <c r="BS70" s="6">
        <f t="shared" si="114"/>
        <v>0</v>
      </c>
      <c r="BT70" s="6">
        <f t="shared" si="115"/>
        <v>0</v>
      </c>
      <c r="BU70" s="6">
        <v>0</v>
      </c>
      <c r="BV70" s="6">
        <f t="shared" si="116"/>
        <v>0</v>
      </c>
      <c r="BW70" s="6">
        <f t="shared" si="117"/>
        <v>0</v>
      </c>
      <c r="BX70" s="6">
        <v>0</v>
      </c>
      <c r="BY70" s="6">
        <f t="shared" si="118"/>
        <v>0</v>
      </c>
      <c r="BZ70" s="6">
        <f t="shared" si="119"/>
        <v>0</v>
      </c>
      <c r="CA70" s="6">
        <v>0</v>
      </c>
      <c r="CB70" s="6">
        <f t="shared" si="120"/>
        <v>0</v>
      </c>
      <c r="CC70" s="6">
        <f t="shared" si="121"/>
        <v>0</v>
      </c>
      <c r="CD70" s="6">
        <v>0</v>
      </c>
      <c r="CE70" s="6">
        <f t="shared" si="122"/>
        <v>0</v>
      </c>
      <c r="CF70" s="6">
        <f t="shared" si="123"/>
        <v>0</v>
      </c>
      <c r="CG70" s="6">
        <v>0</v>
      </c>
      <c r="CH70" s="6">
        <f t="shared" si="124"/>
        <v>0</v>
      </c>
      <c r="CI70" s="6">
        <f t="shared" si="125"/>
        <v>0</v>
      </c>
      <c r="CJ70" s="6">
        <v>0</v>
      </c>
      <c r="CK70" s="6">
        <f t="shared" si="126"/>
        <v>0</v>
      </c>
      <c r="CL70" s="6">
        <f t="shared" si="127"/>
        <v>0</v>
      </c>
      <c r="CM70" s="6">
        <v>0</v>
      </c>
      <c r="CN70" s="6">
        <f t="shared" si="128"/>
        <v>0</v>
      </c>
      <c r="CO70" s="6">
        <f t="shared" si="129"/>
        <v>0</v>
      </c>
      <c r="CP70" s="6">
        <v>0</v>
      </c>
      <c r="CQ70" s="6">
        <f t="shared" si="130"/>
        <v>0</v>
      </c>
      <c r="CR70" s="6">
        <f t="shared" si="131"/>
        <v>0</v>
      </c>
      <c r="CS70" s="6">
        <v>0</v>
      </c>
      <c r="CT70" s="6">
        <f t="shared" si="132"/>
        <v>0</v>
      </c>
      <c r="CU70" s="6">
        <f t="shared" si="133"/>
        <v>0</v>
      </c>
      <c r="CV70" s="6">
        <v>0</v>
      </c>
      <c r="CW70" s="6">
        <f t="shared" si="134"/>
        <v>0</v>
      </c>
      <c r="CX70" s="6">
        <f t="shared" si="135"/>
        <v>0</v>
      </c>
      <c r="CY70" s="6">
        <v>0</v>
      </c>
      <c r="CZ70" s="6">
        <f t="shared" si="136"/>
        <v>0</v>
      </c>
      <c r="DA70" s="6">
        <f t="shared" si="137"/>
        <v>0</v>
      </c>
      <c r="DB70" s="6">
        <v>0</v>
      </c>
      <c r="DC70" s="6">
        <f t="shared" si="138"/>
        <v>0</v>
      </c>
      <c r="DD70" s="6">
        <f t="shared" si="139"/>
        <v>0</v>
      </c>
      <c r="DE70" s="6">
        <v>0</v>
      </c>
      <c r="DF70" s="6">
        <f t="shared" si="140"/>
        <v>0</v>
      </c>
      <c r="DG70" s="6">
        <f t="shared" si="141"/>
        <v>0</v>
      </c>
      <c r="DH70" s="6">
        <v>0</v>
      </c>
      <c r="DI70" s="6">
        <f t="shared" si="142"/>
        <v>0</v>
      </c>
      <c r="DJ70" s="6">
        <f t="shared" si="143"/>
        <v>0</v>
      </c>
      <c r="DK70" s="6">
        <v>0</v>
      </c>
      <c r="DL70" s="6">
        <f t="shared" si="144"/>
        <v>0</v>
      </c>
      <c r="DM70" s="6">
        <f t="shared" si="145"/>
        <v>0</v>
      </c>
      <c r="DN70" s="6">
        <v>0</v>
      </c>
      <c r="DO70" s="6">
        <f t="shared" si="146"/>
        <v>0</v>
      </c>
      <c r="DP70" s="6">
        <f t="shared" si="147"/>
        <v>0</v>
      </c>
    </row>
    <row r="71" spans="1:120" x14ac:dyDescent="0.2">
      <c r="A71" s="21">
        <v>50</v>
      </c>
      <c r="B71" s="21" t="s">
        <v>675</v>
      </c>
      <c r="C71" s="21">
        <v>50150</v>
      </c>
      <c r="D71" s="21" t="s">
        <v>708</v>
      </c>
      <c r="E71" s="21" t="s">
        <v>522</v>
      </c>
      <c r="F71" s="22" t="s">
        <v>666</v>
      </c>
      <c r="G71" s="4" t="s">
        <v>183</v>
      </c>
      <c r="H71" s="6">
        <v>21327872.989999998</v>
      </c>
      <c r="I71" s="6">
        <f t="shared" si="79"/>
        <v>58432.528739726025</v>
      </c>
      <c r="J71" s="6">
        <v>19653845</v>
      </c>
      <c r="K71" s="6">
        <v>20950936.370000001</v>
      </c>
      <c r="L71" s="6">
        <f t="shared" si="76"/>
        <v>57242.995546448088</v>
      </c>
      <c r="M71" s="6">
        <v>17888686</v>
      </c>
      <c r="N71" s="6">
        <v>20237281.539999999</v>
      </c>
      <c r="O71" s="6">
        <f>N71/365</f>
        <v>55444.606958904107</v>
      </c>
      <c r="P71" s="6">
        <v>17133923</v>
      </c>
      <c r="Q71" s="6">
        <v>9860801.5800000001</v>
      </c>
      <c r="R71" s="6">
        <f>Q71/181</f>
        <v>54479.566740331495</v>
      </c>
      <c r="S71" s="6">
        <v>15658487</v>
      </c>
      <c r="T71" s="6">
        <f t="shared" si="80"/>
        <v>15658487</v>
      </c>
      <c r="U71" s="6">
        <f t="shared" si="81"/>
        <v>42899.964383561644</v>
      </c>
      <c r="V71" s="6">
        <v>13959918</v>
      </c>
      <c r="W71" s="6">
        <f t="shared" si="82"/>
        <v>13959918</v>
      </c>
      <c r="X71" s="6">
        <f t="shared" si="83"/>
        <v>38246.350684931509</v>
      </c>
      <c r="Y71" s="6">
        <v>12413830</v>
      </c>
      <c r="Z71" s="6">
        <f t="shared" si="84"/>
        <v>12413830</v>
      </c>
      <c r="AA71" s="6">
        <f t="shared" si="85"/>
        <v>34010.493150684932</v>
      </c>
      <c r="AB71" s="6">
        <v>11098365</v>
      </c>
      <c r="AC71" s="6">
        <f t="shared" si="86"/>
        <v>11098365</v>
      </c>
      <c r="AD71" s="6">
        <f t="shared" si="87"/>
        <v>30406.479452054795</v>
      </c>
      <c r="AE71" s="6">
        <v>10014568</v>
      </c>
      <c r="AF71" s="6">
        <f t="shared" si="88"/>
        <v>10014568</v>
      </c>
      <c r="AG71" s="6">
        <f t="shared" si="89"/>
        <v>27437.172602739727</v>
      </c>
      <c r="AH71" s="6">
        <v>9057066</v>
      </c>
      <c r="AI71" s="6">
        <f t="shared" si="90"/>
        <v>9057066</v>
      </c>
      <c r="AJ71" s="6">
        <f t="shared" si="91"/>
        <v>24813.879452054796</v>
      </c>
      <c r="AK71" s="6">
        <v>8166463</v>
      </c>
      <c r="AL71" s="6">
        <f t="shared" si="92"/>
        <v>8166463</v>
      </c>
      <c r="AM71" s="6">
        <f t="shared" si="93"/>
        <v>22373.871232876711</v>
      </c>
      <c r="AN71" s="6">
        <v>7373588</v>
      </c>
      <c r="AO71" s="6">
        <f t="shared" si="94"/>
        <v>7373588</v>
      </c>
      <c r="AP71" s="6">
        <f t="shared" si="95"/>
        <v>20201.610958904108</v>
      </c>
      <c r="AQ71" s="6">
        <v>6674446</v>
      </c>
      <c r="AR71" s="6">
        <f t="shared" si="96"/>
        <v>6674446</v>
      </c>
      <c r="AS71" s="6">
        <f t="shared" si="97"/>
        <v>18286.153424657536</v>
      </c>
      <c r="AT71" s="6">
        <v>6102279</v>
      </c>
      <c r="AU71" s="6">
        <f t="shared" si="98"/>
        <v>6102279</v>
      </c>
      <c r="AV71" s="6">
        <f t="shared" si="99"/>
        <v>16718.572602739725</v>
      </c>
      <c r="AW71" s="6">
        <v>5462893</v>
      </c>
      <c r="AX71" s="6">
        <f t="shared" si="100"/>
        <v>5462893</v>
      </c>
      <c r="AY71" s="6">
        <f t="shared" si="101"/>
        <v>14966.830136986302</v>
      </c>
      <c r="AZ71" s="6">
        <v>4949794</v>
      </c>
      <c r="BA71" s="6">
        <f t="shared" si="102"/>
        <v>4949794</v>
      </c>
      <c r="BB71" s="6">
        <f t="shared" si="103"/>
        <v>13561.079452054795</v>
      </c>
      <c r="BC71" s="6">
        <v>4500186</v>
      </c>
      <c r="BD71" s="6">
        <f t="shared" si="104"/>
        <v>4500186</v>
      </c>
      <c r="BE71" s="6">
        <f t="shared" si="105"/>
        <v>12329.276712328767</v>
      </c>
      <c r="BF71" s="6">
        <v>4088370</v>
      </c>
      <c r="BG71" s="6">
        <f t="shared" si="106"/>
        <v>4088370</v>
      </c>
      <c r="BH71" s="6">
        <f t="shared" si="107"/>
        <v>11201.013698630137</v>
      </c>
      <c r="BI71" s="6">
        <v>3629035</v>
      </c>
      <c r="BJ71" s="6">
        <f t="shared" si="108"/>
        <v>3629035</v>
      </c>
      <c r="BK71" s="6">
        <f t="shared" si="109"/>
        <v>9942.5616438356155</v>
      </c>
      <c r="BL71" s="6">
        <v>3079347</v>
      </c>
      <c r="BM71" s="6">
        <f t="shared" si="110"/>
        <v>3079347</v>
      </c>
      <c r="BN71" s="6">
        <f t="shared" si="111"/>
        <v>8436.5671232876721</v>
      </c>
      <c r="BO71" s="6">
        <v>2613397</v>
      </c>
      <c r="BP71" s="6">
        <f t="shared" si="112"/>
        <v>2613397</v>
      </c>
      <c r="BQ71" s="6">
        <f t="shared" si="113"/>
        <v>7159.9917808219179</v>
      </c>
      <c r="BR71" s="6">
        <v>2215236</v>
      </c>
      <c r="BS71" s="6">
        <f t="shared" si="114"/>
        <v>2215236</v>
      </c>
      <c r="BT71" s="6">
        <f t="shared" si="115"/>
        <v>6069.139726027397</v>
      </c>
      <c r="BU71" s="6">
        <v>1882645</v>
      </c>
      <c r="BV71" s="6">
        <f t="shared" si="116"/>
        <v>1882645</v>
      </c>
      <c r="BW71" s="6">
        <f t="shared" si="117"/>
        <v>5157.9315068493152</v>
      </c>
      <c r="BX71" s="6">
        <v>1595716</v>
      </c>
      <c r="BY71" s="6">
        <f t="shared" si="118"/>
        <v>1595716</v>
      </c>
      <c r="BZ71" s="6">
        <f t="shared" si="119"/>
        <v>4371.8246575342464</v>
      </c>
      <c r="CA71" s="6">
        <v>1354657</v>
      </c>
      <c r="CB71" s="6">
        <f t="shared" si="120"/>
        <v>1354657</v>
      </c>
      <c r="CC71" s="6">
        <f t="shared" si="121"/>
        <v>3711.3890410958902</v>
      </c>
      <c r="CD71" s="6">
        <v>0</v>
      </c>
      <c r="CE71" s="6">
        <f t="shared" si="122"/>
        <v>0</v>
      </c>
      <c r="CF71" s="6">
        <f t="shared" si="123"/>
        <v>0</v>
      </c>
      <c r="CG71" s="6">
        <v>0</v>
      </c>
      <c r="CH71" s="6">
        <f t="shared" si="124"/>
        <v>0</v>
      </c>
      <c r="CI71" s="6">
        <f t="shared" si="125"/>
        <v>0</v>
      </c>
      <c r="CJ71" s="6">
        <v>0</v>
      </c>
      <c r="CK71" s="6">
        <f t="shared" si="126"/>
        <v>0</v>
      </c>
      <c r="CL71" s="6">
        <f t="shared" si="127"/>
        <v>0</v>
      </c>
      <c r="CM71" s="6">
        <v>0</v>
      </c>
      <c r="CN71" s="6">
        <f t="shared" si="128"/>
        <v>0</v>
      </c>
      <c r="CO71" s="6">
        <f t="shared" si="129"/>
        <v>0</v>
      </c>
      <c r="CP71" s="6">
        <v>0</v>
      </c>
      <c r="CQ71" s="6">
        <f t="shared" si="130"/>
        <v>0</v>
      </c>
      <c r="CR71" s="6">
        <f t="shared" si="131"/>
        <v>0</v>
      </c>
      <c r="CS71" s="6">
        <v>0</v>
      </c>
      <c r="CT71" s="6">
        <f t="shared" si="132"/>
        <v>0</v>
      </c>
      <c r="CU71" s="6">
        <f t="shared" si="133"/>
        <v>0</v>
      </c>
      <c r="CV71" s="6">
        <v>0</v>
      </c>
      <c r="CW71" s="6">
        <f t="shared" si="134"/>
        <v>0</v>
      </c>
      <c r="CX71" s="6">
        <f t="shared" si="135"/>
        <v>0</v>
      </c>
      <c r="CY71" s="6">
        <v>0</v>
      </c>
      <c r="CZ71" s="6">
        <f t="shared" si="136"/>
        <v>0</v>
      </c>
      <c r="DA71" s="6">
        <f t="shared" si="137"/>
        <v>0</v>
      </c>
      <c r="DB71" s="6">
        <v>0</v>
      </c>
      <c r="DC71" s="6">
        <f t="shared" si="138"/>
        <v>0</v>
      </c>
      <c r="DD71" s="6">
        <f t="shared" si="139"/>
        <v>0</v>
      </c>
      <c r="DE71" s="6">
        <v>0</v>
      </c>
      <c r="DF71" s="6">
        <f t="shared" si="140"/>
        <v>0</v>
      </c>
      <c r="DG71" s="6">
        <f t="shared" si="141"/>
        <v>0</v>
      </c>
      <c r="DH71" s="6">
        <v>0</v>
      </c>
      <c r="DI71" s="6">
        <f t="shared" si="142"/>
        <v>0</v>
      </c>
      <c r="DJ71" s="6">
        <f t="shared" si="143"/>
        <v>0</v>
      </c>
      <c r="DK71" s="6">
        <v>0</v>
      </c>
      <c r="DL71" s="6">
        <f t="shared" si="144"/>
        <v>0</v>
      </c>
      <c r="DM71" s="6">
        <f t="shared" si="145"/>
        <v>0</v>
      </c>
      <c r="DN71" s="6">
        <v>0</v>
      </c>
      <c r="DO71" s="6">
        <f t="shared" si="146"/>
        <v>0</v>
      </c>
      <c r="DP71" s="6">
        <f t="shared" si="147"/>
        <v>0</v>
      </c>
    </row>
    <row r="72" spans="1:120" x14ac:dyDescent="0.2">
      <c r="A72" s="21">
        <v>50</v>
      </c>
      <c r="B72" s="21" t="s">
        <v>675</v>
      </c>
      <c r="C72" s="21">
        <v>50150</v>
      </c>
      <c r="D72" s="21" t="s">
        <v>708</v>
      </c>
      <c r="E72" s="21" t="s">
        <v>522</v>
      </c>
      <c r="F72" s="22" t="s">
        <v>666</v>
      </c>
      <c r="G72" s="4" t="s">
        <v>184</v>
      </c>
      <c r="H72" s="6">
        <v>102895.2</v>
      </c>
      <c r="I72" s="6">
        <f t="shared" si="79"/>
        <v>281.90465753424655</v>
      </c>
      <c r="J72" s="6">
        <v>75845</v>
      </c>
      <c r="K72" s="6">
        <v>110287.96</v>
      </c>
      <c r="L72" s="6">
        <f t="shared" si="76"/>
        <v>301.33322404371586</v>
      </c>
      <c r="M72" s="6">
        <v>9738</v>
      </c>
      <c r="N72" s="6"/>
      <c r="O72" s="6"/>
      <c r="P72" s="6">
        <v>0</v>
      </c>
      <c r="Q72" s="6"/>
      <c r="R72" s="6"/>
      <c r="S72" s="6">
        <v>0</v>
      </c>
      <c r="T72" s="6">
        <f t="shared" si="80"/>
        <v>0</v>
      </c>
      <c r="U72" s="6">
        <f t="shared" si="81"/>
        <v>0</v>
      </c>
      <c r="V72" s="6">
        <v>0</v>
      </c>
      <c r="W72" s="6">
        <f t="shared" si="82"/>
        <v>0</v>
      </c>
      <c r="X72" s="6">
        <f t="shared" si="83"/>
        <v>0</v>
      </c>
      <c r="Y72" s="6">
        <v>0</v>
      </c>
      <c r="Z72" s="6">
        <f t="shared" si="84"/>
        <v>0</v>
      </c>
      <c r="AA72" s="6">
        <f t="shared" si="85"/>
        <v>0</v>
      </c>
      <c r="AB72" s="6">
        <v>0</v>
      </c>
      <c r="AC72" s="6">
        <f t="shared" si="86"/>
        <v>0</v>
      </c>
      <c r="AD72" s="6">
        <f t="shared" si="87"/>
        <v>0</v>
      </c>
      <c r="AE72" s="6">
        <v>0</v>
      </c>
      <c r="AF72" s="6">
        <f t="shared" si="88"/>
        <v>0</v>
      </c>
      <c r="AG72" s="6">
        <f t="shared" si="89"/>
        <v>0</v>
      </c>
      <c r="AH72" s="6">
        <v>0</v>
      </c>
      <c r="AI72" s="6">
        <f t="shared" si="90"/>
        <v>0</v>
      </c>
      <c r="AJ72" s="6">
        <f t="shared" si="91"/>
        <v>0</v>
      </c>
      <c r="AK72" s="6">
        <v>0</v>
      </c>
      <c r="AL72" s="6">
        <f t="shared" si="92"/>
        <v>0</v>
      </c>
      <c r="AM72" s="6">
        <f t="shared" si="93"/>
        <v>0</v>
      </c>
      <c r="AN72" s="6">
        <v>0</v>
      </c>
      <c r="AO72" s="6">
        <f t="shared" si="94"/>
        <v>0</v>
      </c>
      <c r="AP72" s="6">
        <f t="shared" si="95"/>
        <v>0</v>
      </c>
      <c r="AQ72" s="6">
        <v>0</v>
      </c>
      <c r="AR72" s="6">
        <f t="shared" si="96"/>
        <v>0</v>
      </c>
      <c r="AS72" s="6">
        <f t="shared" si="97"/>
        <v>0</v>
      </c>
      <c r="AT72" s="6">
        <v>0</v>
      </c>
      <c r="AU72" s="6">
        <f t="shared" si="98"/>
        <v>0</v>
      </c>
      <c r="AV72" s="6">
        <f t="shared" si="99"/>
        <v>0</v>
      </c>
      <c r="AW72" s="6">
        <v>0</v>
      </c>
      <c r="AX72" s="6">
        <f t="shared" si="100"/>
        <v>0</v>
      </c>
      <c r="AY72" s="6">
        <f t="shared" si="101"/>
        <v>0</v>
      </c>
      <c r="AZ72" s="6">
        <v>0</v>
      </c>
      <c r="BA72" s="6">
        <f t="shared" si="102"/>
        <v>0</v>
      </c>
      <c r="BB72" s="6">
        <f t="shared" si="103"/>
        <v>0</v>
      </c>
      <c r="BC72" s="6">
        <v>0</v>
      </c>
      <c r="BD72" s="6">
        <f t="shared" si="104"/>
        <v>0</v>
      </c>
      <c r="BE72" s="6">
        <f t="shared" si="105"/>
        <v>0</v>
      </c>
      <c r="BF72" s="6">
        <v>0</v>
      </c>
      <c r="BG72" s="6">
        <f t="shared" si="106"/>
        <v>0</v>
      </c>
      <c r="BH72" s="6">
        <f t="shared" si="107"/>
        <v>0</v>
      </c>
      <c r="BI72" s="6">
        <v>0</v>
      </c>
      <c r="BJ72" s="6">
        <f t="shared" si="108"/>
        <v>0</v>
      </c>
      <c r="BK72" s="6">
        <f t="shared" si="109"/>
        <v>0</v>
      </c>
      <c r="BL72" s="6">
        <v>0</v>
      </c>
      <c r="BM72" s="6">
        <f t="shared" si="110"/>
        <v>0</v>
      </c>
      <c r="BN72" s="6">
        <f t="shared" si="111"/>
        <v>0</v>
      </c>
      <c r="BO72" s="6">
        <v>0</v>
      </c>
      <c r="BP72" s="6">
        <f t="shared" si="112"/>
        <v>0</v>
      </c>
      <c r="BQ72" s="6">
        <f t="shared" si="113"/>
        <v>0</v>
      </c>
      <c r="BR72" s="6">
        <v>0</v>
      </c>
      <c r="BS72" s="6">
        <f t="shared" si="114"/>
        <v>0</v>
      </c>
      <c r="BT72" s="6">
        <f t="shared" si="115"/>
        <v>0</v>
      </c>
      <c r="BU72" s="6">
        <v>0</v>
      </c>
      <c r="BV72" s="6">
        <f t="shared" si="116"/>
        <v>0</v>
      </c>
      <c r="BW72" s="6">
        <f t="shared" si="117"/>
        <v>0</v>
      </c>
      <c r="BX72" s="6">
        <v>0</v>
      </c>
      <c r="BY72" s="6">
        <f t="shared" si="118"/>
        <v>0</v>
      </c>
      <c r="BZ72" s="6">
        <f t="shared" si="119"/>
        <v>0</v>
      </c>
      <c r="CA72" s="6">
        <v>0</v>
      </c>
      <c r="CB72" s="6">
        <f t="shared" si="120"/>
        <v>0</v>
      </c>
      <c r="CC72" s="6">
        <f t="shared" si="121"/>
        <v>0</v>
      </c>
      <c r="CD72" s="6">
        <v>0</v>
      </c>
      <c r="CE72" s="6">
        <f t="shared" si="122"/>
        <v>0</v>
      </c>
      <c r="CF72" s="6">
        <f t="shared" si="123"/>
        <v>0</v>
      </c>
      <c r="CG72" s="6">
        <v>0</v>
      </c>
      <c r="CH72" s="6">
        <f t="shared" si="124"/>
        <v>0</v>
      </c>
      <c r="CI72" s="6">
        <f t="shared" si="125"/>
        <v>0</v>
      </c>
      <c r="CJ72" s="6">
        <v>0</v>
      </c>
      <c r="CK72" s="6">
        <f t="shared" si="126"/>
        <v>0</v>
      </c>
      <c r="CL72" s="6">
        <f t="shared" si="127"/>
        <v>0</v>
      </c>
      <c r="CM72" s="6">
        <v>0</v>
      </c>
      <c r="CN72" s="6">
        <f t="shared" si="128"/>
        <v>0</v>
      </c>
      <c r="CO72" s="6">
        <f t="shared" si="129"/>
        <v>0</v>
      </c>
      <c r="CP72" s="6">
        <v>0</v>
      </c>
      <c r="CQ72" s="6">
        <f t="shared" si="130"/>
        <v>0</v>
      </c>
      <c r="CR72" s="6">
        <f t="shared" si="131"/>
        <v>0</v>
      </c>
      <c r="CS72" s="6">
        <v>0</v>
      </c>
      <c r="CT72" s="6">
        <f t="shared" si="132"/>
        <v>0</v>
      </c>
      <c r="CU72" s="6">
        <f t="shared" si="133"/>
        <v>0</v>
      </c>
      <c r="CV72" s="6">
        <v>0</v>
      </c>
      <c r="CW72" s="6">
        <f t="shared" si="134"/>
        <v>0</v>
      </c>
      <c r="CX72" s="6">
        <f t="shared" si="135"/>
        <v>0</v>
      </c>
      <c r="CY72" s="6">
        <v>0</v>
      </c>
      <c r="CZ72" s="6">
        <f t="shared" si="136"/>
        <v>0</v>
      </c>
      <c r="DA72" s="6">
        <f t="shared" si="137"/>
        <v>0</v>
      </c>
      <c r="DB72" s="6">
        <v>0</v>
      </c>
      <c r="DC72" s="6">
        <f t="shared" si="138"/>
        <v>0</v>
      </c>
      <c r="DD72" s="6">
        <f t="shared" si="139"/>
        <v>0</v>
      </c>
      <c r="DE72" s="6">
        <v>0</v>
      </c>
      <c r="DF72" s="6">
        <f t="shared" si="140"/>
        <v>0</v>
      </c>
      <c r="DG72" s="6">
        <f t="shared" si="141"/>
        <v>0</v>
      </c>
      <c r="DH72" s="6">
        <v>0</v>
      </c>
      <c r="DI72" s="6">
        <f t="shared" si="142"/>
        <v>0</v>
      </c>
      <c r="DJ72" s="6">
        <f t="shared" si="143"/>
        <v>0</v>
      </c>
      <c r="DK72" s="6">
        <v>0</v>
      </c>
      <c r="DL72" s="6">
        <f t="shared" si="144"/>
        <v>0</v>
      </c>
      <c r="DM72" s="6">
        <f t="shared" si="145"/>
        <v>0</v>
      </c>
      <c r="DN72" s="6">
        <v>0</v>
      </c>
      <c r="DO72" s="6">
        <f t="shared" si="146"/>
        <v>0</v>
      </c>
      <c r="DP72" s="6">
        <f t="shared" si="147"/>
        <v>0</v>
      </c>
    </row>
    <row r="73" spans="1:120" x14ac:dyDescent="0.2">
      <c r="A73" s="21">
        <v>50</v>
      </c>
      <c r="B73" s="21" t="s">
        <v>675</v>
      </c>
      <c r="C73" s="21">
        <v>50006</v>
      </c>
      <c r="D73" s="21" t="s">
        <v>676</v>
      </c>
      <c r="E73" s="21" t="s">
        <v>522</v>
      </c>
      <c r="F73" s="22" t="s">
        <v>666</v>
      </c>
      <c r="G73" s="4" t="s">
        <v>185</v>
      </c>
      <c r="H73" s="6">
        <v>15322288.689999999</v>
      </c>
      <c r="I73" s="6">
        <f t="shared" si="79"/>
        <v>41978.873123287667</v>
      </c>
      <c r="J73" s="6">
        <v>14295459</v>
      </c>
      <c r="K73" s="6">
        <v>15042370.33</v>
      </c>
      <c r="L73" s="6">
        <f t="shared" si="76"/>
        <v>41099.372486338798</v>
      </c>
      <c r="M73" s="6">
        <v>12746163</v>
      </c>
      <c r="N73" s="6">
        <v>14478172.810000001</v>
      </c>
      <c r="O73" s="6">
        <f>N73/365</f>
        <v>39666.226876712331</v>
      </c>
      <c r="P73" s="6">
        <v>11334754</v>
      </c>
      <c r="Q73" s="6">
        <v>7060148.3799999999</v>
      </c>
      <c r="R73" s="6">
        <f>Q73/181</f>
        <v>39006.344640883981</v>
      </c>
      <c r="S73" s="6">
        <v>10109244</v>
      </c>
      <c r="T73" s="6">
        <f t="shared" si="80"/>
        <v>10109244</v>
      </c>
      <c r="U73" s="6">
        <f t="shared" si="81"/>
        <v>27696.558904109588</v>
      </c>
      <c r="V73" s="6">
        <v>8637738</v>
      </c>
      <c r="W73" s="6">
        <f t="shared" si="82"/>
        <v>8637738</v>
      </c>
      <c r="X73" s="6">
        <f t="shared" si="83"/>
        <v>23665.035616438356</v>
      </c>
      <c r="Y73" s="6">
        <v>7445081</v>
      </c>
      <c r="Z73" s="6">
        <f t="shared" si="84"/>
        <v>7445081</v>
      </c>
      <c r="AA73" s="6">
        <f t="shared" si="85"/>
        <v>20397.482191780822</v>
      </c>
      <c r="AB73" s="6">
        <v>6481516</v>
      </c>
      <c r="AC73" s="6">
        <f t="shared" si="86"/>
        <v>6481516</v>
      </c>
      <c r="AD73" s="6">
        <f t="shared" si="87"/>
        <v>17757.57808219178</v>
      </c>
      <c r="AE73" s="6">
        <v>5688750</v>
      </c>
      <c r="AF73" s="6">
        <f t="shared" si="88"/>
        <v>5688750</v>
      </c>
      <c r="AG73" s="6">
        <f t="shared" si="89"/>
        <v>15585.616438356165</v>
      </c>
      <c r="AH73" s="6">
        <v>5042546</v>
      </c>
      <c r="AI73" s="6">
        <f t="shared" si="90"/>
        <v>5042546</v>
      </c>
      <c r="AJ73" s="6">
        <f t="shared" si="91"/>
        <v>13815.194520547946</v>
      </c>
      <c r="AK73" s="6">
        <v>4448453</v>
      </c>
      <c r="AL73" s="6">
        <f t="shared" si="92"/>
        <v>4448453</v>
      </c>
      <c r="AM73" s="6">
        <f t="shared" si="93"/>
        <v>12187.542465753424</v>
      </c>
      <c r="AN73" s="6">
        <v>3971554</v>
      </c>
      <c r="AO73" s="6">
        <f t="shared" si="94"/>
        <v>3971554</v>
      </c>
      <c r="AP73" s="6">
        <f t="shared" si="95"/>
        <v>10880.969863013699</v>
      </c>
      <c r="AQ73" s="6">
        <v>3553774</v>
      </c>
      <c r="AR73" s="6">
        <f t="shared" si="96"/>
        <v>3553774</v>
      </c>
      <c r="AS73" s="6">
        <f t="shared" si="97"/>
        <v>9736.3671232876713</v>
      </c>
      <c r="AT73" s="6">
        <v>3182097</v>
      </c>
      <c r="AU73" s="6">
        <f t="shared" si="98"/>
        <v>3182097</v>
      </c>
      <c r="AV73" s="6">
        <f t="shared" si="99"/>
        <v>8718.0739726027405</v>
      </c>
      <c r="AW73" s="6">
        <v>2809323</v>
      </c>
      <c r="AX73" s="6">
        <f t="shared" si="100"/>
        <v>2809323</v>
      </c>
      <c r="AY73" s="6">
        <f t="shared" si="101"/>
        <v>7696.7753424657531</v>
      </c>
      <c r="AZ73" s="6">
        <v>2483813</v>
      </c>
      <c r="BA73" s="6">
        <f t="shared" si="102"/>
        <v>2483813</v>
      </c>
      <c r="BB73" s="6">
        <f t="shared" si="103"/>
        <v>6804.9671232876708</v>
      </c>
      <c r="BC73" s="6">
        <v>2214725</v>
      </c>
      <c r="BD73" s="6">
        <f t="shared" si="104"/>
        <v>2214725</v>
      </c>
      <c r="BE73" s="6">
        <f t="shared" si="105"/>
        <v>6067.7397260273974</v>
      </c>
      <c r="BF73" s="6">
        <v>1971547</v>
      </c>
      <c r="BG73" s="6">
        <f t="shared" si="106"/>
        <v>1971547</v>
      </c>
      <c r="BH73" s="6">
        <f t="shared" si="107"/>
        <v>5401.4986301369863</v>
      </c>
      <c r="BI73" s="6">
        <v>1711175</v>
      </c>
      <c r="BJ73" s="6">
        <f t="shared" si="108"/>
        <v>1711175</v>
      </c>
      <c r="BK73" s="6">
        <f t="shared" si="109"/>
        <v>4688.1506849315065</v>
      </c>
      <c r="BL73" s="6">
        <v>1428978</v>
      </c>
      <c r="BM73" s="6">
        <f t="shared" si="110"/>
        <v>1428978</v>
      </c>
      <c r="BN73" s="6">
        <f t="shared" si="111"/>
        <v>3915.0082191780821</v>
      </c>
      <c r="BO73" s="6">
        <v>1191277</v>
      </c>
      <c r="BP73" s="6">
        <f t="shared" si="112"/>
        <v>1191277</v>
      </c>
      <c r="BQ73" s="6">
        <f t="shared" si="113"/>
        <v>3263.7726027397262</v>
      </c>
      <c r="BR73" s="6">
        <v>987574</v>
      </c>
      <c r="BS73" s="6">
        <f t="shared" si="114"/>
        <v>987574</v>
      </c>
      <c r="BT73" s="6">
        <f t="shared" si="115"/>
        <v>2705.682191780822</v>
      </c>
      <c r="BU73" s="6">
        <v>817717</v>
      </c>
      <c r="BV73" s="6">
        <f t="shared" si="116"/>
        <v>817717</v>
      </c>
      <c r="BW73" s="6">
        <f t="shared" si="117"/>
        <v>2240.3205479452054</v>
      </c>
      <c r="BX73" s="6">
        <v>680036</v>
      </c>
      <c r="BY73" s="6">
        <f t="shared" si="118"/>
        <v>680036</v>
      </c>
      <c r="BZ73" s="6">
        <f t="shared" si="119"/>
        <v>1863.1123287671232</v>
      </c>
      <c r="CA73" s="6">
        <v>0</v>
      </c>
      <c r="CB73" s="6">
        <f t="shared" si="120"/>
        <v>0</v>
      </c>
      <c r="CC73" s="6">
        <f t="shared" si="121"/>
        <v>0</v>
      </c>
      <c r="CD73" s="6">
        <v>0</v>
      </c>
      <c r="CE73" s="6">
        <f t="shared" si="122"/>
        <v>0</v>
      </c>
      <c r="CF73" s="6">
        <f t="shared" si="123"/>
        <v>0</v>
      </c>
      <c r="CG73" s="6">
        <v>0</v>
      </c>
      <c r="CH73" s="6">
        <f t="shared" si="124"/>
        <v>0</v>
      </c>
      <c r="CI73" s="6">
        <f t="shared" si="125"/>
        <v>0</v>
      </c>
      <c r="CJ73" s="6">
        <v>0</v>
      </c>
      <c r="CK73" s="6">
        <f t="shared" si="126"/>
        <v>0</v>
      </c>
      <c r="CL73" s="6">
        <f t="shared" si="127"/>
        <v>0</v>
      </c>
      <c r="CM73" s="6">
        <v>0</v>
      </c>
      <c r="CN73" s="6">
        <f t="shared" si="128"/>
        <v>0</v>
      </c>
      <c r="CO73" s="6">
        <f t="shared" si="129"/>
        <v>0</v>
      </c>
      <c r="CP73" s="6">
        <v>0</v>
      </c>
      <c r="CQ73" s="6">
        <f t="shared" si="130"/>
        <v>0</v>
      </c>
      <c r="CR73" s="6">
        <f t="shared" si="131"/>
        <v>0</v>
      </c>
      <c r="CS73" s="6">
        <v>0</v>
      </c>
      <c r="CT73" s="6">
        <f t="shared" si="132"/>
        <v>0</v>
      </c>
      <c r="CU73" s="6">
        <f t="shared" si="133"/>
        <v>0</v>
      </c>
      <c r="CV73" s="6">
        <v>0</v>
      </c>
      <c r="CW73" s="6">
        <f t="shared" si="134"/>
        <v>0</v>
      </c>
      <c r="CX73" s="6">
        <f t="shared" si="135"/>
        <v>0</v>
      </c>
      <c r="CY73" s="6">
        <v>0</v>
      </c>
      <c r="CZ73" s="6">
        <f t="shared" si="136"/>
        <v>0</v>
      </c>
      <c r="DA73" s="6">
        <f t="shared" si="137"/>
        <v>0</v>
      </c>
      <c r="DB73" s="6">
        <v>0</v>
      </c>
      <c r="DC73" s="6">
        <f t="shared" si="138"/>
        <v>0</v>
      </c>
      <c r="DD73" s="6">
        <f t="shared" si="139"/>
        <v>0</v>
      </c>
      <c r="DE73" s="6">
        <v>0</v>
      </c>
      <c r="DF73" s="6">
        <f t="shared" si="140"/>
        <v>0</v>
      </c>
      <c r="DG73" s="6">
        <f t="shared" si="141"/>
        <v>0</v>
      </c>
      <c r="DH73" s="6">
        <v>0</v>
      </c>
      <c r="DI73" s="6">
        <f t="shared" si="142"/>
        <v>0</v>
      </c>
      <c r="DJ73" s="6">
        <f t="shared" si="143"/>
        <v>0</v>
      </c>
      <c r="DK73" s="6">
        <v>0</v>
      </c>
      <c r="DL73" s="6">
        <f t="shared" si="144"/>
        <v>0</v>
      </c>
      <c r="DM73" s="6">
        <f t="shared" si="145"/>
        <v>0</v>
      </c>
      <c r="DN73" s="6">
        <v>0</v>
      </c>
      <c r="DO73" s="6">
        <f t="shared" si="146"/>
        <v>0</v>
      </c>
      <c r="DP73" s="6">
        <f t="shared" si="147"/>
        <v>0</v>
      </c>
    </row>
    <row r="74" spans="1:120" x14ac:dyDescent="0.2">
      <c r="A74" s="21">
        <v>85</v>
      </c>
      <c r="B74" s="21" t="s">
        <v>612</v>
      </c>
      <c r="C74" s="21">
        <v>85325</v>
      </c>
      <c r="D74" s="21" t="s">
        <v>670</v>
      </c>
      <c r="E74" s="21" t="s">
        <v>592</v>
      </c>
      <c r="F74" s="22" t="s">
        <v>693</v>
      </c>
      <c r="G74" s="4" t="s">
        <v>186</v>
      </c>
      <c r="H74" s="6">
        <v>1240.77</v>
      </c>
      <c r="I74" s="6">
        <f t="shared" si="79"/>
        <v>3.3993698630136984</v>
      </c>
      <c r="J74" s="6">
        <v>85649</v>
      </c>
      <c r="K74" s="6"/>
      <c r="L74" s="6"/>
      <c r="M74" s="6">
        <v>197305</v>
      </c>
      <c r="N74" s="6"/>
      <c r="O74" s="6"/>
      <c r="P74" s="6">
        <v>85779</v>
      </c>
      <c r="Q74" s="6"/>
      <c r="R74" s="6"/>
      <c r="S74" s="6">
        <v>48420</v>
      </c>
      <c r="T74" s="6">
        <f t="shared" si="80"/>
        <v>48420</v>
      </c>
      <c r="U74" s="6">
        <f t="shared" si="81"/>
        <v>132.65753424657535</v>
      </c>
      <c r="V74" s="6">
        <v>31827</v>
      </c>
      <c r="W74" s="6">
        <f t="shared" si="82"/>
        <v>31827</v>
      </c>
      <c r="X74" s="6">
        <f t="shared" si="83"/>
        <v>87.197260273972603</v>
      </c>
      <c r="Y74" s="6">
        <v>22916</v>
      </c>
      <c r="Z74" s="6">
        <f t="shared" si="84"/>
        <v>22916</v>
      </c>
      <c r="AA74" s="6">
        <f t="shared" si="85"/>
        <v>62.783561643835618</v>
      </c>
      <c r="AB74" s="6">
        <v>17424</v>
      </c>
      <c r="AC74" s="6">
        <f t="shared" si="86"/>
        <v>17424</v>
      </c>
      <c r="AD74" s="6">
        <f t="shared" si="87"/>
        <v>47.736986301369861</v>
      </c>
      <c r="AE74" s="6">
        <v>13774</v>
      </c>
      <c r="AF74" s="6">
        <f t="shared" si="88"/>
        <v>13774</v>
      </c>
      <c r="AG74" s="6">
        <f t="shared" si="89"/>
        <v>37.736986301369861</v>
      </c>
      <c r="AH74" s="6">
        <v>11210</v>
      </c>
      <c r="AI74" s="6">
        <f t="shared" si="90"/>
        <v>11210</v>
      </c>
      <c r="AJ74" s="6">
        <f t="shared" si="91"/>
        <v>30.712328767123289</v>
      </c>
      <c r="AK74" s="6">
        <v>0</v>
      </c>
      <c r="AL74" s="6">
        <f t="shared" si="92"/>
        <v>0</v>
      </c>
      <c r="AM74" s="6">
        <f t="shared" si="93"/>
        <v>0</v>
      </c>
      <c r="AN74" s="6">
        <v>0</v>
      </c>
      <c r="AO74" s="6">
        <f t="shared" si="94"/>
        <v>0</v>
      </c>
      <c r="AP74" s="6">
        <f t="shared" si="95"/>
        <v>0</v>
      </c>
      <c r="AQ74" s="6">
        <v>0</v>
      </c>
      <c r="AR74" s="6">
        <f t="shared" si="96"/>
        <v>0</v>
      </c>
      <c r="AS74" s="6">
        <f t="shared" si="97"/>
        <v>0</v>
      </c>
      <c r="AT74" s="6">
        <v>0</v>
      </c>
      <c r="AU74" s="6">
        <f t="shared" si="98"/>
        <v>0</v>
      </c>
      <c r="AV74" s="6">
        <f t="shared" si="99"/>
        <v>0</v>
      </c>
      <c r="AW74" s="6">
        <v>0</v>
      </c>
      <c r="AX74" s="6">
        <f t="shared" si="100"/>
        <v>0</v>
      </c>
      <c r="AY74" s="6">
        <f t="shared" si="101"/>
        <v>0</v>
      </c>
      <c r="AZ74" s="6">
        <v>0</v>
      </c>
      <c r="BA74" s="6">
        <f t="shared" si="102"/>
        <v>0</v>
      </c>
      <c r="BB74" s="6">
        <f t="shared" si="103"/>
        <v>0</v>
      </c>
      <c r="BC74" s="6">
        <v>0</v>
      </c>
      <c r="BD74" s="6">
        <f t="shared" si="104"/>
        <v>0</v>
      </c>
      <c r="BE74" s="6">
        <f t="shared" si="105"/>
        <v>0</v>
      </c>
      <c r="BF74" s="6">
        <v>0</v>
      </c>
      <c r="BG74" s="6">
        <f t="shared" si="106"/>
        <v>0</v>
      </c>
      <c r="BH74" s="6">
        <f t="shared" si="107"/>
        <v>0</v>
      </c>
      <c r="BI74" s="6">
        <v>0</v>
      </c>
      <c r="BJ74" s="6">
        <f t="shared" si="108"/>
        <v>0</v>
      </c>
      <c r="BK74" s="6">
        <f t="shared" si="109"/>
        <v>0</v>
      </c>
      <c r="BL74" s="6">
        <v>0</v>
      </c>
      <c r="BM74" s="6">
        <f t="shared" si="110"/>
        <v>0</v>
      </c>
      <c r="BN74" s="6">
        <f t="shared" si="111"/>
        <v>0</v>
      </c>
      <c r="BO74" s="6">
        <v>0</v>
      </c>
      <c r="BP74" s="6">
        <f t="shared" si="112"/>
        <v>0</v>
      </c>
      <c r="BQ74" s="6">
        <f t="shared" si="113"/>
        <v>0</v>
      </c>
      <c r="BR74" s="6">
        <v>0</v>
      </c>
      <c r="BS74" s="6">
        <f t="shared" si="114"/>
        <v>0</v>
      </c>
      <c r="BT74" s="6">
        <f t="shared" si="115"/>
        <v>0</v>
      </c>
      <c r="BU74" s="6">
        <v>0</v>
      </c>
      <c r="BV74" s="6">
        <f t="shared" si="116"/>
        <v>0</v>
      </c>
      <c r="BW74" s="6">
        <f t="shared" si="117"/>
        <v>0</v>
      </c>
      <c r="BX74" s="6">
        <v>0</v>
      </c>
      <c r="BY74" s="6">
        <f t="shared" si="118"/>
        <v>0</v>
      </c>
      <c r="BZ74" s="6">
        <f t="shared" si="119"/>
        <v>0</v>
      </c>
      <c r="CA74" s="6">
        <v>0</v>
      </c>
      <c r="CB74" s="6">
        <f t="shared" si="120"/>
        <v>0</v>
      </c>
      <c r="CC74" s="6">
        <f t="shared" si="121"/>
        <v>0</v>
      </c>
      <c r="CD74" s="6">
        <v>0</v>
      </c>
      <c r="CE74" s="6">
        <f t="shared" si="122"/>
        <v>0</v>
      </c>
      <c r="CF74" s="6">
        <f t="shared" si="123"/>
        <v>0</v>
      </c>
      <c r="CG74" s="6">
        <v>0</v>
      </c>
      <c r="CH74" s="6">
        <f t="shared" si="124"/>
        <v>0</v>
      </c>
      <c r="CI74" s="6">
        <f t="shared" si="125"/>
        <v>0</v>
      </c>
      <c r="CJ74" s="6">
        <v>0</v>
      </c>
      <c r="CK74" s="6">
        <f t="shared" si="126"/>
        <v>0</v>
      </c>
      <c r="CL74" s="6">
        <f t="shared" si="127"/>
        <v>0</v>
      </c>
      <c r="CM74" s="6">
        <v>0</v>
      </c>
      <c r="CN74" s="6">
        <f t="shared" si="128"/>
        <v>0</v>
      </c>
      <c r="CO74" s="6">
        <f t="shared" si="129"/>
        <v>0</v>
      </c>
      <c r="CP74" s="6">
        <v>0</v>
      </c>
      <c r="CQ74" s="6">
        <f t="shared" si="130"/>
        <v>0</v>
      </c>
      <c r="CR74" s="6">
        <f t="shared" si="131"/>
        <v>0</v>
      </c>
      <c r="CS74" s="6">
        <v>0</v>
      </c>
      <c r="CT74" s="6">
        <f t="shared" si="132"/>
        <v>0</v>
      </c>
      <c r="CU74" s="6">
        <f t="shared" si="133"/>
        <v>0</v>
      </c>
      <c r="CV74" s="6">
        <v>0</v>
      </c>
      <c r="CW74" s="6">
        <f t="shared" si="134"/>
        <v>0</v>
      </c>
      <c r="CX74" s="6">
        <f t="shared" si="135"/>
        <v>0</v>
      </c>
      <c r="CY74" s="6">
        <v>0</v>
      </c>
      <c r="CZ74" s="6">
        <f t="shared" si="136"/>
        <v>0</v>
      </c>
      <c r="DA74" s="6">
        <f t="shared" si="137"/>
        <v>0</v>
      </c>
      <c r="DB74" s="6">
        <v>0</v>
      </c>
      <c r="DC74" s="6">
        <f t="shared" si="138"/>
        <v>0</v>
      </c>
      <c r="DD74" s="6">
        <f t="shared" si="139"/>
        <v>0</v>
      </c>
      <c r="DE74" s="6">
        <v>0</v>
      </c>
      <c r="DF74" s="6">
        <f t="shared" si="140"/>
        <v>0</v>
      </c>
      <c r="DG74" s="6">
        <f t="shared" si="141"/>
        <v>0</v>
      </c>
      <c r="DH74" s="6">
        <v>0</v>
      </c>
      <c r="DI74" s="6">
        <f t="shared" si="142"/>
        <v>0</v>
      </c>
      <c r="DJ74" s="6">
        <f t="shared" si="143"/>
        <v>0</v>
      </c>
      <c r="DK74" s="6">
        <v>0</v>
      </c>
      <c r="DL74" s="6">
        <f t="shared" si="144"/>
        <v>0</v>
      </c>
      <c r="DM74" s="6">
        <f t="shared" si="145"/>
        <v>0</v>
      </c>
      <c r="DN74" s="6">
        <v>0</v>
      </c>
      <c r="DO74" s="6">
        <f t="shared" si="146"/>
        <v>0</v>
      </c>
      <c r="DP74" s="6">
        <f t="shared" si="147"/>
        <v>0</v>
      </c>
    </row>
    <row r="75" spans="1:120" x14ac:dyDescent="0.2">
      <c r="A75" s="21">
        <v>50</v>
      </c>
      <c r="B75" s="21" t="s">
        <v>675</v>
      </c>
      <c r="C75" s="21">
        <v>50124</v>
      </c>
      <c r="D75" s="21" t="s">
        <v>704</v>
      </c>
      <c r="E75" s="21" t="s">
        <v>542</v>
      </c>
      <c r="F75" s="22" t="s">
        <v>669</v>
      </c>
      <c r="G75" s="4" t="s">
        <v>187</v>
      </c>
      <c r="H75" s="6">
        <v>1147024.6499999999</v>
      </c>
      <c r="I75" s="6">
        <f t="shared" si="79"/>
        <v>3142.5332876712328</v>
      </c>
      <c r="J75" s="6">
        <v>749240</v>
      </c>
      <c r="K75" s="6">
        <v>1012911.45</v>
      </c>
      <c r="L75" s="6">
        <f>K75/366</f>
        <v>2767.5176229508197</v>
      </c>
      <c r="M75" s="6">
        <v>489316</v>
      </c>
      <c r="N75" s="6">
        <v>940519.99</v>
      </c>
      <c r="O75" s="6">
        <f>N75/365</f>
        <v>2576.7670958904109</v>
      </c>
      <c r="P75" s="6">
        <v>323512</v>
      </c>
      <c r="Q75" s="6">
        <v>430968.99</v>
      </c>
      <c r="R75" s="6">
        <f>Q75/181</f>
        <v>2381.0441436464089</v>
      </c>
      <c r="S75" s="6">
        <v>214084</v>
      </c>
      <c r="T75" s="6">
        <f t="shared" si="80"/>
        <v>214084</v>
      </c>
      <c r="U75" s="6">
        <f t="shared" si="81"/>
        <v>586.53150684931506</v>
      </c>
      <c r="V75" s="6">
        <v>132051</v>
      </c>
      <c r="W75" s="6">
        <f t="shared" si="82"/>
        <v>132051</v>
      </c>
      <c r="X75" s="6">
        <f t="shared" si="83"/>
        <v>361.78356164383564</v>
      </c>
      <c r="Y75" s="6">
        <v>0</v>
      </c>
      <c r="Z75" s="6">
        <f t="shared" si="84"/>
        <v>0</v>
      </c>
      <c r="AA75" s="6">
        <f t="shared" si="85"/>
        <v>0</v>
      </c>
      <c r="AB75" s="6">
        <v>0</v>
      </c>
      <c r="AC75" s="6">
        <f t="shared" si="86"/>
        <v>0</v>
      </c>
      <c r="AD75" s="6">
        <f t="shared" si="87"/>
        <v>0</v>
      </c>
      <c r="AE75" s="6">
        <v>0</v>
      </c>
      <c r="AF75" s="6">
        <f t="shared" si="88"/>
        <v>0</v>
      </c>
      <c r="AG75" s="6">
        <f t="shared" si="89"/>
        <v>0</v>
      </c>
      <c r="AH75" s="6">
        <v>0</v>
      </c>
      <c r="AI75" s="6">
        <f t="shared" si="90"/>
        <v>0</v>
      </c>
      <c r="AJ75" s="6">
        <f t="shared" si="91"/>
        <v>0</v>
      </c>
      <c r="AK75" s="6">
        <v>0</v>
      </c>
      <c r="AL75" s="6">
        <f t="shared" si="92"/>
        <v>0</v>
      </c>
      <c r="AM75" s="6">
        <f t="shared" si="93"/>
        <v>0</v>
      </c>
      <c r="AN75" s="6">
        <v>0</v>
      </c>
      <c r="AO75" s="6">
        <f t="shared" si="94"/>
        <v>0</v>
      </c>
      <c r="AP75" s="6">
        <f t="shared" si="95"/>
        <v>0</v>
      </c>
      <c r="AQ75" s="6">
        <v>0</v>
      </c>
      <c r="AR75" s="6">
        <f t="shared" si="96"/>
        <v>0</v>
      </c>
      <c r="AS75" s="6">
        <f t="shared" si="97"/>
        <v>0</v>
      </c>
      <c r="AT75" s="6">
        <v>0</v>
      </c>
      <c r="AU75" s="6">
        <f t="shared" si="98"/>
        <v>0</v>
      </c>
      <c r="AV75" s="6">
        <f t="shared" si="99"/>
        <v>0</v>
      </c>
      <c r="AW75" s="6">
        <v>0</v>
      </c>
      <c r="AX75" s="6">
        <f t="shared" si="100"/>
        <v>0</v>
      </c>
      <c r="AY75" s="6">
        <f t="shared" si="101"/>
        <v>0</v>
      </c>
      <c r="AZ75" s="6">
        <v>0</v>
      </c>
      <c r="BA75" s="6">
        <f t="shared" si="102"/>
        <v>0</v>
      </c>
      <c r="BB75" s="6">
        <f t="shared" si="103"/>
        <v>0</v>
      </c>
      <c r="BC75" s="6">
        <v>0</v>
      </c>
      <c r="BD75" s="6">
        <f t="shared" si="104"/>
        <v>0</v>
      </c>
      <c r="BE75" s="6">
        <f t="shared" si="105"/>
        <v>0</v>
      </c>
      <c r="BF75" s="6">
        <v>0</v>
      </c>
      <c r="BG75" s="6">
        <f t="shared" si="106"/>
        <v>0</v>
      </c>
      <c r="BH75" s="6">
        <f t="shared" si="107"/>
        <v>0</v>
      </c>
      <c r="BI75" s="6">
        <v>0</v>
      </c>
      <c r="BJ75" s="6">
        <f t="shared" si="108"/>
        <v>0</v>
      </c>
      <c r="BK75" s="6">
        <f t="shared" si="109"/>
        <v>0</v>
      </c>
      <c r="BL75" s="6">
        <v>0</v>
      </c>
      <c r="BM75" s="6">
        <f t="shared" si="110"/>
        <v>0</v>
      </c>
      <c r="BN75" s="6">
        <f t="shared" si="111"/>
        <v>0</v>
      </c>
      <c r="BO75" s="6">
        <v>0</v>
      </c>
      <c r="BP75" s="6">
        <f t="shared" si="112"/>
        <v>0</v>
      </c>
      <c r="BQ75" s="6">
        <f t="shared" si="113"/>
        <v>0</v>
      </c>
      <c r="BR75" s="6">
        <v>0</v>
      </c>
      <c r="BS75" s="6">
        <f t="shared" si="114"/>
        <v>0</v>
      </c>
      <c r="BT75" s="6">
        <f t="shared" si="115"/>
        <v>0</v>
      </c>
      <c r="BU75" s="6">
        <v>0</v>
      </c>
      <c r="BV75" s="6">
        <f t="shared" si="116"/>
        <v>0</v>
      </c>
      <c r="BW75" s="6">
        <f t="shared" si="117"/>
        <v>0</v>
      </c>
      <c r="BX75" s="6">
        <v>0</v>
      </c>
      <c r="BY75" s="6">
        <f t="shared" si="118"/>
        <v>0</v>
      </c>
      <c r="BZ75" s="6">
        <f t="shared" si="119"/>
        <v>0</v>
      </c>
      <c r="CA75" s="6">
        <v>0</v>
      </c>
      <c r="CB75" s="6">
        <f t="shared" si="120"/>
        <v>0</v>
      </c>
      <c r="CC75" s="6">
        <f t="shared" si="121"/>
        <v>0</v>
      </c>
      <c r="CD75" s="6">
        <v>0</v>
      </c>
      <c r="CE75" s="6">
        <f t="shared" si="122"/>
        <v>0</v>
      </c>
      <c r="CF75" s="6">
        <f t="shared" si="123"/>
        <v>0</v>
      </c>
      <c r="CG75" s="6">
        <v>0</v>
      </c>
      <c r="CH75" s="6">
        <f t="shared" si="124"/>
        <v>0</v>
      </c>
      <c r="CI75" s="6">
        <f t="shared" si="125"/>
        <v>0</v>
      </c>
      <c r="CJ75" s="6">
        <v>0</v>
      </c>
      <c r="CK75" s="6">
        <f t="shared" si="126"/>
        <v>0</v>
      </c>
      <c r="CL75" s="6">
        <f t="shared" si="127"/>
        <v>0</v>
      </c>
      <c r="CM75" s="6">
        <v>0</v>
      </c>
      <c r="CN75" s="6">
        <f t="shared" si="128"/>
        <v>0</v>
      </c>
      <c r="CO75" s="6">
        <f t="shared" si="129"/>
        <v>0</v>
      </c>
      <c r="CP75" s="6">
        <v>0</v>
      </c>
      <c r="CQ75" s="6">
        <f t="shared" si="130"/>
        <v>0</v>
      </c>
      <c r="CR75" s="6">
        <f t="shared" si="131"/>
        <v>0</v>
      </c>
      <c r="CS75" s="6">
        <v>0</v>
      </c>
      <c r="CT75" s="6">
        <f t="shared" si="132"/>
        <v>0</v>
      </c>
      <c r="CU75" s="6">
        <f t="shared" si="133"/>
        <v>0</v>
      </c>
      <c r="CV75" s="6">
        <v>0</v>
      </c>
      <c r="CW75" s="6">
        <f t="shared" si="134"/>
        <v>0</v>
      </c>
      <c r="CX75" s="6">
        <f t="shared" si="135"/>
        <v>0</v>
      </c>
      <c r="CY75" s="6">
        <v>0</v>
      </c>
      <c r="CZ75" s="6">
        <f t="shared" si="136"/>
        <v>0</v>
      </c>
      <c r="DA75" s="6">
        <f t="shared" si="137"/>
        <v>0</v>
      </c>
      <c r="DB75" s="6">
        <v>0</v>
      </c>
      <c r="DC75" s="6">
        <f t="shared" si="138"/>
        <v>0</v>
      </c>
      <c r="DD75" s="6">
        <f t="shared" si="139"/>
        <v>0</v>
      </c>
      <c r="DE75" s="6">
        <v>0</v>
      </c>
      <c r="DF75" s="6">
        <f t="shared" si="140"/>
        <v>0</v>
      </c>
      <c r="DG75" s="6">
        <f t="shared" si="141"/>
        <v>0</v>
      </c>
      <c r="DH75" s="6">
        <v>0</v>
      </c>
      <c r="DI75" s="6">
        <f t="shared" si="142"/>
        <v>0</v>
      </c>
      <c r="DJ75" s="6">
        <f t="shared" si="143"/>
        <v>0</v>
      </c>
      <c r="DK75" s="6">
        <v>0</v>
      </c>
      <c r="DL75" s="6">
        <f t="shared" si="144"/>
        <v>0</v>
      </c>
      <c r="DM75" s="6">
        <f t="shared" si="145"/>
        <v>0</v>
      </c>
      <c r="DN75" s="6">
        <v>0</v>
      </c>
      <c r="DO75" s="6">
        <f t="shared" si="146"/>
        <v>0</v>
      </c>
      <c r="DP75" s="6">
        <f t="shared" si="147"/>
        <v>0</v>
      </c>
    </row>
    <row r="76" spans="1:120" x14ac:dyDescent="0.2">
      <c r="A76" s="21">
        <v>85</v>
      </c>
      <c r="B76" s="21" t="s">
        <v>612</v>
      </c>
      <c r="C76" s="21">
        <v>85139</v>
      </c>
      <c r="D76" s="21" t="s">
        <v>702</v>
      </c>
      <c r="E76" s="21" t="s">
        <v>551</v>
      </c>
      <c r="F76" s="22" t="s">
        <v>662</v>
      </c>
      <c r="G76" s="4" t="s">
        <v>188</v>
      </c>
      <c r="H76" s="6">
        <v>13209.94</v>
      </c>
      <c r="I76" s="6">
        <f t="shared" si="79"/>
        <v>36.191616438356164</v>
      </c>
      <c r="J76" s="6">
        <v>18085.792099999999</v>
      </c>
      <c r="K76" s="6"/>
      <c r="L76" s="6"/>
      <c r="M76" s="6">
        <v>28550.288100000002</v>
      </c>
      <c r="N76" s="6"/>
      <c r="O76" s="6"/>
      <c r="P76" s="6">
        <v>25950.231899999999</v>
      </c>
      <c r="Q76" s="6"/>
      <c r="R76" s="6"/>
      <c r="S76" s="6">
        <v>10047.257</v>
      </c>
      <c r="T76" s="6">
        <f t="shared" si="80"/>
        <v>10047.257</v>
      </c>
      <c r="U76" s="6">
        <f t="shared" si="81"/>
        <v>27.526731506849313</v>
      </c>
      <c r="V76" s="6">
        <v>0</v>
      </c>
      <c r="W76" s="6">
        <f t="shared" si="82"/>
        <v>0</v>
      </c>
      <c r="X76" s="6">
        <f t="shared" si="83"/>
        <v>0</v>
      </c>
      <c r="Y76" s="6">
        <v>0</v>
      </c>
      <c r="Z76" s="6">
        <f t="shared" si="84"/>
        <v>0</v>
      </c>
      <c r="AA76" s="6">
        <f t="shared" si="85"/>
        <v>0</v>
      </c>
      <c r="AB76" s="6">
        <v>0</v>
      </c>
      <c r="AC76" s="6">
        <f t="shared" si="86"/>
        <v>0</v>
      </c>
      <c r="AD76" s="6">
        <f t="shared" si="87"/>
        <v>0</v>
      </c>
      <c r="AE76" s="6">
        <v>0</v>
      </c>
      <c r="AF76" s="6">
        <f t="shared" si="88"/>
        <v>0</v>
      </c>
      <c r="AG76" s="6">
        <f t="shared" si="89"/>
        <v>0</v>
      </c>
      <c r="AH76" s="6">
        <v>0</v>
      </c>
      <c r="AI76" s="6">
        <f t="shared" si="90"/>
        <v>0</v>
      </c>
      <c r="AJ76" s="6">
        <f t="shared" si="91"/>
        <v>0</v>
      </c>
      <c r="AK76" s="6">
        <v>0</v>
      </c>
      <c r="AL76" s="6">
        <f t="shared" si="92"/>
        <v>0</v>
      </c>
      <c r="AM76" s="6">
        <f t="shared" si="93"/>
        <v>0</v>
      </c>
      <c r="AN76" s="6">
        <v>0</v>
      </c>
      <c r="AO76" s="6">
        <f t="shared" si="94"/>
        <v>0</v>
      </c>
      <c r="AP76" s="6">
        <f t="shared" si="95"/>
        <v>0</v>
      </c>
      <c r="AQ76" s="6">
        <v>0</v>
      </c>
      <c r="AR76" s="6">
        <f t="shared" si="96"/>
        <v>0</v>
      </c>
      <c r="AS76" s="6">
        <f t="shared" si="97"/>
        <v>0</v>
      </c>
      <c r="AT76" s="6">
        <v>0</v>
      </c>
      <c r="AU76" s="6">
        <f t="shared" si="98"/>
        <v>0</v>
      </c>
      <c r="AV76" s="6">
        <f t="shared" si="99"/>
        <v>0</v>
      </c>
      <c r="AW76" s="6">
        <v>0</v>
      </c>
      <c r="AX76" s="6">
        <f t="shared" si="100"/>
        <v>0</v>
      </c>
      <c r="AY76" s="6">
        <f t="shared" si="101"/>
        <v>0</v>
      </c>
      <c r="AZ76" s="6">
        <v>0</v>
      </c>
      <c r="BA76" s="6">
        <f t="shared" si="102"/>
        <v>0</v>
      </c>
      <c r="BB76" s="6">
        <f t="shared" si="103"/>
        <v>0</v>
      </c>
      <c r="BC76" s="6">
        <v>0</v>
      </c>
      <c r="BD76" s="6">
        <f t="shared" si="104"/>
        <v>0</v>
      </c>
      <c r="BE76" s="6">
        <f t="shared" si="105"/>
        <v>0</v>
      </c>
      <c r="BF76" s="6">
        <v>0</v>
      </c>
      <c r="BG76" s="6">
        <f t="shared" si="106"/>
        <v>0</v>
      </c>
      <c r="BH76" s="6">
        <f t="shared" si="107"/>
        <v>0</v>
      </c>
      <c r="BI76" s="6">
        <v>0</v>
      </c>
      <c r="BJ76" s="6">
        <f t="shared" si="108"/>
        <v>0</v>
      </c>
      <c r="BK76" s="6">
        <f t="shared" si="109"/>
        <v>0</v>
      </c>
      <c r="BL76" s="6">
        <v>0</v>
      </c>
      <c r="BM76" s="6">
        <f t="shared" si="110"/>
        <v>0</v>
      </c>
      <c r="BN76" s="6">
        <f t="shared" si="111"/>
        <v>0</v>
      </c>
      <c r="BO76" s="6">
        <v>0</v>
      </c>
      <c r="BP76" s="6">
        <f t="shared" si="112"/>
        <v>0</v>
      </c>
      <c r="BQ76" s="6">
        <f t="shared" si="113"/>
        <v>0</v>
      </c>
      <c r="BR76" s="6">
        <v>0</v>
      </c>
      <c r="BS76" s="6">
        <f t="shared" si="114"/>
        <v>0</v>
      </c>
      <c r="BT76" s="6">
        <f t="shared" si="115"/>
        <v>0</v>
      </c>
      <c r="BU76" s="6">
        <v>0</v>
      </c>
      <c r="BV76" s="6">
        <f t="shared" si="116"/>
        <v>0</v>
      </c>
      <c r="BW76" s="6">
        <f t="shared" si="117"/>
        <v>0</v>
      </c>
      <c r="BX76" s="6">
        <v>0</v>
      </c>
      <c r="BY76" s="6">
        <f t="shared" si="118"/>
        <v>0</v>
      </c>
      <c r="BZ76" s="6">
        <f t="shared" si="119"/>
        <v>0</v>
      </c>
      <c r="CA76" s="6">
        <v>0</v>
      </c>
      <c r="CB76" s="6">
        <f t="shared" si="120"/>
        <v>0</v>
      </c>
      <c r="CC76" s="6">
        <f t="shared" si="121"/>
        <v>0</v>
      </c>
      <c r="CD76" s="6">
        <v>0</v>
      </c>
      <c r="CE76" s="6">
        <f t="shared" si="122"/>
        <v>0</v>
      </c>
      <c r="CF76" s="6">
        <f t="shared" si="123"/>
        <v>0</v>
      </c>
      <c r="CG76" s="6">
        <v>0</v>
      </c>
      <c r="CH76" s="6">
        <f t="shared" si="124"/>
        <v>0</v>
      </c>
      <c r="CI76" s="6">
        <f t="shared" si="125"/>
        <v>0</v>
      </c>
      <c r="CJ76" s="6">
        <v>0</v>
      </c>
      <c r="CK76" s="6">
        <f t="shared" si="126"/>
        <v>0</v>
      </c>
      <c r="CL76" s="6">
        <f t="shared" si="127"/>
        <v>0</v>
      </c>
      <c r="CM76" s="6">
        <v>0</v>
      </c>
      <c r="CN76" s="6">
        <f t="shared" si="128"/>
        <v>0</v>
      </c>
      <c r="CO76" s="6">
        <f t="shared" si="129"/>
        <v>0</v>
      </c>
      <c r="CP76" s="6">
        <v>0</v>
      </c>
      <c r="CQ76" s="6">
        <f t="shared" si="130"/>
        <v>0</v>
      </c>
      <c r="CR76" s="6">
        <f t="shared" si="131"/>
        <v>0</v>
      </c>
      <c r="CS76" s="6">
        <v>0</v>
      </c>
      <c r="CT76" s="6">
        <f t="shared" si="132"/>
        <v>0</v>
      </c>
      <c r="CU76" s="6">
        <f t="shared" si="133"/>
        <v>0</v>
      </c>
      <c r="CV76" s="6">
        <v>0</v>
      </c>
      <c r="CW76" s="6">
        <f t="shared" si="134"/>
        <v>0</v>
      </c>
      <c r="CX76" s="6">
        <f t="shared" si="135"/>
        <v>0</v>
      </c>
      <c r="CY76" s="6">
        <v>0</v>
      </c>
      <c r="CZ76" s="6">
        <f t="shared" si="136"/>
        <v>0</v>
      </c>
      <c r="DA76" s="6">
        <f t="shared" si="137"/>
        <v>0</v>
      </c>
      <c r="DB76" s="6">
        <v>0</v>
      </c>
      <c r="DC76" s="6">
        <f t="shared" si="138"/>
        <v>0</v>
      </c>
      <c r="DD76" s="6">
        <f t="shared" si="139"/>
        <v>0</v>
      </c>
      <c r="DE76" s="6">
        <v>0</v>
      </c>
      <c r="DF76" s="6">
        <f t="shared" si="140"/>
        <v>0</v>
      </c>
      <c r="DG76" s="6">
        <f t="shared" si="141"/>
        <v>0</v>
      </c>
      <c r="DH76" s="6">
        <v>0</v>
      </c>
      <c r="DI76" s="6">
        <f t="shared" si="142"/>
        <v>0</v>
      </c>
      <c r="DJ76" s="6">
        <f t="shared" si="143"/>
        <v>0</v>
      </c>
      <c r="DK76" s="6">
        <v>0</v>
      </c>
      <c r="DL76" s="6">
        <f t="shared" si="144"/>
        <v>0</v>
      </c>
      <c r="DM76" s="6">
        <f t="shared" si="145"/>
        <v>0</v>
      </c>
      <c r="DN76" s="6">
        <v>0</v>
      </c>
      <c r="DO76" s="6">
        <f t="shared" si="146"/>
        <v>0</v>
      </c>
      <c r="DP76" s="6">
        <f t="shared" si="147"/>
        <v>0</v>
      </c>
    </row>
    <row r="77" spans="1:120" x14ac:dyDescent="0.2">
      <c r="A77" s="21">
        <v>85</v>
      </c>
      <c r="B77" s="21" t="s">
        <v>612</v>
      </c>
      <c r="C77" s="21">
        <v>85325</v>
      </c>
      <c r="D77" s="21" t="s">
        <v>670</v>
      </c>
      <c r="E77" s="21" t="s">
        <v>542</v>
      </c>
      <c r="F77" s="22" t="s">
        <v>693</v>
      </c>
      <c r="G77" s="4" t="s">
        <v>189</v>
      </c>
      <c r="H77" s="6">
        <v>24223.05</v>
      </c>
      <c r="I77" s="6">
        <f t="shared" si="79"/>
        <v>66.364520547945204</v>
      </c>
      <c r="J77" s="6">
        <v>14099</v>
      </c>
      <c r="K77" s="6">
        <v>21211.54</v>
      </c>
      <c r="L77" s="6">
        <f>K77/366</f>
        <v>57.955027322404376</v>
      </c>
      <c r="M77" s="6">
        <v>9145</v>
      </c>
      <c r="N77" s="6">
        <v>4293.79</v>
      </c>
      <c r="O77" s="6">
        <f>N77/365</f>
        <v>11.763808219178083</v>
      </c>
      <c r="P77" s="6">
        <v>5253</v>
      </c>
      <c r="Q77" s="6"/>
      <c r="R77" s="6"/>
      <c r="S77" s="6">
        <v>3033</v>
      </c>
      <c r="T77" s="6">
        <f t="shared" si="80"/>
        <v>3033</v>
      </c>
      <c r="U77" s="6">
        <f t="shared" si="81"/>
        <v>8.3095890410958901</v>
      </c>
      <c r="V77" s="6">
        <v>2034</v>
      </c>
      <c r="W77" s="6">
        <f t="shared" si="82"/>
        <v>2034</v>
      </c>
      <c r="X77" s="6">
        <f t="shared" si="83"/>
        <v>5.5726027397260278</v>
      </c>
      <c r="Y77" s="6">
        <v>0</v>
      </c>
      <c r="Z77" s="6">
        <f t="shared" si="84"/>
        <v>0</v>
      </c>
      <c r="AA77" s="6">
        <f t="shared" si="85"/>
        <v>0</v>
      </c>
      <c r="AB77" s="6">
        <v>0</v>
      </c>
      <c r="AC77" s="6">
        <f t="shared" si="86"/>
        <v>0</v>
      </c>
      <c r="AD77" s="6">
        <f t="shared" si="87"/>
        <v>0</v>
      </c>
      <c r="AE77" s="6">
        <v>0</v>
      </c>
      <c r="AF77" s="6">
        <f t="shared" si="88"/>
        <v>0</v>
      </c>
      <c r="AG77" s="6">
        <f t="shared" si="89"/>
        <v>0</v>
      </c>
      <c r="AH77" s="6">
        <v>0</v>
      </c>
      <c r="AI77" s="6">
        <f t="shared" si="90"/>
        <v>0</v>
      </c>
      <c r="AJ77" s="6">
        <f t="shared" si="91"/>
        <v>0</v>
      </c>
      <c r="AK77" s="6">
        <v>0</v>
      </c>
      <c r="AL77" s="6">
        <f t="shared" si="92"/>
        <v>0</v>
      </c>
      <c r="AM77" s="6">
        <f t="shared" si="93"/>
        <v>0</v>
      </c>
      <c r="AN77" s="6">
        <v>0</v>
      </c>
      <c r="AO77" s="6">
        <f t="shared" si="94"/>
        <v>0</v>
      </c>
      <c r="AP77" s="6">
        <f t="shared" si="95"/>
        <v>0</v>
      </c>
      <c r="AQ77" s="6">
        <v>0</v>
      </c>
      <c r="AR77" s="6">
        <f t="shared" si="96"/>
        <v>0</v>
      </c>
      <c r="AS77" s="6">
        <f t="shared" si="97"/>
        <v>0</v>
      </c>
      <c r="AT77" s="6">
        <v>0</v>
      </c>
      <c r="AU77" s="6">
        <f t="shared" si="98"/>
        <v>0</v>
      </c>
      <c r="AV77" s="6">
        <f t="shared" si="99"/>
        <v>0</v>
      </c>
      <c r="AW77" s="6">
        <v>0</v>
      </c>
      <c r="AX77" s="6">
        <f t="shared" si="100"/>
        <v>0</v>
      </c>
      <c r="AY77" s="6">
        <f t="shared" si="101"/>
        <v>0</v>
      </c>
      <c r="AZ77" s="6">
        <v>0</v>
      </c>
      <c r="BA77" s="6">
        <f t="shared" si="102"/>
        <v>0</v>
      </c>
      <c r="BB77" s="6">
        <f t="shared" si="103"/>
        <v>0</v>
      </c>
      <c r="BC77" s="6">
        <v>0</v>
      </c>
      <c r="BD77" s="6">
        <f t="shared" si="104"/>
        <v>0</v>
      </c>
      <c r="BE77" s="6">
        <f t="shared" si="105"/>
        <v>0</v>
      </c>
      <c r="BF77" s="6">
        <v>0</v>
      </c>
      <c r="BG77" s="6">
        <f t="shared" si="106"/>
        <v>0</v>
      </c>
      <c r="BH77" s="6">
        <f t="shared" si="107"/>
        <v>0</v>
      </c>
      <c r="BI77" s="6">
        <v>0</v>
      </c>
      <c r="BJ77" s="6">
        <f t="shared" si="108"/>
        <v>0</v>
      </c>
      <c r="BK77" s="6">
        <f t="shared" si="109"/>
        <v>0</v>
      </c>
      <c r="BL77" s="6">
        <v>0</v>
      </c>
      <c r="BM77" s="6">
        <f t="shared" si="110"/>
        <v>0</v>
      </c>
      <c r="BN77" s="6">
        <f t="shared" si="111"/>
        <v>0</v>
      </c>
      <c r="BO77" s="6">
        <v>0</v>
      </c>
      <c r="BP77" s="6">
        <f t="shared" si="112"/>
        <v>0</v>
      </c>
      <c r="BQ77" s="6">
        <f t="shared" si="113"/>
        <v>0</v>
      </c>
      <c r="BR77" s="6">
        <v>0</v>
      </c>
      <c r="BS77" s="6">
        <f t="shared" si="114"/>
        <v>0</v>
      </c>
      <c r="BT77" s="6">
        <f t="shared" si="115"/>
        <v>0</v>
      </c>
      <c r="BU77" s="6">
        <v>0</v>
      </c>
      <c r="BV77" s="6">
        <f t="shared" si="116"/>
        <v>0</v>
      </c>
      <c r="BW77" s="6">
        <f t="shared" si="117"/>
        <v>0</v>
      </c>
      <c r="BX77" s="6">
        <v>0</v>
      </c>
      <c r="BY77" s="6">
        <f t="shared" si="118"/>
        <v>0</v>
      </c>
      <c r="BZ77" s="6">
        <f t="shared" si="119"/>
        <v>0</v>
      </c>
      <c r="CA77" s="6">
        <v>0</v>
      </c>
      <c r="CB77" s="6">
        <f t="shared" si="120"/>
        <v>0</v>
      </c>
      <c r="CC77" s="6">
        <f t="shared" si="121"/>
        <v>0</v>
      </c>
      <c r="CD77" s="6">
        <v>0</v>
      </c>
      <c r="CE77" s="6">
        <f t="shared" si="122"/>
        <v>0</v>
      </c>
      <c r="CF77" s="6">
        <f t="shared" si="123"/>
        <v>0</v>
      </c>
      <c r="CG77" s="6">
        <v>0</v>
      </c>
      <c r="CH77" s="6">
        <f t="shared" si="124"/>
        <v>0</v>
      </c>
      <c r="CI77" s="6">
        <f t="shared" si="125"/>
        <v>0</v>
      </c>
      <c r="CJ77" s="6">
        <v>0</v>
      </c>
      <c r="CK77" s="6">
        <f t="shared" si="126"/>
        <v>0</v>
      </c>
      <c r="CL77" s="6">
        <f t="shared" si="127"/>
        <v>0</v>
      </c>
      <c r="CM77" s="6">
        <v>0</v>
      </c>
      <c r="CN77" s="6">
        <f t="shared" si="128"/>
        <v>0</v>
      </c>
      <c r="CO77" s="6">
        <f t="shared" si="129"/>
        <v>0</v>
      </c>
      <c r="CP77" s="6">
        <v>0</v>
      </c>
      <c r="CQ77" s="6">
        <f t="shared" si="130"/>
        <v>0</v>
      </c>
      <c r="CR77" s="6">
        <f t="shared" si="131"/>
        <v>0</v>
      </c>
      <c r="CS77" s="6">
        <v>0</v>
      </c>
      <c r="CT77" s="6">
        <f t="shared" si="132"/>
        <v>0</v>
      </c>
      <c r="CU77" s="6">
        <f t="shared" si="133"/>
        <v>0</v>
      </c>
      <c r="CV77" s="6">
        <v>0</v>
      </c>
      <c r="CW77" s="6">
        <f t="shared" si="134"/>
        <v>0</v>
      </c>
      <c r="CX77" s="6">
        <f t="shared" si="135"/>
        <v>0</v>
      </c>
      <c r="CY77" s="6">
        <v>0</v>
      </c>
      <c r="CZ77" s="6">
        <f t="shared" si="136"/>
        <v>0</v>
      </c>
      <c r="DA77" s="6">
        <f t="shared" si="137"/>
        <v>0</v>
      </c>
      <c r="DB77" s="6">
        <v>0</v>
      </c>
      <c r="DC77" s="6">
        <f t="shared" si="138"/>
        <v>0</v>
      </c>
      <c r="DD77" s="6">
        <f t="shared" si="139"/>
        <v>0</v>
      </c>
      <c r="DE77" s="6">
        <v>0</v>
      </c>
      <c r="DF77" s="6">
        <f t="shared" si="140"/>
        <v>0</v>
      </c>
      <c r="DG77" s="6">
        <f t="shared" si="141"/>
        <v>0</v>
      </c>
      <c r="DH77" s="6">
        <v>0</v>
      </c>
      <c r="DI77" s="6">
        <f t="shared" si="142"/>
        <v>0</v>
      </c>
      <c r="DJ77" s="6">
        <f t="shared" si="143"/>
        <v>0</v>
      </c>
      <c r="DK77" s="6">
        <v>0</v>
      </c>
      <c r="DL77" s="6">
        <f t="shared" si="144"/>
        <v>0</v>
      </c>
      <c r="DM77" s="6">
        <f t="shared" si="145"/>
        <v>0</v>
      </c>
      <c r="DN77" s="6">
        <v>0</v>
      </c>
      <c r="DO77" s="6">
        <f t="shared" si="146"/>
        <v>0</v>
      </c>
      <c r="DP77" s="6">
        <f t="shared" si="147"/>
        <v>0</v>
      </c>
    </row>
    <row r="78" spans="1:120" x14ac:dyDescent="0.2">
      <c r="A78" s="23"/>
      <c r="B78" s="23"/>
      <c r="C78" s="23"/>
      <c r="D78" s="23"/>
      <c r="E78" s="23"/>
      <c r="G78" s="4" t="s">
        <v>190</v>
      </c>
      <c r="H78" s="6"/>
      <c r="I78" s="6"/>
      <c r="J78" s="6">
        <v>10364</v>
      </c>
      <c r="K78" s="6"/>
      <c r="L78" s="6"/>
      <c r="M78" s="6">
        <v>47316</v>
      </c>
      <c r="N78" s="6"/>
      <c r="O78" s="6"/>
      <c r="P78" s="6">
        <v>96486</v>
      </c>
      <c r="Q78" s="6"/>
      <c r="R78" s="6"/>
      <c r="S78" s="6">
        <v>100379</v>
      </c>
      <c r="T78" s="6">
        <f t="shared" si="80"/>
        <v>100379</v>
      </c>
      <c r="U78" s="6">
        <f t="shared" si="81"/>
        <v>275.0109589041096</v>
      </c>
      <c r="V78" s="6">
        <v>98553</v>
      </c>
      <c r="W78" s="6">
        <f t="shared" si="82"/>
        <v>98553</v>
      </c>
      <c r="X78" s="6">
        <f t="shared" si="83"/>
        <v>270.00821917808219</v>
      </c>
      <c r="Y78" s="6">
        <v>80658</v>
      </c>
      <c r="Z78" s="6">
        <f t="shared" si="84"/>
        <v>80658</v>
      </c>
      <c r="AA78" s="6">
        <f t="shared" si="85"/>
        <v>220.98082191780821</v>
      </c>
      <c r="AB78" s="6">
        <v>58394</v>
      </c>
      <c r="AC78" s="6">
        <f t="shared" si="86"/>
        <v>58394</v>
      </c>
      <c r="AD78" s="6">
        <f t="shared" si="87"/>
        <v>159.98356164383563</v>
      </c>
      <c r="AE78" s="6">
        <v>37142</v>
      </c>
      <c r="AF78" s="6">
        <f t="shared" si="88"/>
        <v>37142</v>
      </c>
      <c r="AG78" s="6">
        <f t="shared" si="89"/>
        <v>101.75890410958904</v>
      </c>
      <c r="AH78" s="6">
        <v>20216</v>
      </c>
      <c r="AI78" s="6">
        <f t="shared" si="90"/>
        <v>20216</v>
      </c>
      <c r="AJ78" s="6">
        <f t="shared" si="91"/>
        <v>55.386301369863013</v>
      </c>
      <c r="AK78" s="6">
        <v>0</v>
      </c>
      <c r="AL78" s="6">
        <f t="shared" si="92"/>
        <v>0</v>
      </c>
      <c r="AM78" s="6">
        <f t="shared" si="93"/>
        <v>0</v>
      </c>
      <c r="AN78" s="6">
        <v>0</v>
      </c>
      <c r="AO78" s="6">
        <f t="shared" si="94"/>
        <v>0</v>
      </c>
      <c r="AP78" s="6">
        <f t="shared" si="95"/>
        <v>0</v>
      </c>
      <c r="AQ78" s="6">
        <v>0</v>
      </c>
      <c r="AR78" s="6">
        <f t="shared" si="96"/>
        <v>0</v>
      </c>
      <c r="AS78" s="6">
        <f t="shared" si="97"/>
        <v>0</v>
      </c>
      <c r="AT78" s="6">
        <v>0</v>
      </c>
      <c r="AU78" s="6">
        <f t="shared" si="98"/>
        <v>0</v>
      </c>
      <c r="AV78" s="6">
        <f t="shared" si="99"/>
        <v>0</v>
      </c>
      <c r="AW78" s="6">
        <v>0</v>
      </c>
      <c r="AX78" s="6">
        <f t="shared" si="100"/>
        <v>0</v>
      </c>
      <c r="AY78" s="6">
        <f t="shared" si="101"/>
        <v>0</v>
      </c>
      <c r="AZ78" s="6">
        <v>0</v>
      </c>
      <c r="BA78" s="6">
        <f t="shared" si="102"/>
        <v>0</v>
      </c>
      <c r="BB78" s="6">
        <f t="shared" si="103"/>
        <v>0</v>
      </c>
      <c r="BC78" s="6">
        <v>0</v>
      </c>
      <c r="BD78" s="6">
        <f t="shared" si="104"/>
        <v>0</v>
      </c>
      <c r="BE78" s="6">
        <f t="shared" si="105"/>
        <v>0</v>
      </c>
      <c r="BF78" s="6">
        <v>0</v>
      </c>
      <c r="BG78" s="6">
        <f t="shared" si="106"/>
        <v>0</v>
      </c>
      <c r="BH78" s="6">
        <f t="shared" si="107"/>
        <v>0</v>
      </c>
      <c r="BI78" s="6">
        <v>0</v>
      </c>
      <c r="BJ78" s="6">
        <f t="shared" si="108"/>
        <v>0</v>
      </c>
      <c r="BK78" s="6">
        <f t="shared" si="109"/>
        <v>0</v>
      </c>
      <c r="BL78" s="6">
        <v>0</v>
      </c>
      <c r="BM78" s="6">
        <f t="shared" si="110"/>
        <v>0</v>
      </c>
      <c r="BN78" s="6">
        <f t="shared" si="111"/>
        <v>0</v>
      </c>
      <c r="BO78" s="6">
        <v>0</v>
      </c>
      <c r="BP78" s="6">
        <f t="shared" si="112"/>
        <v>0</v>
      </c>
      <c r="BQ78" s="6">
        <f t="shared" si="113"/>
        <v>0</v>
      </c>
      <c r="BR78" s="6">
        <v>0</v>
      </c>
      <c r="BS78" s="6">
        <f t="shared" si="114"/>
        <v>0</v>
      </c>
      <c r="BT78" s="6">
        <f t="shared" si="115"/>
        <v>0</v>
      </c>
      <c r="BU78" s="6">
        <v>0</v>
      </c>
      <c r="BV78" s="6">
        <f t="shared" si="116"/>
        <v>0</v>
      </c>
      <c r="BW78" s="6">
        <f t="shared" si="117"/>
        <v>0</v>
      </c>
      <c r="BX78" s="6">
        <v>0</v>
      </c>
      <c r="BY78" s="6">
        <f t="shared" si="118"/>
        <v>0</v>
      </c>
      <c r="BZ78" s="6">
        <f t="shared" si="119"/>
        <v>0</v>
      </c>
      <c r="CA78" s="6">
        <v>0</v>
      </c>
      <c r="CB78" s="6">
        <f t="shared" si="120"/>
        <v>0</v>
      </c>
      <c r="CC78" s="6">
        <f t="shared" si="121"/>
        <v>0</v>
      </c>
      <c r="CD78" s="6">
        <v>0</v>
      </c>
      <c r="CE78" s="6">
        <f t="shared" si="122"/>
        <v>0</v>
      </c>
      <c r="CF78" s="6">
        <f t="shared" si="123"/>
        <v>0</v>
      </c>
      <c r="CG78" s="6">
        <v>0</v>
      </c>
      <c r="CH78" s="6">
        <f t="shared" si="124"/>
        <v>0</v>
      </c>
      <c r="CI78" s="6">
        <f t="shared" si="125"/>
        <v>0</v>
      </c>
      <c r="CJ78" s="6">
        <v>0</v>
      </c>
      <c r="CK78" s="6">
        <f t="shared" si="126"/>
        <v>0</v>
      </c>
      <c r="CL78" s="6">
        <f t="shared" si="127"/>
        <v>0</v>
      </c>
      <c r="CM78" s="6">
        <v>0</v>
      </c>
      <c r="CN78" s="6">
        <f t="shared" si="128"/>
        <v>0</v>
      </c>
      <c r="CO78" s="6">
        <f t="shared" si="129"/>
        <v>0</v>
      </c>
      <c r="CP78" s="6">
        <v>0</v>
      </c>
      <c r="CQ78" s="6">
        <f t="shared" si="130"/>
        <v>0</v>
      </c>
      <c r="CR78" s="6">
        <f t="shared" si="131"/>
        <v>0</v>
      </c>
      <c r="CS78" s="6">
        <v>0</v>
      </c>
      <c r="CT78" s="6">
        <f t="shared" si="132"/>
        <v>0</v>
      </c>
      <c r="CU78" s="6">
        <f t="shared" si="133"/>
        <v>0</v>
      </c>
      <c r="CV78" s="6">
        <v>0</v>
      </c>
      <c r="CW78" s="6">
        <f t="shared" si="134"/>
        <v>0</v>
      </c>
      <c r="CX78" s="6">
        <f t="shared" si="135"/>
        <v>0</v>
      </c>
      <c r="CY78" s="6">
        <v>0</v>
      </c>
      <c r="CZ78" s="6">
        <f t="shared" si="136"/>
        <v>0</v>
      </c>
      <c r="DA78" s="6">
        <f t="shared" si="137"/>
        <v>0</v>
      </c>
      <c r="DB78" s="6">
        <v>0</v>
      </c>
      <c r="DC78" s="6">
        <f t="shared" si="138"/>
        <v>0</v>
      </c>
      <c r="DD78" s="6">
        <f t="shared" si="139"/>
        <v>0</v>
      </c>
      <c r="DE78" s="6">
        <v>0</v>
      </c>
      <c r="DF78" s="6">
        <f t="shared" si="140"/>
        <v>0</v>
      </c>
      <c r="DG78" s="6">
        <f t="shared" si="141"/>
        <v>0</v>
      </c>
      <c r="DH78" s="6">
        <v>0</v>
      </c>
      <c r="DI78" s="6">
        <f t="shared" si="142"/>
        <v>0</v>
      </c>
      <c r="DJ78" s="6">
        <f t="shared" si="143"/>
        <v>0</v>
      </c>
      <c r="DK78" s="6">
        <v>0</v>
      </c>
      <c r="DL78" s="6">
        <f t="shared" si="144"/>
        <v>0</v>
      </c>
      <c r="DM78" s="6">
        <f t="shared" si="145"/>
        <v>0</v>
      </c>
      <c r="DN78" s="6">
        <v>0</v>
      </c>
      <c r="DO78" s="6">
        <f t="shared" si="146"/>
        <v>0</v>
      </c>
      <c r="DP78" s="6">
        <f t="shared" si="147"/>
        <v>0</v>
      </c>
    </row>
    <row r="79" spans="1:120" x14ac:dyDescent="0.2">
      <c r="A79" s="21">
        <v>85</v>
      </c>
      <c r="B79" s="21" t="s">
        <v>612</v>
      </c>
      <c r="C79" s="21">
        <v>85250</v>
      </c>
      <c r="D79" s="21" t="s">
        <v>663</v>
      </c>
      <c r="E79" s="21" t="s">
        <v>611</v>
      </c>
      <c r="F79" s="22" t="s">
        <v>662</v>
      </c>
      <c r="G79" s="4" t="s">
        <v>191</v>
      </c>
      <c r="H79" s="6">
        <v>940173.77</v>
      </c>
      <c r="I79" s="6">
        <f t="shared" ref="I79:I99" si="148">H79/365</f>
        <v>2575.8185479452054</v>
      </c>
      <c r="J79" s="6">
        <v>879669.13740000001</v>
      </c>
      <c r="K79" s="6">
        <v>1682676.48</v>
      </c>
      <c r="L79" s="6">
        <f t="shared" ref="L79:L99" si="149">K79/366</f>
        <v>4597.4767213114756</v>
      </c>
      <c r="M79" s="6">
        <v>720218.54749999999</v>
      </c>
      <c r="N79" s="6">
        <v>1583550.89</v>
      </c>
      <c r="O79" s="6">
        <f t="shared" ref="O79:O96" si="150">N79/365</f>
        <v>4338.4955890410956</v>
      </c>
      <c r="P79" s="6">
        <v>557504.62829999998</v>
      </c>
      <c r="Q79" s="6">
        <v>697377.44</v>
      </c>
      <c r="R79" s="6">
        <f t="shared" ref="R79:R96" si="151">Q79/181</f>
        <v>3852.9140331491708</v>
      </c>
      <c r="S79" s="6">
        <v>430718.1188</v>
      </c>
      <c r="T79" s="6">
        <f t="shared" si="80"/>
        <v>430718.1188</v>
      </c>
      <c r="U79" s="6">
        <f t="shared" si="81"/>
        <v>1180.0496405479453</v>
      </c>
      <c r="V79" s="6">
        <v>334936.68</v>
      </c>
      <c r="W79" s="6">
        <f t="shared" si="82"/>
        <v>334936.68</v>
      </c>
      <c r="X79" s="6">
        <f t="shared" si="83"/>
        <v>917.63473972602742</v>
      </c>
      <c r="Y79" s="6">
        <v>262368.63630000001</v>
      </c>
      <c r="Z79" s="6">
        <f t="shared" si="84"/>
        <v>262368.63630000001</v>
      </c>
      <c r="AA79" s="6">
        <f t="shared" si="85"/>
        <v>718.8181816438356</v>
      </c>
      <c r="AB79" s="6">
        <v>207199.2481</v>
      </c>
      <c r="AC79" s="6">
        <f t="shared" si="86"/>
        <v>207199.2481</v>
      </c>
      <c r="AD79" s="6">
        <f t="shared" si="87"/>
        <v>567.66917287671231</v>
      </c>
      <c r="AE79" s="6">
        <v>127179.927</v>
      </c>
      <c r="AF79" s="6">
        <f t="shared" si="88"/>
        <v>127179.927</v>
      </c>
      <c r="AG79" s="6">
        <f t="shared" si="89"/>
        <v>348.43815616438354</v>
      </c>
      <c r="AH79" s="6">
        <v>0</v>
      </c>
      <c r="AI79" s="6">
        <f t="shared" si="90"/>
        <v>0</v>
      </c>
      <c r="AJ79" s="6">
        <f t="shared" si="91"/>
        <v>0</v>
      </c>
      <c r="AK79" s="6">
        <v>0</v>
      </c>
      <c r="AL79" s="6">
        <f t="shared" si="92"/>
        <v>0</v>
      </c>
      <c r="AM79" s="6">
        <f t="shared" si="93"/>
        <v>0</v>
      </c>
      <c r="AN79" s="6">
        <v>0</v>
      </c>
      <c r="AO79" s="6">
        <f t="shared" si="94"/>
        <v>0</v>
      </c>
      <c r="AP79" s="6">
        <f t="shared" si="95"/>
        <v>0</v>
      </c>
      <c r="AQ79" s="6">
        <v>0</v>
      </c>
      <c r="AR79" s="6">
        <f t="shared" si="96"/>
        <v>0</v>
      </c>
      <c r="AS79" s="6">
        <f t="shared" si="97"/>
        <v>0</v>
      </c>
      <c r="AT79" s="6">
        <v>0</v>
      </c>
      <c r="AU79" s="6">
        <f t="shared" si="98"/>
        <v>0</v>
      </c>
      <c r="AV79" s="6">
        <f t="shared" si="99"/>
        <v>0</v>
      </c>
      <c r="AW79" s="6">
        <v>0</v>
      </c>
      <c r="AX79" s="6">
        <f t="shared" si="100"/>
        <v>0</v>
      </c>
      <c r="AY79" s="6">
        <f t="shared" si="101"/>
        <v>0</v>
      </c>
      <c r="AZ79" s="6">
        <v>0</v>
      </c>
      <c r="BA79" s="6">
        <f t="shared" si="102"/>
        <v>0</v>
      </c>
      <c r="BB79" s="6">
        <f t="shared" si="103"/>
        <v>0</v>
      </c>
      <c r="BC79" s="6">
        <v>0</v>
      </c>
      <c r="BD79" s="6">
        <f t="shared" si="104"/>
        <v>0</v>
      </c>
      <c r="BE79" s="6">
        <f t="shared" si="105"/>
        <v>0</v>
      </c>
      <c r="BF79" s="6">
        <v>0</v>
      </c>
      <c r="BG79" s="6">
        <f t="shared" si="106"/>
        <v>0</v>
      </c>
      <c r="BH79" s="6">
        <f t="shared" si="107"/>
        <v>0</v>
      </c>
      <c r="BI79" s="6">
        <v>0</v>
      </c>
      <c r="BJ79" s="6">
        <f t="shared" si="108"/>
        <v>0</v>
      </c>
      <c r="BK79" s="6">
        <f t="shared" si="109"/>
        <v>0</v>
      </c>
      <c r="BL79" s="6">
        <v>0</v>
      </c>
      <c r="BM79" s="6">
        <f t="shared" si="110"/>
        <v>0</v>
      </c>
      <c r="BN79" s="6">
        <f t="shared" si="111"/>
        <v>0</v>
      </c>
      <c r="BO79" s="6">
        <v>0</v>
      </c>
      <c r="BP79" s="6">
        <f t="shared" si="112"/>
        <v>0</v>
      </c>
      <c r="BQ79" s="6">
        <f t="shared" si="113"/>
        <v>0</v>
      </c>
      <c r="BR79" s="6">
        <v>0</v>
      </c>
      <c r="BS79" s="6">
        <f t="shared" si="114"/>
        <v>0</v>
      </c>
      <c r="BT79" s="6">
        <f t="shared" si="115"/>
        <v>0</v>
      </c>
      <c r="BU79" s="6">
        <v>0</v>
      </c>
      <c r="BV79" s="6">
        <f t="shared" si="116"/>
        <v>0</v>
      </c>
      <c r="BW79" s="6">
        <f t="shared" si="117"/>
        <v>0</v>
      </c>
      <c r="BX79" s="6">
        <v>0</v>
      </c>
      <c r="BY79" s="6">
        <f t="shared" si="118"/>
        <v>0</v>
      </c>
      <c r="BZ79" s="6">
        <f t="shared" si="119"/>
        <v>0</v>
      </c>
      <c r="CA79" s="6">
        <v>0</v>
      </c>
      <c r="CB79" s="6">
        <f t="shared" si="120"/>
        <v>0</v>
      </c>
      <c r="CC79" s="6">
        <f t="shared" si="121"/>
        <v>0</v>
      </c>
      <c r="CD79" s="6">
        <v>0</v>
      </c>
      <c r="CE79" s="6">
        <f t="shared" si="122"/>
        <v>0</v>
      </c>
      <c r="CF79" s="6">
        <f t="shared" si="123"/>
        <v>0</v>
      </c>
      <c r="CG79" s="6">
        <v>0</v>
      </c>
      <c r="CH79" s="6">
        <f t="shared" si="124"/>
        <v>0</v>
      </c>
      <c r="CI79" s="6">
        <f t="shared" si="125"/>
        <v>0</v>
      </c>
      <c r="CJ79" s="6">
        <v>0</v>
      </c>
      <c r="CK79" s="6">
        <f t="shared" si="126"/>
        <v>0</v>
      </c>
      <c r="CL79" s="6">
        <f t="shared" si="127"/>
        <v>0</v>
      </c>
      <c r="CM79" s="6">
        <v>0</v>
      </c>
      <c r="CN79" s="6">
        <f t="shared" si="128"/>
        <v>0</v>
      </c>
      <c r="CO79" s="6">
        <f t="shared" si="129"/>
        <v>0</v>
      </c>
      <c r="CP79" s="6">
        <v>0</v>
      </c>
      <c r="CQ79" s="6">
        <f t="shared" si="130"/>
        <v>0</v>
      </c>
      <c r="CR79" s="6">
        <f t="shared" si="131"/>
        <v>0</v>
      </c>
      <c r="CS79" s="6">
        <v>0</v>
      </c>
      <c r="CT79" s="6">
        <f t="shared" si="132"/>
        <v>0</v>
      </c>
      <c r="CU79" s="6">
        <f t="shared" si="133"/>
        <v>0</v>
      </c>
      <c r="CV79" s="6">
        <v>0</v>
      </c>
      <c r="CW79" s="6">
        <f t="shared" si="134"/>
        <v>0</v>
      </c>
      <c r="CX79" s="6">
        <f t="shared" si="135"/>
        <v>0</v>
      </c>
      <c r="CY79" s="6">
        <v>0</v>
      </c>
      <c r="CZ79" s="6">
        <f t="shared" si="136"/>
        <v>0</v>
      </c>
      <c r="DA79" s="6">
        <f t="shared" si="137"/>
        <v>0</v>
      </c>
      <c r="DB79" s="6">
        <v>0</v>
      </c>
      <c r="DC79" s="6">
        <f t="shared" si="138"/>
        <v>0</v>
      </c>
      <c r="DD79" s="6">
        <f t="shared" si="139"/>
        <v>0</v>
      </c>
      <c r="DE79" s="6">
        <v>0</v>
      </c>
      <c r="DF79" s="6">
        <f t="shared" si="140"/>
        <v>0</v>
      </c>
      <c r="DG79" s="6">
        <f t="shared" si="141"/>
        <v>0</v>
      </c>
      <c r="DH79" s="6">
        <v>0</v>
      </c>
      <c r="DI79" s="6">
        <f t="shared" si="142"/>
        <v>0</v>
      </c>
      <c r="DJ79" s="6">
        <f t="shared" si="143"/>
        <v>0</v>
      </c>
      <c r="DK79" s="6">
        <v>0</v>
      </c>
      <c r="DL79" s="6">
        <f t="shared" si="144"/>
        <v>0</v>
      </c>
      <c r="DM79" s="6">
        <f t="shared" si="145"/>
        <v>0</v>
      </c>
      <c r="DN79" s="6">
        <v>0</v>
      </c>
      <c r="DO79" s="6">
        <f t="shared" si="146"/>
        <v>0</v>
      </c>
      <c r="DP79" s="6">
        <f t="shared" si="147"/>
        <v>0</v>
      </c>
    </row>
    <row r="80" spans="1:120" x14ac:dyDescent="0.2">
      <c r="A80" s="21">
        <v>73</v>
      </c>
      <c r="B80" s="21" t="s">
        <v>582</v>
      </c>
      <c r="C80" s="21">
        <v>73585</v>
      </c>
      <c r="D80" s="21" t="s">
        <v>709</v>
      </c>
      <c r="E80" s="21" t="s">
        <v>575</v>
      </c>
      <c r="F80" s="22" t="s">
        <v>666</v>
      </c>
      <c r="G80" s="4" t="s">
        <v>192</v>
      </c>
      <c r="H80" s="6">
        <v>16446.759999999998</v>
      </c>
      <c r="I80" s="6">
        <f t="shared" si="148"/>
        <v>45.059616438356159</v>
      </c>
      <c r="J80" s="6">
        <v>14352.616400000001</v>
      </c>
      <c r="K80" s="6">
        <v>15202.56</v>
      </c>
      <c r="L80" s="6">
        <f t="shared" si="149"/>
        <v>41.53704918032787</v>
      </c>
      <c r="M80" s="6">
        <v>12738.928900000001</v>
      </c>
      <c r="N80" s="6">
        <v>16408.61</v>
      </c>
      <c r="O80" s="6">
        <f t="shared" si="150"/>
        <v>44.955095890410959</v>
      </c>
      <c r="P80" s="6">
        <v>11337.649600000001</v>
      </c>
      <c r="Q80" s="6">
        <v>9051.9599999999991</v>
      </c>
      <c r="R80" s="6">
        <f t="shared" si="151"/>
        <v>50.010828729281762</v>
      </c>
      <c r="S80" s="6">
        <v>10090.512000000001</v>
      </c>
      <c r="T80" s="6">
        <f t="shared" si="80"/>
        <v>10090.512000000001</v>
      </c>
      <c r="U80" s="6">
        <f t="shared" si="81"/>
        <v>27.645238356164384</v>
      </c>
      <c r="V80" s="6">
        <v>9005.1646999999994</v>
      </c>
      <c r="W80" s="6">
        <f t="shared" si="82"/>
        <v>9005.1646999999994</v>
      </c>
      <c r="X80" s="6">
        <f t="shared" si="83"/>
        <v>24.671684109589041</v>
      </c>
      <c r="Y80" s="6">
        <v>7992.7040999999999</v>
      </c>
      <c r="Z80" s="6">
        <f t="shared" si="84"/>
        <v>7992.7040999999999</v>
      </c>
      <c r="AA80" s="6">
        <f t="shared" si="85"/>
        <v>21.897819452054794</v>
      </c>
      <c r="AB80" s="6">
        <v>7113.5123000000003</v>
      </c>
      <c r="AC80" s="6">
        <f t="shared" si="86"/>
        <v>7113.5123000000003</v>
      </c>
      <c r="AD80" s="6">
        <f t="shared" si="87"/>
        <v>19.489074794520548</v>
      </c>
      <c r="AE80" s="6">
        <v>6331.0317999999997</v>
      </c>
      <c r="AF80" s="6">
        <f t="shared" si="88"/>
        <v>6331.0317999999997</v>
      </c>
      <c r="AG80" s="6">
        <f t="shared" si="89"/>
        <v>17.345292602739725</v>
      </c>
      <c r="AH80" s="6">
        <v>0</v>
      </c>
      <c r="AI80" s="6">
        <f t="shared" si="90"/>
        <v>0</v>
      </c>
      <c r="AJ80" s="6">
        <f t="shared" si="91"/>
        <v>0</v>
      </c>
      <c r="AK80" s="6">
        <v>0</v>
      </c>
      <c r="AL80" s="6">
        <f t="shared" si="92"/>
        <v>0</v>
      </c>
      <c r="AM80" s="6">
        <f t="shared" si="93"/>
        <v>0</v>
      </c>
      <c r="AN80" s="6">
        <v>0</v>
      </c>
      <c r="AO80" s="6">
        <f t="shared" si="94"/>
        <v>0</v>
      </c>
      <c r="AP80" s="6">
        <f t="shared" si="95"/>
        <v>0</v>
      </c>
      <c r="AQ80" s="6">
        <v>0</v>
      </c>
      <c r="AR80" s="6">
        <f t="shared" si="96"/>
        <v>0</v>
      </c>
      <c r="AS80" s="6">
        <f t="shared" si="97"/>
        <v>0</v>
      </c>
      <c r="AT80" s="6">
        <v>0</v>
      </c>
      <c r="AU80" s="6">
        <f t="shared" si="98"/>
        <v>0</v>
      </c>
      <c r="AV80" s="6">
        <f t="shared" si="99"/>
        <v>0</v>
      </c>
      <c r="AW80" s="6">
        <v>0</v>
      </c>
      <c r="AX80" s="6">
        <f t="shared" si="100"/>
        <v>0</v>
      </c>
      <c r="AY80" s="6">
        <f t="shared" si="101"/>
        <v>0</v>
      </c>
      <c r="AZ80" s="6">
        <v>0</v>
      </c>
      <c r="BA80" s="6">
        <f t="shared" si="102"/>
        <v>0</v>
      </c>
      <c r="BB80" s="6">
        <f t="shared" si="103"/>
        <v>0</v>
      </c>
      <c r="BC80" s="6">
        <v>0</v>
      </c>
      <c r="BD80" s="6">
        <f t="shared" si="104"/>
        <v>0</v>
      </c>
      <c r="BE80" s="6">
        <f t="shared" si="105"/>
        <v>0</v>
      </c>
      <c r="BF80" s="6">
        <v>0</v>
      </c>
      <c r="BG80" s="6">
        <f t="shared" si="106"/>
        <v>0</v>
      </c>
      <c r="BH80" s="6">
        <f t="shared" si="107"/>
        <v>0</v>
      </c>
      <c r="BI80" s="6">
        <v>0</v>
      </c>
      <c r="BJ80" s="6">
        <f t="shared" si="108"/>
        <v>0</v>
      </c>
      <c r="BK80" s="6">
        <f t="shared" si="109"/>
        <v>0</v>
      </c>
      <c r="BL80" s="6">
        <v>0</v>
      </c>
      <c r="BM80" s="6">
        <f t="shared" si="110"/>
        <v>0</v>
      </c>
      <c r="BN80" s="6">
        <f t="shared" si="111"/>
        <v>0</v>
      </c>
      <c r="BO80" s="6">
        <v>0</v>
      </c>
      <c r="BP80" s="6">
        <f t="shared" si="112"/>
        <v>0</v>
      </c>
      <c r="BQ80" s="6">
        <f t="shared" si="113"/>
        <v>0</v>
      </c>
      <c r="BR80" s="6">
        <v>0</v>
      </c>
      <c r="BS80" s="6">
        <f t="shared" si="114"/>
        <v>0</v>
      </c>
      <c r="BT80" s="6">
        <f t="shared" si="115"/>
        <v>0</v>
      </c>
      <c r="BU80" s="6">
        <v>0</v>
      </c>
      <c r="BV80" s="6">
        <f t="shared" si="116"/>
        <v>0</v>
      </c>
      <c r="BW80" s="6">
        <f t="shared" si="117"/>
        <v>0</v>
      </c>
      <c r="BX80" s="6">
        <v>0</v>
      </c>
      <c r="BY80" s="6">
        <f t="shared" si="118"/>
        <v>0</v>
      </c>
      <c r="BZ80" s="6">
        <f t="shared" si="119"/>
        <v>0</v>
      </c>
      <c r="CA80" s="6">
        <v>0</v>
      </c>
      <c r="CB80" s="6">
        <f t="shared" si="120"/>
        <v>0</v>
      </c>
      <c r="CC80" s="6">
        <f t="shared" si="121"/>
        <v>0</v>
      </c>
      <c r="CD80" s="6">
        <v>0</v>
      </c>
      <c r="CE80" s="6">
        <f t="shared" si="122"/>
        <v>0</v>
      </c>
      <c r="CF80" s="6">
        <f t="shared" si="123"/>
        <v>0</v>
      </c>
      <c r="CG80" s="6">
        <v>0</v>
      </c>
      <c r="CH80" s="6">
        <f t="shared" si="124"/>
        <v>0</v>
      </c>
      <c r="CI80" s="6">
        <f t="shared" si="125"/>
        <v>0</v>
      </c>
      <c r="CJ80" s="6">
        <v>0</v>
      </c>
      <c r="CK80" s="6">
        <f t="shared" si="126"/>
        <v>0</v>
      </c>
      <c r="CL80" s="6">
        <f t="shared" si="127"/>
        <v>0</v>
      </c>
      <c r="CM80" s="6">
        <v>0</v>
      </c>
      <c r="CN80" s="6">
        <f t="shared" si="128"/>
        <v>0</v>
      </c>
      <c r="CO80" s="6">
        <f t="shared" si="129"/>
        <v>0</v>
      </c>
      <c r="CP80" s="6">
        <v>0</v>
      </c>
      <c r="CQ80" s="6">
        <f t="shared" si="130"/>
        <v>0</v>
      </c>
      <c r="CR80" s="6">
        <f t="shared" si="131"/>
        <v>0</v>
      </c>
      <c r="CS80" s="6">
        <v>0</v>
      </c>
      <c r="CT80" s="6">
        <f t="shared" si="132"/>
        <v>0</v>
      </c>
      <c r="CU80" s="6">
        <f t="shared" si="133"/>
        <v>0</v>
      </c>
      <c r="CV80" s="6">
        <v>0</v>
      </c>
      <c r="CW80" s="6">
        <f t="shared" si="134"/>
        <v>0</v>
      </c>
      <c r="CX80" s="6">
        <f t="shared" si="135"/>
        <v>0</v>
      </c>
      <c r="CY80" s="6">
        <v>0</v>
      </c>
      <c r="CZ80" s="6">
        <f t="shared" si="136"/>
        <v>0</v>
      </c>
      <c r="DA80" s="6">
        <f t="shared" si="137"/>
        <v>0</v>
      </c>
      <c r="DB80" s="6">
        <v>0</v>
      </c>
      <c r="DC80" s="6">
        <f t="shared" si="138"/>
        <v>0</v>
      </c>
      <c r="DD80" s="6">
        <f t="shared" si="139"/>
        <v>0</v>
      </c>
      <c r="DE80" s="6">
        <v>0</v>
      </c>
      <c r="DF80" s="6">
        <f t="shared" si="140"/>
        <v>0</v>
      </c>
      <c r="DG80" s="6">
        <f t="shared" si="141"/>
        <v>0</v>
      </c>
      <c r="DH80" s="6">
        <v>0</v>
      </c>
      <c r="DI80" s="6">
        <f t="shared" si="142"/>
        <v>0</v>
      </c>
      <c r="DJ80" s="6">
        <f t="shared" si="143"/>
        <v>0</v>
      </c>
      <c r="DK80" s="6">
        <v>0</v>
      </c>
      <c r="DL80" s="6">
        <f t="shared" si="144"/>
        <v>0</v>
      </c>
      <c r="DM80" s="6">
        <f t="shared" si="145"/>
        <v>0</v>
      </c>
      <c r="DN80" s="6">
        <v>0</v>
      </c>
      <c r="DO80" s="6">
        <f t="shared" si="146"/>
        <v>0</v>
      </c>
      <c r="DP80" s="6">
        <f t="shared" si="147"/>
        <v>0</v>
      </c>
    </row>
    <row r="81" spans="1:120" x14ac:dyDescent="0.2">
      <c r="A81" s="21">
        <v>50</v>
      </c>
      <c r="B81" s="21" t="s">
        <v>675</v>
      </c>
      <c r="C81" s="21">
        <v>50006</v>
      </c>
      <c r="D81" s="21" t="s">
        <v>676</v>
      </c>
      <c r="E81" s="21" t="s">
        <v>522</v>
      </c>
      <c r="F81" s="22" t="s">
        <v>666</v>
      </c>
      <c r="G81" s="4" t="s">
        <v>193</v>
      </c>
      <c r="H81" s="6">
        <v>14078568.810000001</v>
      </c>
      <c r="I81" s="6">
        <f t="shared" si="148"/>
        <v>38571.421397260274</v>
      </c>
      <c r="J81" s="6">
        <v>14844863</v>
      </c>
      <c r="K81" s="6">
        <v>13620213.630000001</v>
      </c>
      <c r="L81" s="6">
        <f t="shared" si="149"/>
        <v>37213.698442622954</v>
      </c>
      <c r="M81" s="6">
        <v>13298547</v>
      </c>
      <c r="N81" s="6">
        <v>13914054.369999999</v>
      </c>
      <c r="O81" s="6">
        <f t="shared" si="150"/>
        <v>38120.696904109587</v>
      </c>
      <c r="P81" s="6">
        <v>12158915</v>
      </c>
      <c r="Q81" s="6">
        <v>6645638.6799999997</v>
      </c>
      <c r="R81" s="6">
        <f t="shared" si="151"/>
        <v>36716.235801104973</v>
      </c>
      <c r="S81" s="6">
        <v>11115319</v>
      </c>
      <c r="T81" s="6">
        <f t="shared" si="80"/>
        <v>11115319</v>
      </c>
      <c r="U81" s="6">
        <f t="shared" si="81"/>
        <v>30452.928767123289</v>
      </c>
      <c r="V81" s="6">
        <v>9654435</v>
      </c>
      <c r="W81" s="6">
        <f t="shared" si="82"/>
        <v>9654435</v>
      </c>
      <c r="X81" s="6">
        <f t="shared" si="83"/>
        <v>26450.506849315068</v>
      </c>
      <c r="Y81" s="6">
        <v>8345318</v>
      </c>
      <c r="Z81" s="6">
        <f t="shared" si="84"/>
        <v>8345318</v>
      </c>
      <c r="AA81" s="6">
        <f t="shared" si="85"/>
        <v>22863.884931506851</v>
      </c>
      <c r="AB81" s="6">
        <v>7243544</v>
      </c>
      <c r="AC81" s="6">
        <f t="shared" si="86"/>
        <v>7243544</v>
      </c>
      <c r="AD81" s="6">
        <f t="shared" si="87"/>
        <v>19845.326027397259</v>
      </c>
      <c r="AE81" s="6">
        <v>6253061</v>
      </c>
      <c r="AF81" s="6">
        <f t="shared" si="88"/>
        <v>6253061</v>
      </c>
      <c r="AG81" s="6">
        <f t="shared" si="89"/>
        <v>17131.673972602741</v>
      </c>
      <c r="AH81" s="6">
        <v>5408584</v>
      </c>
      <c r="AI81" s="6">
        <f t="shared" si="90"/>
        <v>5408584</v>
      </c>
      <c r="AJ81" s="6">
        <f t="shared" si="91"/>
        <v>14818.038356164383</v>
      </c>
      <c r="AK81" s="6">
        <v>4638410</v>
      </c>
      <c r="AL81" s="6">
        <f t="shared" si="92"/>
        <v>4638410</v>
      </c>
      <c r="AM81" s="6">
        <f t="shared" si="93"/>
        <v>12707.972602739726</v>
      </c>
      <c r="AN81" s="6">
        <v>3977912</v>
      </c>
      <c r="AO81" s="6">
        <f t="shared" si="94"/>
        <v>3977912</v>
      </c>
      <c r="AP81" s="6">
        <f t="shared" si="95"/>
        <v>10898.38904109589</v>
      </c>
      <c r="AQ81" s="6">
        <v>3450491</v>
      </c>
      <c r="AR81" s="6">
        <f t="shared" si="96"/>
        <v>3450491</v>
      </c>
      <c r="AS81" s="6">
        <f t="shared" si="97"/>
        <v>9453.4</v>
      </c>
      <c r="AT81" s="6">
        <v>2998149</v>
      </c>
      <c r="AU81" s="6">
        <f t="shared" si="98"/>
        <v>2998149</v>
      </c>
      <c r="AV81" s="6">
        <f t="shared" si="99"/>
        <v>8214.1068493150688</v>
      </c>
      <c r="AW81" s="6">
        <v>2578451</v>
      </c>
      <c r="AX81" s="6">
        <f t="shared" si="100"/>
        <v>2578451</v>
      </c>
      <c r="AY81" s="6">
        <f t="shared" si="101"/>
        <v>7064.2493150684932</v>
      </c>
      <c r="AZ81" s="6">
        <v>0</v>
      </c>
      <c r="BA81" s="6">
        <f t="shared" si="102"/>
        <v>0</v>
      </c>
      <c r="BB81" s="6">
        <f t="shared" si="103"/>
        <v>0</v>
      </c>
      <c r="BC81" s="6">
        <v>0</v>
      </c>
      <c r="BD81" s="6">
        <f t="shared" si="104"/>
        <v>0</v>
      </c>
      <c r="BE81" s="6">
        <f t="shared" si="105"/>
        <v>0</v>
      </c>
      <c r="BF81" s="6">
        <v>0</v>
      </c>
      <c r="BG81" s="6">
        <f t="shared" si="106"/>
        <v>0</v>
      </c>
      <c r="BH81" s="6">
        <f t="shared" si="107"/>
        <v>0</v>
      </c>
      <c r="BI81" s="6">
        <v>0</v>
      </c>
      <c r="BJ81" s="6">
        <f t="shared" si="108"/>
        <v>0</v>
      </c>
      <c r="BK81" s="6">
        <f t="shared" si="109"/>
        <v>0</v>
      </c>
      <c r="BL81" s="6">
        <v>0</v>
      </c>
      <c r="BM81" s="6">
        <f t="shared" si="110"/>
        <v>0</v>
      </c>
      <c r="BN81" s="6">
        <f t="shared" si="111"/>
        <v>0</v>
      </c>
      <c r="BO81" s="6">
        <v>0</v>
      </c>
      <c r="BP81" s="6">
        <f t="shared" si="112"/>
        <v>0</v>
      </c>
      <c r="BQ81" s="6">
        <f t="shared" si="113"/>
        <v>0</v>
      </c>
      <c r="BR81" s="6">
        <v>0</v>
      </c>
      <c r="BS81" s="6">
        <f t="shared" si="114"/>
        <v>0</v>
      </c>
      <c r="BT81" s="6">
        <f t="shared" si="115"/>
        <v>0</v>
      </c>
      <c r="BU81" s="6">
        <v>0</v>
      </c>
      <c r="BV81" s="6">
        <f t="shared" si="116"/>
        <v>0</v>
      </c>
      <c r="BW81" s="6">
        <f t="shared" si="117"/>
        <v>0</v>
      </c>
      <c r="BX81" s="6">
        <v>0</v>
      </c>
      <c r="BY81" s="6">
        <f t="shared" si="118"/>
        <v>0</v>
      </c>
      <c r="BZ81" s="6">
        <f t="shared" si="119"/>
        <v>0</v>
      </c>
      <c r="CA81" s="6">
        <v>0</v>
      </c>
      <c r="CB81" s="6">
        <f t="shared" si="120"/>
        <v>0</v>
      </c>
      <c r="CC81" s="6">
        <f t="shared" si="121"/>
        <v>0</v>
      </c>
      <c r="CD81" s="6">
        <v>0</v>
      </c>
      <c r="CE81" s="6">
        <f t="shared" si="122"/>
        <v>0</v>
      </c>
      <c r="CF81" s="6">
        <f t="shared" si="123"/>
        <v>0</v>
      </c>
      <c r="CG81" s="6">
        <v>0</v>
      </c>
      <c r="CH81" s="6">
        <f t="shared" si="124"/>
        <v>0</v>
      </c>
      <c r="CI81" s="6">
        <f t="shared" si="125"/>
        <v>0</v>
      </c>
      <c r="CJ81" s="6">
        <v>0</v>
      </c>
      <c r="CK81" s="6">
        <f t="shared" si="126"/>
        <v>0</v>
      </c>
      <c r="CL81" s="6">
        <f t="shared" si="127"/>
        <v>0</v>
      </c>
      <c r="CM81" s="6">
        <v>0</v>
      </c>
      <c r="CN81" s="6">
        <f t="shared" si="128"/>
        <v>0</v>
      </c>
      <c r="CO81" s="6">
        <f t="shared" si="129"/>
        <v>0</v>
      </c>
      <c r="CP81" s="6">
        <v>0</v>
      </c>
      <c r="CQ81" s="6">
        <f t="shared" si="130"/>
        <v>0</v>
      </c>
      <c r="CR81" s="6">
        <f t="shared" si="131"/>
        <v>0</v>
      </c>
      <c r="CS81" s="6">
        <v>0</v>
      </c>
      <c r="CT81" s="6">
        <f t="shared" si="132"/>
        <v>0</v>
      </c>
      <c r="CU81" s="6">
        <f t="shared" si="133"/>
        <v>0</v>
      </c>
      <c r="CV81" s="6">
        <v>0</v>
      </c>
      <c r="CW81" s="6">
        <f t="shared" si="134"/>
        <v>0</v>
      </c>
      <c r="CX81" s="6">
        <f t="shared" si="135"/>
        <v>0</v>
      </c>
      <c r="CY81" s="6">
        <v>0</v>
      </c>
      <c r="CZ81" s="6">
        <f t="shared" si="136"/>
        <v>0</v>
      </c>
      <c r="DA81" s="6">
        <f t="shared" si="137"/>
        <v>0</v>
      </c>
      <c r="DB81" s="6">
        <v>0</v>
      </c>
      <c r="DC81" s="6">
        <f t="shared" si="138"/>
        <v>0</v>
      </c>
      <c r="DD81" s="6">
        <f t="shared" si="139"/>
        <v>0</v>
      </c>
      <c r="DE81" s="6">
        <v>0</v>
      </c>
      <c r="DF81" s="6">
        <f t="shared" si="140"/>
        <v>0</v>
      </c>
      <c r="DG81" s="6">
        <f t="shared" si="141"/>
        <v>0</v>
      </c>
      <c r="DH81" s="6">
        <v>0</v>
      </c>
      <c r="DI81" s="6">
        <f t="shared" si="142"/>
        <v>0</v>
      </c>
      <c r="DJ81" s="6">
        <f t="shared" si="143"/>
        <v>0</v>
      </c>
      <c r="DK81" s="6">
        <v>0</v>
      </c>
      <c r="DL81" s="6">
        <f t="shared" si="144"/>
        <v>0</v>
      </c>
      <c r="DM81" s="6">
        <f t="shared" si="145"/>
        <v>0</v>
      </c>
      <c r="DN81" s="6">
        <v>0</v>
      </c>
      <c r="DO81" s="6">
        <f t="shared" si="146"/>
        <v>0</v>
      </c>
      <c r="DP81" s="6">
        <f t="shared" si="147"/>
        <v>0</v>
      </c>
    </row>
    <row r="82" spans="1:120" x14ac:dyDescent="0.2">
      <c r="A82" s="21">
        <v>50</v>
      </c>
      <c r="B82" s="21" t="s">
        <v>675</v>
      </c>
      <c r="C82" s="21">
        <v>50318</v>
      </c>
      <c r="D82" s="21" t="s">
        <v>710</v>
      </c>
      <c r="E82" s="21" t="s">
        <v>522</v>
      </c>
      <c r="F82" s="22" t="s">
        <v>666</v>
      </c>
      <c r="G82" s="4" t="s">
        <v>194</v>
      </c>
      <c r="H82" s="6">
        <v>7468881.8300000001</v>
      </c>
      <c r="I82" s="6">
        <f t="shared" si="148"/>
        <v>20462.689945205479</v>
      </c>
      <c r="J82" s="6">
        <v>7962397</v>
      </c>
      <c r="K82" s="6">
        <v>7504885.6799999997</v>
      </c>
      <c r="L82" s="6">
        <f t="shared" si="149"/>
        <v>20505.152131147541</v>
      </c>
      <c r="M82" s="6">
        <v>7248429</v>
      </c>
      <c r="N82" s="6">
        <v>7433301.7999999998</v>
      </c>
      <c r="O82" s="6">
        <f t="shared" si="150"/>
        <v>20365.210410958905</v>
      </c>
      <c r="P82" s="6">
        <v>6388764</v>
      </c>
      <c r="Q82" s="6">
        <v>3700670.9</v>
      </c>
      <c r="R82" s="6">
        <f t="shared" si="151"/>
        <v>20445.695580110496</v>
      </c>
      <c r="S82" s="6">
        <v>5738706</v>
      </c>
      <c r="T82" s="6">
        <f t="shared" si="80"/>
        <v>5738706</v>
      </c>
      <c r="U82" s="6">
        <f t="shared" si="81"/>
        <v>15722.482191780822</v>
      </c>
      <c r="V82" s="6">
        <v>4970247</v>
      </c>
      <c r="W82" s="6">
        <f t="shared" si="82"/>
        <v>4970247</v>
      </c>
      <c r="X82" s="6">
        <f t="shared" si="83"/>
        <v>13617.115068493151</v>
      </c>
      <c r="Y82" s="6">
        <v>4277224</v>
      </c>
      <c r="Z82" s="6">
        <f t="shared" si="84"/>
        <v>4277224</v>
      </c>
      <c r="AA82" s="6">
        <f t="shared" si="85"/>
        <v>11718.421917808218</v>
      </c>
      <c r="AB82" s="6">
        <v>3696801</v>
      </c>
      <c r="AC82" s="6">
        <f t="shared" si="86"/>
        <v>3696801</v>
      </c>
      <c r="AD82" s="6">
        <f t="shared" si="87"/>
        <v>10128.22191780822</v>
      </c>
      <c r="AE82" s="6">
        <v>3194502</v>
      </c>
      <c r="AF82" s="6">
        <f t="shared" si="88"/>
        <v>3194502</v>
      </c>
      <c r="AG82" s="6">
        <f t="shared" si="89"/>
        <v>8752.0602739726019</v>
      </c>
      <c r="AH82" s="6">
        <v>2734082</v>
      </c>
      <c r="AI82" s="6">
        <f t="shared" si="90"/>
        <v>2734082</v>
      </c>
      <c r="AJ82" s="6">
        <f t="shared" si="91"/>
        <v>7490.635616438356</v>
      </c>
      <c r="AK82" s="6">
        <v>2367247</v>
      </c>
      <c r="AL82" s="6">
        <f t="shared" si="92"/>
        <v>2367247</v>
      </c>
      <c r="AM82" s="6">
        <f t="shared" si="93"/>
        <v>6485.6082191780824</v>
      </c>
      <c r="AN82" s="6">
        <v>2035721</v>
      </c>
      <c r="AO82" s="6">
        <f t="shared" si="94"/>
        <v>2035721</v>
      </c>
      <c r="AP82" s="6">
        <f t="shared" si="95"/>
        <v>5577.317808219178</v>
      </c>
      <c r="AQ82" s="6">
        <v>1782787</v>
      </c>
      <c r="AR82" s="6">
        <f t="shared" si="96"/>
        <v>1782787</v>
      </c>
      <c r="AS82" s="6">
        <f t="shared" si="97"/>
        <v>4884.3479452054798</v>
      </c>
      <c r="AT82" s="6">
        <v>1558425</v>
      </c>
      <c r="AU82" s="6">
        <f t="shared" si="98"/>
        <v>1558425</v>
      </c>
      <c r="AV82" s="6">
        <f t="shared" si="99"/>
        <v>4269.6575342465758</v>
      </c>
      <c r="AW82" s="6">
        <v>1342796</v>
      </c>
      <c r="AX82" s="6">
        <f t="shared" si="100"/>
        <v>1342796</v>
      </c>
      <c r="AY82" s="6">
        <f t="shared" si="101"/>
        <v>3678.8931506849317</v>
      </c>
      <c r="AZ82" s="6">
        <v>0</v>
      </c>
      <c r="BA82" s="6">
        <f t="shared" si="102"/>
        <v>0</v>
      </c>
      <c r="BB82" s="6">
        <f t="shared" si="103"/>
        <v>0</v>
      </c>
      <c r="BC82" s="6">
        <v>0</v>
      </c>
      <c r="BD82" s="6">
        <f t="shared" si="104"/>
        <v>0</v>
      </c>
      <c r="BE82" s="6">
        <f t="shared" si="105"/>
        <v>0</v>
      </c>
      <c r="BF82" s="6">
        <v>0</v>
      </c>
      <c r="BG82" s="6">
        <f t="shared" si="106"/>
        <v>0</v>
      </c>
      <c r="BH82" s="6">
        <f t="shared" si="107"/>
        <v>0</v>
      </c>
      <c r="BI82" s="6">
        <v>0</v>
      </c>
      <c r="BJ82" s="6">
        <f t="shared" si="108"/>
        <v>0</v>
      </c>
      <c r="BK82" s="6">
        <f t="shared" si="109"/>
        <v>0</v>
      </c>
      <c r="BL82" s="6">
        <v>0</v>
      </c>
      <c r="BM82" s="6">
        <f t="shared" si="110"/>
        <v>0</v>
      </c>
      <c r="BN82" s="6">
        <f t="shared" si="111"/>
        <v>0</v>
      </c>
      <c r="BO82" s="6">
        <v>0</v>
      </c>
      <c r="BP82" s="6">
        <f t="shared" si="112"/>
        <v>0</v>
      </c>
      <c r="BQ82" s="6">
        <f t="shared" si="113"/>
        <v>0</v>
      </c>
      <c r="BR82" s="6">
        <v>0</v>
      </c>
      <c r="BS82" s="6">
        <f t="shared" si="114"/>
        <v>0</v>
      </c>
      <c r="BT82" s="6">
        <f t="shared" si="115"/>
        <v>0</v>
      </c>
      <c r="BU82" s="6">
        <v>0</v>
      </c>
      <c r="BV82" s="6">
        <f t="shared" si="116"/>
        <v>0</v>
      </c>
      <c r="BW82" s="6">
        <f t="shared" si="117"/>
        <v>0</v>
      </c>
      <c r="BX82" s="6">
        <v>0</v>
      </c>
      <c r="BY82" s="6">
        <f t="shared" si="118"/>
        <v>0</v>
      </c>
      <c r="BZ82" s="6">
        <f t="shared" si="119"/>
        <v>0</v>
      </c>
      <c r="CA82" s="6">
        <v>0</v>
      </c>
      <c r="CB82" s="6">
        <f t="shared" si="120"/>
        <v>0</v>
      </c>
      <c r="CC82" s="6">
        <f t="shared" si="121"/>
        <v>0</v>
      </c>
      <c r="CD82" s="6">
        <v>0</v>
      </c>
      <c r="CE82" s="6">
        <f t="shared" si="122"/>
        <v>0</v>
      </c>
      <c r="CF82" s="6">
        <f t="shared" si="123"/>
        <v>0</v>
      </c>
      <c r="CG82" s="6">
        <v>0</v>
      </c>
      <c r="CH82" s="6">
        <f t="shared" si="124"/>
        <v>0</v>
      </c>
      <c r="CI82" s="6">
        <f t="shared" si="125"/>
        <v>0</v>
      </c>
      <c r="CJ82" s="6">
        <v>0</v>
      </c>
      <c r="CK82" s="6">
        <f t="shared" si="126"/>
        <v>0</v>
      </c>
      <c r="CL82" s="6">
        <f t="shared" si="127"/>
        <v>0</v>
      </c>
      <c r="CM82" s="6">
        <v>0</v>
      </c>
      <c r="CN82" s="6">
        <f t="shared" si="128"/>
        <v>0</v>
      </c>
      <c r="CO82" s="6">
        <f t="shared" si="129"/>
        <v>0</v>
      </c>
      <c r="CP82" s="6">
        <v>0</v>
      </c>
      <c r="CQ82" s="6">
        <f t="shared" si="130"/>
        <v>0</v>
      </c>
      <c r="CR82" s="6">
        <f t="shared" si="131"/>
        <v>0</v>
      </c>
      <c r="CS82" s="6">
        <v>0</v>
      </c>
      <c r="CT82" s="6">
        <f t="shared" si="132"/>
        <v>0</v>
      </c>
      <c r="CU82" s="6">
        <f t="shared" si="133"/>
        <v>0</v>
      </c>
      <c r="CV82" s="6">
        <v>0</v>
      </c>
      <c r="CW82" s="6">
        <f t="shared" si="134"/>
        <v>0</v>
      </c>
      <c r="CX82" s="6">
        <f t="shared" si="135"/>
        <v>0</v>
      </c>
      <c r="CY82" s="6">
        <v>0</v>
      </c>
      <c r="CZ82" s="6">
        <f t="shared" si="136"/>
        <v>0</v>
      </c>
      <c r="DA82" s="6">
        <f t="shared" si="137"/>
        <v>0</v>
      </c>
      <c r="DB82" s="6">
        <v>0</v>
      </c>
      <c r="DC82" s="6">
        <f t="shared" si="138"/>
        <v>0</v>
      </c>
      <c r="DD82" s="6">
        <f t="shared" si="139"/>
        <v>0</v>
      </c>
      <c r="DE82" s="6">
        <v>0</v>
      </c>
      <c r="DF82" s="6">
        <f t="shared" si="140"/>
        <v>0</v>
      </c>
      <c r="DG82" s="6">
        <f t="shared" si="141"/>
        <v>0</v>
      </c>
      <c r="DH82" s="6">
        <v>0</v>
      </c>
      <c r="DI82" s="6">
        <f t="shared" si="142"/>
        <v>0</v>
      </c>
      <c r="DJ82" s="6">
        <f t="shared" si="143"/>
        <v>0</v>
      </c>
      <c r="DK82" s="6">
        <v>0</v>
      </c>
      <c r="DL82" s="6">
        <f t="shared" si="144"/>
        <v>0</v>
      </c>
      <c r="DM82" s="6">
        <f t="shared" si="145"/>
        <v>0</v>
      </c>
      <c r="DN82" s="6">
        <v>0</v>
      </c>
      <c r="DO82" s="6">
        <f t="shared" si="146"/>
        <v>0</v>
      </c>
      <c r="DP82" s="6">
        <f t="shared" si="147"/>
        <v>0</v>
      </c>
    </row>
    <row r="83" spans="1:120" x14ac:dyDescent="0.2">
      <c r="A83" s="21">
        <v>81</v>
      </c>
      <c r="B83" s="21" t="s">
        <v>132</v>
      </c>
      <c r="C83" s="21">
        <v>81001</v>
      </c>
      <c r="D83" s="21" t="s">
        <v>132</v>
      </c>
      <c r="E83" s="21" t="s">
        <v>683</v>
      </c>
      <c r="F83" s="22" t="s">
        <v>662</v>
      </c>
      <c r="G83" s="4" t="s">
        <v>195</v>
      </c>
      <c r="H83" s="6">
        <v>1345186.02</v>
      </c>
      <c r="I83" s="6">
        <f t="shared" si="148"/>
        <v>3685.4411506849315</v>
      </c>
      <c r="J83" s="6">
        <v>1116408.1094</v>
      </c>
      <c r="K83" s="6">
        <v>956409.34</v>
      </c>
      <c r="L83" s="6">
        <f t="shared" si="149"/>
        <v>2613.1402732240435</v>
      </c>
      <c r="M83" s="6">
        <v>855771.70629999996</v>
      </c>
      <c r="N83" s="6">
        <v>743681.75</v>
      </c>
      <c r="O83" s="6">
        <f t="shared" si="150"/>
        <v>2037.4842465753425</v>
      </c>
      <c r="P83" s="6">
        <v>647174</v>
      </c>
      <c r="Q83" s="6">
        <v>325640.27</v>
      </c>
      <c r="R83" s="6">
        <f t="shared" si="151"/>
        <v>1799.1175138121548</v>
      </c>
      <c r="S83" s="6">
        <v>525978</v>
      </c>
      <c r="T83" s="6">
        <f t="shared" si="80"/>
        <v>525978</v>
      </c>
      <c r="U83" s="6">
        <f t="shared" si="81"/>
        <v>1441.0356164383561</v>
      </c>
      <c r="V83" s="6">
        <v>33385</v>
      </c>
      <c r="W83" s="6">
        <f t="shared" si="82"/>
        <v>33385</v>
      </c>
      <c r="X83" s="6">
        <f t="shared" si="83"/>
        <v>91.465753424657535</v>
      </c>
      <c r="Y83" s="6">
        <v>0</v>
      </c>
      <c r="Z83" s="6">
        <f t="shared" si="84"/>
        <v>0</v>
      </c>
      <c r="AA83" s="6">
        <f t="shared" si="85"/>
        <v>0</v>
      </c>
      <c r="AB83" s="6">
        <v>0</v>
      </c>
      <c r="AC83" s="6">
        <f t="shared" si="86"/>
        <v>0</v>
      </c>
      <c r="AD83" s="6">
        <f t="shared" si="87"/>
        <v>0</v>
      </c>
      <c r="AE83" s="6">
        <v>0</v>
      </c>
      <c r="AF83" s="6">
        <f t="shared" si="88"/>
        <v>0</v>
      </c>
      <c r="AG83" s="6">
        <f t="shared" si="89"/>
        <v>0</v>
      </c>
      <c r="AH83" s="6">
        <v>0</v>
      </c>
      <c r="AI83" s="6">
        <f t="shared" si="90"/>
        <v>0</v>
      </c>
      <c r="AJ83" s="6">
        <f t="shared" si="91"/>
        <v>0</v>
      </c>
      <c r="AK83" s="6">
        <v>0</v>
      </c>
      <c r="AL83" s="6">
        <f t="shared" si="92"/>
        <v>0</v>
      </c>
      <c r="AM83" s="6">
        <f t="shared" si="93"/>
        <v>0</v>
      </c>
      <c r="AN83" s="6">
        <v>0</v>
      </c>
      <c r="AO83" s="6">
        <f t="shared" si="94"/>
        <v>0</v>
      </c>
      <c r="AP83" s="6">
        <f t="shared" si="95"/>
        <v>0</v>
      </c>
      <c r="AQ83" s="6">
        <v>0</v>
      </c>
      <c r="AR83" s="6">
        <f t="shared" si="96"/>
        <v>0</v>
      </c>
      <c r="AS83" s="6">
        <f t="shared" si="97"/>
        <v>0</v>
      </c>
      <c r="AT83" s="6">
        <v>0</v>
      </c>
      <c r="AU83" s="6">
        <f t="shared" si="98"/>
        <v>0</v>
      </c>
      <c r="AV83" s="6">
        <f t="shared" si="99"/>
        <v>0</v>
      </c>
      <c r="AW83" s="6">
        <v>0</v>
      </c>
      <c r="AX83" s="6">
        <f t="shared" si="100"/>
        <v>0</v>
      </c>
      <c r="AY83" s="6">
        <f t="shared" si="101"/>
        <v>0</v>
      </c>
      <c r="AZ83" s="6">
        <v>0</v>
      </c>
      <c r="BA83" s="6">
        <f t="shared" si="102"/>
        <v>0</v>
      </c>
      <c r="BB83" s="6">
        <f t="shared" si="103"/>
        <v>0</v>
      </c>
      <c r="BC83" s="6">
        <v>0</v>
      </c>
      <c r="BD83" s="6">
        <f t="shared" si="104"/>
        <v>0</v>
      </c>
      <c r="BE83" s="6">
        <f t="shared" si="105"/>
        <v>0</v>
      </c>
      <c r="BF83" s="6">
        <v>0</v>
      </c>
      <c r="BG83" s="6">
        <f t="shared" si="106"/>
        <v>0</v>
      </c>
      <c r="BH83" s="6">
        <f t="shared" si="107"/>
        <v>0</v>
      </c>
      <c r="BI83" s="6">
        <v>0</v>
      </c>
      <c r="BJ83" s="6">
        <f t="shared" si="108"/>
        <v>0</v>
      </c>
      <c r="BK83" s="6">
        <f t="shared" si="109"/>
        <v>0</v>
      </c>
      <c r="BL83" s="6">
        <v>0</v>
      </c>
      <c r="BM83" s="6">
        <f t="shared" si="110"/>
        <v>0</v>
      </c>
      <c r="BN83" s="6">
        <f t="shared" si="111"/>
        <v>0</v>
      </c>
      <c r="BO83" s="6">
        <v>0</v>
      </c>
      <c r="BP83" s="6">
        <f t="shared" si="112"/>
        <v>0</v>
      </c>
      <c r="BQ83" s="6">
        <f t="shared" si="113"/>
        <v>0</v>
      </c>
      <c r="BR83" s="6">
        <v>0</v>
      </c>
      <c r="BS83" s="6">
        <f t="shared" si="114"/>
        <v>0</v>
      </c>
      <c r="BT83" s="6">
        <f t="shared" si="115"/>
        <v>0</v>
      </c>
      <c r="BU83" s="6">
        <v>0</v>
      </c>
      <c r="BV83" s="6">
        <f t="shared" si="116"/>
        <v>0</v>
      </c>
      <c r="BW83" s="6">
        <f t="shared" si="117"/>
        <v>0</v>
      </c>
      <c r="BX83" s="6">
        <v>0</v>
      </c>
      <c r="BY83" s="6">
        <f t="shared" si="118"/>
        <v>0</v>
      </c>
      <c r="BZ83" s="6">
        <f t="shared" si="119"/>
        <v>0</v>
      </c>
      <c r="CA83" s="6">
        <v>0</v>
      </c>
      <c r="CB83" s="6">
        <f t="shared" si="120"/>
        <v>0</v>
      </c>
      <c r="CC83" s="6">
        <f t="shared" si="121"/>
        <v>0</v>
      </c>
      <c r="CD83" s="6">
        <v>0</v>
      </c>
      <c r="CE83" s="6">
        <f t="shared" si="122"/>
        <v>0</v>
      </c>
      <c r="CF83" s="6">
        <f t="shared" si="123"/>
        <v>0</v>
      </c>
      <c r="CG83" s="6">
        <v>0</v>
      </c>
      <c r="CH83" s="6">
        <f t="shared" si="124"/>
        <v>0</v>
      </c>
      <c r="CI83" s="6">
        <f t="shared" si="125"/>
        <v>0</v>
      </c>
      <c r="CJ83" s="6">
        <v>0</v>
      </c>
      <c r="CK83" s="6">
        <f t="shared" si="126"/>
        <v>0</v>
      </c>
      <c r="CL83" s="6">
        <f t="shared" si="127"/>
        <v>0</v>
      </c>
      <c r="CM83" s="6">
        <v>0</v>
      </c>
      <c r="CN83" s="6">
        <f t="shared" si="128"/>
        <v>0</v>
      </c>
      <c r="CO83" s="6">
        <f t="shared" si="129"/>
        <v>0</v>
      </c>
      <c r="CP83" s="6">
        <v>0</v>
      </c>
      <c r="CQ83" s="6">
        <f t="shared" si="130"/>
        <v>0</v>
      </c>
      <c r="CR83" s="6">
        <f t="shared" si="131"/>
        <v>0</v>
      </c>
      <c r="CS83" s="6">
        <v>0</v>
      </c>
      <c r="CT83" s="6">
        <f t="shared" si="132"/>
        <v>0</v>
      </c>
      <c r="CU83" s="6">
        <f t="shared" si="133"/>
        <v>0</v>
      </c>
      <c r="CV83" s="6">
        <v>0</v>
      </c>
      <c r="CW83" s="6">
        <f t="shared" si="134"/>
        <v>0</v>
      </c>
      <c r="CX83" s="6">
        <f t="shared" si="135"/>
        <v>0</v>
      </c>
      <c r="CY83" s="6">
        <v>0</v>
      </c>
      <c r="CZ83" s="6">
        <f t="shared" si="136"/>
        <v>0</v>
      </c>
      <c r="DA83" s="6">
        <f t="shared" si="137"/>
        <v>0</v>
      </c>
      <c r="DB83" s="6">
        <v>0</v>
      </c>
      <c r="DC83" s="6">
        <f t="shared" si="138"/>
        <v>0</v>
      </c>
      <c r="DD83" s="6">
        <f t="shared" si="139"/>
        <v>0</v>
      </c>
      <c r="DE83" s="6">
        <v>0</v>
      </c>
      <c r="DF83" s="6">
        <f t="shared" si="140"/>
        <v>0</v>
      </c>
      <c r="DG83" s="6">
        <f t="shared" si="141"/>
        <v>0</v>
      </c>
      <c r="DH83" s="6">
        <v>0</v>
      </c>
      <c r="DI83" s="6">
        <f t="shared" si="142"/>
        <v>0</v>
      </c>
      <c r="DJ83" s="6">
        <f t="shared" si="143"/>
        <v>0</v>
      </c>
      <c r="DK83" s="6">
        <v>0</v>
      </c>
      <c r="DL83" s="6">
        <f t="shared" si="144"/>
        <v>0</v>
      </c>
      <c r="DM83" s="6">
        <f t="shared" si="145"/>
        <v>0</v>
      </c>
      <c r="DN83" s="6">
        <v>0</v>
      </c>
      <c r="DO83" s="6">
        <f t="shared" si="146"/>
        <v>0</v>
      </c>
      <c r="DP83" s="6">
        <f t="shared" si="147"/>
        <v>0</v>
      </c>
    </row>
    <row r="84" spans="1:120" x14ac:dyDescent="0.2">
      <c r="A84" s="21">
        <v>85</v>
      </c>
      <c r="B84" s="21" t="s">
        <v>612</v>
      </c>
      <c r="C84" s="21">
        <v>85410</v>
      </c>
      <c r="D84" s="21" t="s">
        <v>691</v>
      </c>
      <c r="E84" s="21" t="s">
        <v>562</v>
      </c>
      <c r="F84" s="22" t="s">
        <v>669</v>
      </c>
      <c r="G84" s="4" t="s">
        <v>196</v>
      </c>
      <c r="H84" s="6">
        <v>98334.86</v>
      </c>
      <c r="I84" s="6">
        <f t="shared" si="148"/>
        <v>269.41057534246573</v>
      </c>
      <c r="J84" s="6">
        <v>415613.08870000002</v>
      </c>
      <c r="K84" s="6">
        <v>86645.98</v>
      </c>
      <c r="L84" s="6">
        <f t="shared" si="149"/>
        <v>236.73765027322403</v>
      </c>
      <c r="M84" s="6">
        <v>565451.37849999999</v>
      </c>
      <c r="N84" s="6">
        <v>52185.33</v>
      </c>
      <c r="O84" s="6">
        <f t="shared" si="150"/>
        <v>142.97350684931507</v>
      </c>
      <c r="P84" s="6">
        <v>411374.88410000002</v>
      </c>
      <c r="Q84" s="6">
        <v>40309.81</v>
      </c>
      <c r="R84" s="6">
        <f t="shared" si="151"/>
        <v>222.70613259668508</v>
      </c>
      <c r="S84" s="6">
        <v>314733.56040000002</v>
      </c>
      <c r="T84" s="6">
        <f t="shared" si="80"/>
        <v>314733.56040000002</v>
      </c>
      <c r="U84" s="6">
        <f t="shared" si="81"/>
        <v>862.28372712328769</v>
      </c>
      <c r="V84" s="6">
        <v>250010.3389</v>
      </c>
      <c r="W84" s="6">
        <f t="shared" si="82"/>
        <v>250010.3389</v>
      </c>
      <c r="X84" s="6">
        <f t="shared" si="83"/>
        <v>684.95983260273977</v>
      </c>
      <c r="Y84" s="6">
        <v>204108.49789999999</v>
      </c>
      <c r="Z84" s="6">
        <f t="shared" si="84"/>
        <v>204108.49789999999</v>
      </c>
      <c r="AA84" s="6">
        <f t="shared" si="85"/>
        <v>559.20136410958901</v>
      </c>
      <c r="AB84" s="6">
        <v>170513.53719999999</v>
      </c>
      <c r="AC84" s="6">
        <f t="shared" si="86"/>
        <v>170513.53719999999</v>
      </c>
      <c r="AD84" s="6">
        <f t="shared" si="87"/>
        <v>467.16037589041093</v>
      </c>
      <c r="AE84" s="6">
        <v>145064.67480000001</v>
      </c>
      <c r="AF84" s="6">
        <f t="shared" si="88"/>
        <v>145064.67480000001</v>
      </c>
      <c r="AG84" s="6">
        <f t="shared" si="89"/>
        <v>397.4374652054795</v>
      </c>
      <c r="AH84" s="6">
        <v>125370.1137</v>
      </c>
      <c r="AI84" s="6">
        <f t="shared" si="90"/>
        <v>125370.1137</v>
      </c>
      <c r="AJ84" s="6">
        <f t="shared" si="91"/>
        <v>343.47976356164384</v>
      </c>
      <c r="AK84" s="6">
        <v>109567.61960000001</v>
      </c>
      <c r="AL84" s="6">
        <f t="shared" si="92"/>
        <v>109567.61960000001</v>
      </c>
      <c r="AM84" s="6">
        <f t="shared" si="93"/>
        <v>300.18525917808222</v>
      </c>
      <c r="AN84" s="6">
        <v>96863.630799999999</v>
      </c>
      <c r="AO84" s="6">
        <f t="shared" si="94"/>
        <v>96863.630799999999</v>
      </c>
      <c r="AP84" s="6">
        <f t="shared" si="95"/>
        <v>265.3798104109589</v>
      </c>
      <c r="AQ84" s="6">
        <v>91061.928599999999</v>
      </c>
      <c r="AR84" s="6">
        <f t="shared" si="96"/>
        <v>91061.928599999999</v>
      </c>
      <c r="AS84" s="6">
        <f t="shared" si="97"/>
        <v>249.48473589041095</v>
      </c>
      <c r="AT84" s="6">
        <v>73170.625199999995</v>
      </c>
      <c r="AU84" s="6">
        <f t="shared" si="98"/>
        <v>73170.625199999995</v>
      </c>
      <c r="AV84" s="6">
        <f t="shared" si="99"/>
        <v>200.46746630136985</v>
      </c>
      <c r="AW84" s="6">
        <v>70414.008100000006</v>
      </c>
      <c r="AX84" s="6">
        <f t="shared" si="100"/>
        <v>70414.008100000006</v>
      </c>
      <c r="AY84" s="6">
        <f t="shared" si="101"/>
        <v>192.91509068493153</v>
      </c>
      <c r="AZ84" s="6">
        <v>64181.373899999999</v>
      </c>
      <c r="BA84" s="6">
        <f t="shared" si="102"/>
        <v>64181.373899999999</v>
      </c>
      <c r="BB84" s="6">
        <f t="shared" si="103"/>
        <v>175.83938054794521</v>
      </c>
      <c r="BC84" s="6">
        <v>58825.6276</v>
      </c>
      <c r="BD84" s="6">
        <f t="shared" si="104"/>
        <v>58825.6276</v>
      </c>
      <c r="BE84" s="6">
        <f t="shared" si="105"/>
        <v>161.16610301369863</v>
      </c>
      <c r="BF84" s="6">
        <v>54239.101799999997</v>
      </c>
      <c r="BG84" s="6">
        <f t="shared" si="106"/>
        <v>54239.101799999997</v>
      </c>
      <c r="BH84" s="6">
        <f t="shared" si="107"/>
        <v>148.60027890410959</v>
      </c>
      <c r="BI84" s="6">
        <v>50131.5363</v>
      </c>
      <c r="BJ84" s="6">
        <f t="shared" si="108"/>
        <v>50131.5363</v>
      </c>
      <c r="BK84" s="6">
        <f t="shared" si="109"/>
        <v>137.34667479452054</v>
      </c>
      <c r="BL84" s="6">
        <v>31000</v>
      </c>
      <c r="BM84" s="6">
        <f t="shared" si="110"/>
        <v>31000</v>
      </c>
      <c r="BN84" s="6">
        <f t="shared" si="111"/>
        <v>84.93150684931507</v>
      </c>
      <c r="BO84" s="6">
        <v>0</v>
      </c>
      <c r="BP84" s="6">
        <f t="shared" si="112"/>
        <v>0</v>
      </c>
      <c r="BQ84" s="6">
        <f t="shared" si="113"/>
        <v>0</v>
      </c>
      <c r="BR84" s="6">
        <v>0</v>
      </c>
      <c r="BS84" s="6">
        <f t="shared" si="114"/>
        <v>0</v>
      </c>
      <c r="BT84" s="6">
        <f t="shared" si="115"/>
        <v>0</v>
      </c>
      <c r="BU84" s="6">
        <v>0</v>
      </c>
      <c r="BV84" s="6">
        <f t="shared" si="116"/>
        <v>0</v>
      </c>
      <c r="BW84" s="6">
        <f t="shared" si="117"/>
        <v>0</v>
      </c>
      <c r="BX84" s="6">
        <v>0</v>
      </c>
      <c r="BY84" s="6">
        <f t="shared" si="118"/>
        <v>0</v>
      </c>
      <c r="BZ84" s="6">
        <f t="shared" si="119"/>
        <v>0</v>
      </c>
      <c r="CA84" s="6">
        <v>0</v>
      </c>
      <c r="CB84" s="6">
        <f t="shared" si="120"/>
        <v>0</v>
      </c>
      <c r="CC84" s="6">
        <f t="shared" si="121"/>
        <v>0</v>
      </c>
      <c r="CD84" s="6">
        <v>0</v>
      </c>
      <c r="CE84" s="6">
        <f t="shared" si="122"/>
        <v>0</v>
      </c>
      <c r="CF84" s="6">
        <f t="shared" si="123"/>
        <v>0</v>
      </c>
      <c r="CG84" s="6">
        <v>0</v>
      </c>
      <c r="CH84" s="6">
        <f t="shared" si="124"/>
        <v>0</v>
      </c>
      <c r="CI84" s="6">
        <f t="shared" si="125"/>
        <v>0</v>
      </c>
      <c r="CJ84" s="6">
        <v>0</v>
      </c>
      <c r="CK84" s="6">
        <f t="shared" si="126"/>
        <v>0</v>
      </c>
      <c r="CL84" s="6">
        <f t="shared" si="127"/>
        <v>0</v>
      </c>
      <c r="CM84" s="6">
        <v>0</v>
      </c>
      <c r="CN84" s="6">
        <f t="shared" si="128"/>
        <v>0</v>
      </c>
      <c r="CO84" s="6">
        <f t="shared" si="129"/>
        <v>0</v>
      </c>
      <c r="CP84" s="6">
        <v>0</v>
      </c>
      <c r="CQ84" s="6">
        <f t="shared" si="130"/>
        <v>0</v>
      </c>
      <c r="CR84" s="6">
        <f t="shared" si="131"/>
        <v>0</v>
      </c>
      <c r="CS84" s="6">
        <v>0</v>
      </c>
      <c r="CT84" s="6">
        <f t="shared" si="132"/>
        <v>0</v>
      </c>
      <c r="CU84" s="6">
        <f t="shared" si="133"/>
        <v>0</v>
      </c>
      <c r="CV84" s="6">
        <v>0</v>
      </c>
      <c r="CW84" s="6">
        <f t="shared" si="134"/>
        <v>0</v>
      </c>
      <c r="CX84" s="6">
        <f t="shared" si="135"/>
        <v>0</v>
      </c>
      <c r="CY84" s="6">
        <v>0</v>
      </c>
      <c r="CZ84" s="6">
        <f t="shared" si="136"/>
        <v>0</v>
      </c>
      <c r="DA84" s="6">
        <f t="shared" si="137"/>
        <v>0</v>
      </c>
      <c r="DB84" s="6">
        <v>0</v>
      </c>
      <c r="DC84" s="6">
        <f t="shared" si="138"/>
        <v>0</v>
      </c>
      <c r="DD84" s="6">
        <f t="shared" si="139"/>
        <v>0</v>
      </c>
      <c r="DE84" s="6">
        <v>0</v>
      </c>
      <c r="DF84" s="6">
        <f t="shared" si="140"/>
        <v>0</v>
      </c>
      <c r="DG84" s="6">
        <f t="shared" si="141"/>
        <v>0</v>
      </c>
      <c r="DH84" s="6">
        <v>0</v>
      </c>
      <c r="DI84" s="6">
        <f t="shared" si="142"/>
        <v>0</v>
      </c>
      <c r="DJ84" s="6">
        <f t="shared" si="143"/>
        <v>0</v>
      </c>
      <c r="DK84" s="6">
        <v>0</v>
      </c>
      <c r="DL84" s="6">
        <f t="shared" si="144"/>
        <v>0</v>
      </c>
      <c r="DM84" s="6">
        <f t="shared" si="145"/>
        <v>0</v>
      </c>
      <c r="DN84" s="6">
        <v>0</v>
      </c>
      <c r="DO84" s="6">
        <f t="shared" si="146"/>
        <v>0</v>
      </c>
      <c r="DP84" s="6">
        <f t="shared" si="147"/>
        <v>0</v>
      </c>
    </row>
    <row r="85" spans="1:120" x14ac:dyDescent="0.2">
      <c r="A85" s="21">
        <v>20</v>
      </c>
      <c r="B85" s="21" t="s">
        <v>667</v>
      </c>
      <c r="C85" s="21">
        <v>20614</v>
      </c>
      <c r="D85" s="21" t="s">
        <v>711</v>
      </c>
      <c r="E85" s="21" t="s">
        <v>564</v>
      </c>
      <c r="F85" s="22" t="s">
        <v>669</v>
      </c>
      <c r="G85" s="4" t="s">
        <v>197</v>
      </c>
      <c r="H85" s="6">
        <v>57936.95</v>
      </c>
      <c r="I85" s="6">
        <f t="shared" si="148"/>
        <v>158.7313698630137</v>
      </c>
      <c r="J85" s="6">
        <v>53395.226600000002</v>
      </c>
      <c r="K85" s="6">
        <v>52514.74</v>
      </c>
      <c r="L85" s="6">
        <f t="shared" si="149"/>
        <v>143.48289617486338</v>
      </c>
      <c r="M85" s="6">
        <v>87352.681400000001</v>
      </c>
      <c r="N85" s="6">
        <v>44926.29</v>
      </c>
      <c r="O85" s="6">
        <f t="shared" si="150"/>
        <v>123.08572602739726</v>
      </c>
      <c r="P85" s="6">
        <v>172362.0741</v>
      </c>
      <c r="Q85" s="6">
        <v>20452.89</v>
      </c>
      <c r="R85" s="6">
        <f t="shared" si="151"/>
        <v>112.99939226519336</v>
      </c>
      <c r="S85" s="6">
        <v>187714.18890000001</v>
      </c>
      <c r="T85" s="6">
        <f t="shared" si="80"/>
        <v>187714.18890000001</v>
      </c>
      <c r="U85" s="6">
        <f t="shared" si="81"/>
        <v>514.28544904109594</v>
      </c>
      <c r="V85" s="6">
        <v>146575.74299999999</v>
      </c>
      <c r="W85" s="6">
        <f t="shared" si="82"/>
        <v>146575.74299999999</v>
      </c>
      <c r="X85" s="6">
        <f t="shared" si="83"/>
        <v>401.57737808219173</v>
      </c>
      <c r="Y85" s="6">
        <v>112758.156</v>
      </c>
      <c r="Z85" s="6">
        <f t="shared" si="84"/>
        <v>112758.156</v>
      </c>
      <c r="AA85" s="6">
        <f t="shared" si="85"/>
        <v>308.92645479452057</v>
      </c>
      <c r="AB85" s="6">
        <v>87662.444199999998</v>
      </c>
      <c r="AC85" s="6">
        <f t="shared" si="86"/>
        <v>87662.444199999998</v>
      </c>
      <c r="AD85" s="6">
        <f t="shared" si="87"/>
        <v>240.17107999999999</v>
      </c>
      <c r="AE85" s="6">
        <v>69663.164999999994</v>
      </c>
      <c r="AF85" s="6">
        <f t="shared" si="88"/>
        <v>69663.164999999994</v>
      </c>
      <c r="AG85" s="6">
        <f t="shared" si="89"/>
        <v>190.85798630136983</v>
      </c>
      <c r="AH85" s="6">
        <v>55906.370900000002</v>
      </c>
      <c r="AI85" s="6">
        <f t="shared" si="90"/>
        <v>55906.370900000002</v>
      </c>
      <c r="AJ85" s="6">
        <f t="shared" si="91"/>
        <v>153.16813945205479</v>
      </c>
      <c r="AK85" s="6">
        <v>44972.2402</v>
      </c>
      <c r="AL85" s="6">
        <f t="shared" si="92"/>
        <v>44972.2402</v>
      </c>
      <c r="AM85" s="6">
        <f t="shared" si="93"/>
        <v>123.21161698630137</v>
      </c>
      <c r="AN85" s="6">
        <v>36585.534599999999</v>
      </c>
      <c r="AO85" s="6">
        <f t="shared" si="94"/>
        <v>36585.534599999999</v>
      </c>
      <c r="AP85" s="6">
        <f t="shared" si="95"/>
        <v>100.23434136986302</v>
      </c>
      <c r="AQ85" s="6">
        <v>30014.653600000001</v>
      </c>
      <c r="AR85" s="6">
        <f t="shared" si="96"/>
        <v>30014.653600000001</v>
      </c>
      <c r="AS85" s="6">
        <f t="shared" si="97"/>
        <v>82.231927671232881</v>
      </c>
      <c r="AT85" s="6">
        <v>24896.5982</v>
      </c>
      <c r="AU85" s="6">
        <f t="shared" si="98"/>
        <v>24896.5982</v>
      </c>
      <c r="AV85" s="6">
        <f t="shared" si="99"/>
        <v>68.209858082191786</v>
      </c>
      <c r="AW85" s="6">
        <v>19422.281800000001</v>
      </c>
      <c r="AX85" s="6">
        <f t="shared" si="100"/>
        <v>19422.281800000001</v>
      </c>
      <c r="AY85" s="6">
        <f t="shared" si="101"/>
        <v>53.211730958904113</v>
      </c>
      <c r="AZ85" s="6">
        <v>11310.606299999999</v>
      </c>
      <c r="BA85" s="6">
        <f t="shared" si="102"/>
        <v>11310.606299999999</v>
      </c>
      <c r="BB85" s="6">
        <f t="shared" si="103"/>
        <v>30.987962465753423</v>
      </c>
      <c r="BC85" s="6">
        <v>0</v>
      </c>
      <c r="BD85" s="6">
        <f t="shared" si="104"/>
        <v>0</v>
      </c>
      <c r="BE85" s="6">
        <f t="shared" si="105"/>
        <v>0</v>
      </c>
      <c r="BF85" s="6">
        <v>0</v>
      </c>
      <c r="BG85" s="6">
        <f t="shared" si="106"/>
        <v>0</v>
      </c>
      <c r="BH85" s="6">
        <f t="shared" si="107"/>
        <v>0</v>
      </c>
      <c r="BI85" s="6">
        <v>0</v>
      </c>
      <c r="BJ85" s="6">
        <f t="shared" si="108"/>
        <v>0</v>
      </c>
      <c r="BK85" s="6">
        <f t="shared" si="109"/>
        <v>0</v>
      </c>
      <c r="BL85" s="6">
        <v>0</v>
      </c>
      <c r="BM85" s="6">
        <f t="shared" si="110"/>
        <v>0</v>
      </c>
      <c r="BN85" s="6">
        <f t="shared" si="111"/>
        <v>0</v>
      </c>
      <c r="BO85" s="6">
        <v>0</v>
      </c>
      <c r="BP85" s="6">
        <f t="shared" si="112"/>
        <v>0</v>
      </c>
      <c r="BQ85" s="6">
        <f t="shared" si="113"/>
        <v>0</v>
      </c>
      <c r="BR85" s="6">
        <v>0</v>
      </c>
      <c r="BS85" s="6">
        <f t="shared" si="114"/>
        <v>0</v>
      </c>
      <c r="BT85" s="6">
        <f t="shared" si="115"/>
        <v>0</v>
      </c>
      <c r="BU85" s="6">
        <v>0</v>
      </c>
      <c r="BV85" s="6">
        <f t="shared" si="116"/>
        <v>0</v>
      </c>
      <c r="BW85" s="6">
        <f t="shared" si="117"/>
        <v>0</v>
      </c>
      <c r="BX85" s="6">
        <v>0</v>
      </c>
      <c r="BY85" s="6">
        <f t="shared" si="118"/>
        <v>0</v>
      </c>
      <c r="BZ85" s="6">
        <f t="shared" si="119"/>
        <v>0</v>
      </c>
      <c r="CA85" s="6">
        <v>0</v>
      </c>
      <c r="CB85" s="6">
        <f t="shared" si="120"/>
        <v>0</v>
      </c>
      <c r="CC85" s="6">
        <f t="shared" si="121"/>
        <v>0</v>
      </c>
      <c r="CD85" s="6">
        <v>0</v>
      </c>
      <c r="CE85" s="6">
        <f t="shared" si="122"/>
        <v>0</v>
      </c>
      <c r="CF85" s="6">
        <f t="shared" si="123"/>
        <v>0</v>
      </c>
      <c r="CG85" s="6">
        <v>0</v>
      </c>
      <c r="CH85" s="6">
        <f t="shared" si="124"/>
        <v>0</v>
      </c>
      <c r="CI85" s="6">
        <f t="shared" si="125"/>
        <v>0</v>
      </c>
      <c r="CJ85" s="6">
        <v>0</v>
      </c>
      <c r="CK85" s="6">
        <f t="shared" si="126"/>
        <v>0</v>
      </c>
      <c r="CL85" s="6">
        <f t="shared" si="127"/>
        <v>0</v>
      </c>
      <c r="CM85" s="6">
        <v>0</v>
      </c>
      <c r="CN85" s="6">
        <f t="shared" si="128"/>
        <v>0</v>
      </c>
      <c r="CO85" s="6">
        <f t="shared" si="129"/>
        <v>0</v>
      </c>
      <c r="CP85" s="6">
        <v>0</v>
      </c>
      <c r="CQ85" s="6">
        <f t="shared" si="130"/>
        <v>0</v>
      </c>
      <c r="CR85" s="6">
        <f t="shared" si="131"/>
        <v>0</v>
      </c>
      <c r="CS85" s="6">
        <v>0</v>
      </c>
      <c r="CT85" s="6">
        <f t="shared" si="132"/>
        <v>0</v>
      </c>
      <c r="CU85" s="6">
        <f t="shared" si="133"/>
        <v>0</v>
      </c>
      <c r="CV85" s="6">
        <v>0</v>
      </c>
      <c r="CW85" s="6">
        <f t="shared" si="134"/>
        <v>0</v>
      </c>
      <c r="CX85" s="6">
        <f t="shared" si="135"/>
        <v>0</v>
      </c>
      <c r="CY85" s="6">
        <v>0</v>
      </c>
      <c r="CZ85" s="6">
        <f t="shared" si="136"/>
        <v>0</v>
      </c>
      <c r="DA85" s="6">
        <f t="shared" si="137"/>
        <v>0</v>
      </c>
      <c r="DB85" s="6">
        <v>0</v>
      </c>
      <c r="DC85" s="6">
        <f t="shared" si="138"/>
        <v>0</v>
      </c>
      <c r="DD85" s="6">
        <f t="shared" si="139"/>
        <v>0</v>
      </c>
      <c r="DE85" s="6">
        <v>0</v>
      </c>
      <c r="DF85" s="6">
        <f t="shared" si="140"/>
        <v>0</v>
      </c>
      <c r="DG85" s="6">
        <f t="shared" si="141"/>
        <v>0</v>
      </c>
      <c r="DH85" s="6">
        <v>0</v>
      </c>
      <c r="DI85" s="6">
        <f t="shared" si="142"/>
        <v>0</v>
      </c>
      <c r="DJ85" s="6">
        <f t="shared" si="143"/>
        <v>0</v>
      </c>
      <c r="DK85" s="6">
        <v>0</v>
      </c>
      <c r="DL85" s="6">
        <f t="shared" si="144"/>
        <v>0</v>
      </c>
      <c r="DM85" s="6">
        <f t="shared" si="145"/>
        <v>0</v>
      </c>
      <c r="DN85" s="6">
        <v>0</v>
      </c>
      <c r="DO85" s="6">
        <f t="shared" si="146"/>
        <v>0</v>
      </c>
      <c r="DP85" s="6">
        <f t="shared" si="147"/>
        <v>0</v>
      </c>
    </row>
    <row r="86" spans="1:120" x14ac:dyDescent="0.2">
      <c r="A86" s="21">
        <v>13</v>
      </c>
      <c r="B86" s="21" t="s">
        <v>145</v>
      </c>
      <c r="C86" s="21">
        <v>13188</v>
      </c>
      <c r="D86" s="21" t="s">
        <v>198</v>
      </c>
      <c r="E86" s="21" t="s">
        <v>575</v>
      </c>
      <c r="F86" s="22" t="s">
        <v>666</v>
      </c>
      <c r="G86" s="4" t="s">
        <v>198</v>
      </c>
      <c r="H86" s="6">
        <v>191030.42</v>
      </c>
      <c r="I86" s="6">
        <f t="shared" si="148"/>
        <v>523.37101369863012</v>
      </c>
      <c r="J86" s="6">
        <v>199346</v>
      </c>
      <c r="K86" s="6">
        <v>170611.64</v>
      </c>
      <c r="L86" s="6">
        <f t="shared" si="149"/>
        <v>466.15202185792356</v>
      </c>
      <c r="M86" s="6">
        <v>189831</v>
      </c>
      <c r="N86" s="6">
        <v>148994.93</v>
      </c>
      <c r="O86" s="6">
        <f t="shared" si="150"/>
        <v>408.20528767123284</v>
      </c>
      <c r="P86" s="6">
        <v>175095</v>
      </c>
      <c r="Q86" s="6">
        <v>60165.96</v>
      </c>
      <c r="R86" s="6">
        <f t="shared" si="151"/>
        <v>332.4086187845304</v>
      </c>
      <c r="S86" s="6">
        <v>161620</v>
      </c>
      <c r="T86" s="6">
        <f t="shared" si="80"/>
        <v>161620</v>
      </c>
      <c r="U86" s="6">
        <f t="shared" si="81"/>
        <v>442.79452054794518</v>
      </c>
      <c r="V86" s="6">
        <v>149328</v>
      </c>
      <c r="W86" s="6">
        <f t="shared" si="82"/>
        <v>149328</v>
      </c>
      <c r="X86" s="6">
        <f t="shared" si="83"/>
        <v>409.11780821917807</v>
      </c>
      <c r="Y86" s="6">
        <v>136385</v>
      </c>
      <c r="Z86" s="6">
        <f t="shared" si="84"/>
        <v>136385</v>
      </c>
      <c r="AA86" s="6">
        <f t="shared" si="85"/>
        <v>373.65753424657532</v>
      </c>
      <c r="AB86" s="6">
        <v>126286</v>
      </c>
      <c r="AC86" s="6">
        <f t="shared" si="86"/>
        <v>126286</v>
      </c>
      <c r="AD86" s="6">
        <f t="shared" si="87"/>
        <v>345.9890410958904</v>
      </c>
      <c r="AE86" s="6">
        <v>117007</v>
      </c>
      <c r="AF86" s="6">
        <f t="shared" si="88"/>
        <v>117007</v>
      </c>
      <c r="AG86" s="6">
        <f t="shared" si="89"/>
        <v>320.56712328767122</v>
      </c>
      <c r="AH86" s="6">
        <v>108745</v>
      </c>
      <c r="AI86" s="6">
        <f t="shared" si="90"/>
        <v>108745</v>
      </c>
      <c r="AJ86" s="6">
        <f t="shared" si="91"/>
        <v>297.93150684931504</v>
      </c>
      <c r="AK86" s="6">
        <v>100578</v>
      </c>
      <c r="AL86" s="6">
        <f t="shared" si="92"/>
        <v>100578</v>
      </c>
      <c r="AM86" s="6">
        <f t="shared" si="93"/>
        <v>275.55616438356162</v>
      </c>
      <c r="AN86" s="6">
        <v>0</v>
      </c>
      <c r="AO86" s="6">
        <f t="shared" si="94"/>
        <v>0</v>
      </c>
      <c r="AP86" s="6">
        <f t="shared" si="95"/>
        <v>0</v>
      </c>
      <c r="AQ86" s="6">
        <v>0</v>
      </c>
      <c r="AR86" s="6">
        <f t="shared" si="96"/>
        <v>0</v>
      </c>
      <c r="AS86" s="6">
        <f t="shared" si="97"/>
        <v>0</v>
      </c>
      <c r="AT86" s="6">
        <v>0</v>
      </c>
      <c r="AU86" s="6">
        <f t="shared" si="98"/>
        <v>0</v>
      </c>
      <c r="AV86" s="6">
        <f t="shared" si="99"/>
        <v>0</v>
      </c>
      <c r="AW86" s="6">
        <v>0</v>
      </c>
      <c r="AX86" s="6">
        <f t="shared" si="100"/>
        <v>0</v>
      </c>
      <c r="AY86" s="6">
        <f t="shared" si="101"/>
        <v>0</v>
      </c>
      <c r="AZ86" s="6">
        <v>0</v>
      </c>
      <c r="BA86" s="6">
        <f t="shared" si="102"/>
        <v>0</v>
      </c>
      <c r="BB86" s="6">
        <f t="shared" si="103"/>
        <v>0</v>
      </c>
      <c r="BC86" s="6">
        <v>0</v>
      </c>
      <c r="BD86" s="6">
        <f t="shared" si="104"/>
        <v>0</v>
      </c>
      <c r="BE86" s="6">
        <f t="shared" si="105"/>
        <v>0</v>
      </c>
      <c r="BF86" s="6">
        <v>0</v>
      </c>
      <c r="BG86" s="6">
        <f t="shared" si="106"/>
        <v>0</v>
      </c>
      <c r="BH86" s="6">
        <f t="shared" si="107"/>
        <v>0</v>
      </c>
      <c r="BI86" s="6">
        <v>0</v>
      </c>
      <c r="BJ86" s="6">
        <f t="shared" si="108"/>
        <v>0</v>
      </c>
      <c r="BK86" s="6">
        <f t="shared" si="109"/>
        <v>0</v>
      </c>
      <c r="BL86" s="6">
        <v>0</v>
      </c>
      <c r="BM86" s="6">
        <f t="shared" si="110"/>
        <v>0</v>
      </c>
      <c r="BN86" s="6">
        <f t="shared" si="111"/>
        <v>0</v>
      </c>
      <c r="BO86" s="6">
        <v>0</v>
      </c>
      <c r="BP86" s="6">
        <f t="shared" si="112"/>
        <v>0</v>
      </c>
      <c r="BQ86" s="6">
        <f t="shared" si="113"/>
        <v>0</v>
      </c>
      <c r="BR86" s="6">
        <v>0</v>
      </c>
      <c r="BS86" s="6">
        <f t="shared" si="114"/>
        <v>0</v>
      </c>
      <c r="BT86" s="6">
        <f t="shared" si="115"/>
        <v>0</v>
      </c>
      <c r="BU86" s="6">
        <v>0</v>
      </c>
      <c r="BV86" s="6">
        <f t="shared" si="116"/>
        <v>0</v>
      </c>
      <c r="BW86" s="6">
        <f t="shared" si="117"/>
        <v>0</v>
      </c>
      <c r="BX86" s="6">
        <v>0</v>
      </c>
      <c r="BY86" s="6">
        <f t="shared" si="118"/>
        <v>0</v>
      </c>
      <c r="BZ86" s="6">
        <f t="shared" si="119"/>
        <v>0</v>
      </c>
      <c r="CA86" s="6">
        <v>0</v>
      </c>
      <c r="CB86" s="6">
        <f t="shared" si="120"/>
        <v>0</v>
      </c>
      <c r="CC86" s="6">
        <f t="shared" si="121"/>
        <v>0</v>
      </c>
      <c r="CD86" s="6">
        <v>0</v>
      </c>
      <c r="CE86" s="6">
        <f t="shared" si="122"/>
        <v>0</v>
      </c>
      <c r="CF86" s="6">
        <f t="shared" si="123"/>
        <v>0</v>
      </c>
      <c r="CG86" s="6">
        <v>0</v>
      </c>
      <c r="CH86" s="6">
        <f t="shared" si="124"/>
        <v>0</v>
      </c>
      <c r="CI86" s="6">
        <f t="shared" si="125"/>
        <v>0</v>
      </c>
      <c r="CJ86" s="6">
        <v>0</v>
      </c>
      <c r="CK86" s="6">
        <f t="shared" si="126"/>
        <v>0</v>
      </c>
      <c r="CL86" s="6">
        <f t="shared" si="127"/>
        <v>0</v>
      </c>
      <c r="CM86" s="6">
        <v>0</v>
      </c>
      <c r="CN86" s="6">
        <f t="shared" si="128"/>
        <v>0</v>
      </c>
      <c r="CO86" s="6">
        <f t="shared" si="129"/>
        <v>0</v>
      </c>
      <c r="CP86" s="6">
        <v>0</v>
      </c>
      <c r="CQ86" s="6">
        <f t="shared" si="130"/>
        <v>0</v>
      </c>
      <c r="CR86" s="6">
        <f t="shared" si="131"/>
        <v>0</v>
      </c>
      <c r="CS86" s="6">
        <v>0</v>
      </c>
      <c r="CT86" s="6">
        <f t="shared" si="132"/>
        <v>0</v>
      </c>
      <c r="CU86" s="6">
        <f t="shared" si="133"/>
        <v>0</v>
      </c>
      <c r="CV86" s="6">
        <v>0</v>
      </c>
      <c r="CW86" s="6">
        <f t="shared" si="134"/>
        <v>0</v>
      </c>
      <c r="CX86" s="6">
        <f t="shared" si="135"/>
        <v>0</v>
      </c>
      <c r="CY86" s="6">
        <v>0</v>
      </c>
      <c r="CZ86" s="6">
        <f t="shared" si="136"/>
        <v>0</v>
      </c>
      <c r="DA86" s="6">
        <f t="shared" si="137"/>
        <v>0</v>
      </c>
      <c r="DB86" s="6">
        <v>0</v>
      </c>
      <c r="DC86" s="6">
        <f t="shared" si="138"/>
        <v>0</v>
      </c>
      <c r="DD86" s="6">
        <f t="shared" si="139"/>
        <v>0</v>
      </c>
      <c r="DE86" s="6">
        <v>0</v>
      </c>
      <c r="DF86" s="6">
        <f t="shared" si="140"/>
        <v>0</v>
      </c>
      <c r="DG86" s="6">
        <f t="shared" si="141"/>
        <v>0</v>
      </c>
      <c r="DH86" s="6">
        <v>0</v>
      </c>
      <c r="DI86" s="6">
        <f t="shared" si="142"/>
        <v>0</v>
      </c>
      <c r="DJ86" s="6">
        <f t="shared" si="143"/>
        <v>0</v>
      </c>
      <c r="DK86" s="6">
        <v>0</v>
      </c>
      <c r="DL86" s="6">
        <f t="shared" si="144"/>
        <v>0</v>
      </c>
      <c r="DM86" s="6">
        <f t="shared" si="145"/>
        <v>0</v>
      </c>
      <c r="DN86" s="6">
        <v>0</v>
      </c>
      <c r="DO86" s="6">
        <f t="shared" si="146"/>
        <v>0</v>
      </c>
      <c r="DP86" s="6">
        <f t="shared" si="147"/>
        <v>0</v>
      </c>
    </row>
    <row r="87" spans="1:120" x14ac:dyDescent="0.2">
      <c r="A87" s="21">
        <v>85</v>
      </c>
      <c r="B87" s="21" t="s">
        <v>612</v>
      </c>
      <c r="C87" s="21">
        <v>85230</v>
      </c>
      <c r="D87" s="21" t="s">
        <v>614</v>
      </c>
      <c r="E87" s="21" t="s">
        <v>542</v>
      </c>
      <c r="F87" s="22" t="s">
        <v>669</v>
      </c>
      <c r="G87" s="4" t="s">
        <v>199</v>
      </c>
      <c r="H87" s="6">
        <v>25671.59</v>
      </c>
      <c r="I87" s="6">
        <f t="shared" si="148"/>
        <v>70.333123287671228</v>
      </c>
      <c r="J87" s="6">
        <v>18908</v>
      </c>
      <c r="K87" s="6">
        <v>9371.35</v>
      </c>
      <c r="L87" s="6">
        <f t="shared" si="149"/>
        <v>25.604781420765029</v>
      </c>
      <c r="M87" s="6">
        <v>13630</v>
      </c>
      <c r="N87" s="6">
        <v>4553.91</v>
      </c>
      <c r="O87" s="6">
        <f t="shared" si="150"/>
        <v>12.476465753424657</v>
      </c>
      <c r="P87" s="6">
        <v>26430</v>
      </c>
      <c r="Q87" s="6">
        <v>2657.03</v>
      </c>
      <c r="R87" s="6">
        <f t="shared" si="151"/>
        <v>14.679723756906078</v>
      </c>
      <c r="S87" s="6">
        <v>21372</v>
      </c>
      <c r="T87" s="6">
        <f t="shared" si="80"/>
        <v>21372</v>
      </c>
      <c r="U87" s="6">
        <f t="shared" si="81"/>
        <v>58.553424657534244</v>
      </c>
      <c r="V87" s="6">
        <v>15959</v>
      </c>
      <c r="W87" s="6">
        <f t="shared" si="82"/>
        <v>15959</v>
      </c>
      <c r="X87" s="6">
        <f t="shared" si="83"/>
        <v>43.723287671232875</v>
      </c>
      <c r="Y87" s="6">
        <v>13255</v>
      </c>
      <c r="Z87" s="6">
        <f t="shared" si="84"/>
        <v>13255</v>
      </c>
      <c r="AA87" s="6">
        <f t="shared" si="85"/>
        <v>36.315068493150683</v>
      </c>
      <c r="AB87" s="6">
        <v>11058</v>
      </c>
      <c r="AC87" s="6">
        <f t="shared" si="86"/>
        <v>11058</v>
      </c>
      <c r="AD87" s="6">
        <f t="shared" si="87"/>
        <v>30.295890410958904</v>
      </c>
      <c r="AE87" s="6">
        <v>9248</v>
      </c>
      <c r="AF87" s="6">
        <f t="shared" si="88"/>
        <v>9248</v>
      </c>
      <c r="AG87" s="6">
        <f t="shared" si="89"/>
        <v>25.336986301369862</v>
      </c>
      <c r="AH87" s="6">
        <v>7763</v>
      </c>
      <c r="AI87" s="6">
        <f t="shared" si="90"/>
        <v>7763</v>
      </c>
      <c r="AJ87" s="6">
        <f t="shared" si="91"/>
        <v>21.268493150684932</v>
      </c>
      <c r="AK87" s="6">
        <v>6494</v>
      </c>
      <c r="AL87" s="6">
        <f t="shared" si="92"/>
        <v>6494</v>
      </c>
      <c r="AM87" s="6">
        <f t="shared" si="93"/>
        <v>17.791780821917808</v>
      </c>
      <c r="AN87" s="6">
        <v>5457</v>
      </c>
      <c r="AO87" s="6">
        <f t="shared" si="94"/>
        <v>5457</v>
      </c>
      <c r="AP87" s="6">
        <f t="shared" si="95"/>
        <v>14.950684931506849</v>
      </c>
      <c r="AQ87" s="6">
        <v>4589</v>
      </c>
      <c r="AR87" s="6">
        <f t="shared" si="96"/>
        <v>4589</v>
      </c>
      <c r="AS87" s="6">
        <f t="shared" si="97"/>
        <v>12.572602739726028</v>
      </c>
      <c r="AT87" s="6">
        <v>3872</v>
      </c>
      <c r="AU87" s="6">
        <f t="shared" si="98"/>
        <v>3872</v>
      </c>
      <c r="AV87" s="6">
        <f t="shared" si="99"/>
        <v>10.608219178082193</v>
      </c>
      <c r="AW87" s="6">
        <v>0</v>
      </c>
      <c r="AX87" s="6">
        <f t="shared" si="100"/>
        <v>0</v>
      </c>
      <c r="AY87" s="6">
        <f t="shared" si="101"/>
        <v>0</v>
      </c>
      <c r="AZ87" s="6">
        <v>0</v>
      </c>
      <c r="BA87" s="6">
        <f t="shared" si="102"/>
        <v>0</v>
      </c>
      <c r="BB87" s="6">
        <f t="shared" si="103"/>
        <v>0</v>
      </c>
      <c r="BC87" s="6">
        <v>0</v>
      </c>
      <c r="BD87" s="6">
        <f t="shared" si="104"/>
        <v>0</v>
      </c>
      <c r="BE87" s="6">
        <f t="shared" si="105"/>
        <v>0</v>
      </c>
      <c r="BF87" s="6">
        <v>0</v>
      </c>
      <c r="BG87" s="6">
        <f t="shared" si="106"/>
        <v>0</v>
      </c>
      <c r="BH87" s="6">
        <f t="shared" si="107"/>
        <v>0</v>
      </c>
      <c r="BI87" s="6">
        <v>0</v>
      </c>
      <c r="BJ87" s="6">
        <f t="shared" si="108"/>
        <v>0</v>
      </c>
      <c r="BK87" s="6">
        <f t="shared" si="109"/>
        <v>0</v>
      </c>
      <c r="BL87" s="6">
        <v>0</v>
      </c>
      <c r="BM87" s="6">
        <f t="shared" si="110"/>
        <v>0</v>
      </c>
      <c r="BN87" s="6">
        <f t="shared" si="111"/>
        <v>0</v>
      </c>
      <c r="BO87" s="6">
        <v>0</v>
      </c>
      <c r="BP87" s="6">
        <f t="shared" si="112"/>
        <v>0</v>
      </c>
      <c r="BQ87" s="6">
        <f t="shared" si="113"/>
        <v>0</v>
      </c>
      <c r="BR87" s="6">
        <v>0</v>
      </c>
      <c r="BS87" s="6">
        <f t="shared" si="114"/>
        <v>0</v>
      </c>
      <c r="BT87" s="6">
        <f t="shared" si="115"/>
        <v>0</v>
      </c>
      <c r="BU87" s="6">
        <v>0</v>
      </c>
      <c r="BV87" s="6">
        <f t="shared" si="116"/>
        <v>0</v>
      </c>
      <c r="BW87" s="6">
        <f t="shared" si="117"/>
        <v>0</v>
      </c>
      <c r="BX87" s="6">
        <v>0</v>
      </c>
      <c r="BY87" s="6">
        <f t="shared" si="118"/>
        <v>0</v>
      </c>
      <c r="BZ87" s="6">
        <f t="shared" si="119"/>
        <v>0</v>
      </c>
      <c r="CA87" s="6">
        <v>0</v>
      </c>
      <c r="CB87" s="6">
        <f t="shared" si="120"/>
        <v>0</v>
      </c>
      <c r="CC87" s="6">
        <f t="shared" si="121"/>
        <v>0</v>
      </c>
      <c r="CD87" s="6">
        <v>0</v>
      </c>
      <c r="CE87" s="6">
        <f t="shared" si="122"/>
        <v>0</v>
      </c>
      <c r="CF87" s="6">
        <f t="shared" si="123"/>
        <v>0</v>
      </c>
      <c r="CG87" s="6">
        <v>0</v>
      </c>
      <c r="CH87" s="6">
        <f t="shared" si="124"/>
        <v>0</v>
      </c>
      <c r="CI87" s="6">
        <f t="shared" si="125"/>
        <v>0</v>
      </c>
      <c r="CJ87" s="6">
        <v>0</v>
      </c>
      <c r="CK87" s="6">
        <f t="shared" si="126"/>
        <v>0</v>
      </c>
      <c r="CL87" s="6">
        <f t="shared" si="127"/>
        <v>0</v>
      </c>
      <c r="CM87" s="6">
        <v>0</v>
      </c>
      <c r="CN87" s="6">
        <f t="shared" si="128"/>
        <v>0</v>
      </c>
      <c r="CO87" s="6">
        <f t="shared" si="129"/>
        <v>0</v>
      </c>
      <c r="CP87" s="6">
        <v>0</v>
      </c>
      <c r="CQ87" s="6">
        <f t="shared" si="130"/>
        <v>0</v>
      </c>
      <c r="CR87" s="6">
        <f t="shared" si="131"/>
        <v>0</v>
      </c>
      <c r="CS87" s="6">
        <v>0</v>
      </c>
      <c r="CT87" s="6">
        <f t="shared" si="132"/>
        <v>0</v>
      </c>
      <c r="CU87" s="6">
        <f t="shared" si="133"/>
        <v>0</v>
      </c>
      <c r="CV87" s="6">
        <v>0</v>
      </c>
      <c r="CW87" s="6">
        <f t="shared" si="134"/>
        <v>0</v>
      </c>
      <c r="CX87" s="6">
        <f t="shared" si="135"/>
        <v>0</v>
      </c>
      <c r="CY87" s="6">
        <v>0</v>
      </c>
      <c r="CZ87" s="6">
        <f t="shared" si="136"/>
        <v>0</v>
      </c>
      <c r="DA87" s="6">
        <f t="shared" si="137"/>
        <v>0</v>
      </c>
      <c r="DB87" s="6">
        <v>0</v>
      </c>
      <c r="DC87" s="6">
        <f t="shared" si="138"/>
        <v>0</v>
      </c>
      <c r="DD87" s="6">
        <f t="shared" si="139"/>
        <v>0</v>
      </c>
      <c r="DE87" s="6">
        <v>0</v>
      </c>
      <c r="DF87" s="6">
        <f t="shared" si="140"/>
        <v>0</v>
      </c>
      <c r="DG87" s="6">
        <f t="shared" si="141"/>
        <v>0</v>
      </c>
      <c r="DH87" s="6">
        <v>0</v>
      </c>
      <c r="DI87" s="6">
        <f t="shared" si="142"/>
        <v>0</v>
      </c>
      <c r="DJ87" s="6">
        <f t="shared" si="143"/>
        <v>0</v>
      </c>
      <c r="DK87" s="6">
        <v>0</v>
      </c>
      <c r="DL87" s="6">
        <f t="shared" si="144"/>
        <v>0</v>
      </c>
      <c r="DM87" s="6">
        <f t="shared" si="145"/>
        <v>0</v>
      </c>
      <c r="DN87" s="6">
        <v>0</v>
      </c>
      <c r="DO87" s="6">
        <f t="shared" si="146"/>
        <v>0</v>
      </c>
      <c r="DP87" s="6">
        <f t="shared" si="147"/>
        <v>0</v>
      </c>
    </row>
    <row r="88" spans="1:120" x14ac:dyDescent="0.2">
      <c r="A88" s="21">
        <v>50</v>
      </c>
      <c r="B88" s="21" t="s">
        <v>675</v>
      </c>
      <c r="C88" s="21">
        <v>50124</v>
      </c>
      <c r="D88" s="21" t="s">
        <v>704</v>
      </c>
      <c r="E88" s="21" t="s">
        <v>542</v>
      </c>
      <c r="F88" s="22" t="s">
        <v>693</v>
      </c>
      <c r="G88" s="4" t="s">
        <v>200</v>
      </c>
      <c r="H88" s="6">
        <v>52219.12</v>
      </c>
      <c r="I88" s="6">
        <f t="shared" si="148"/>
        <v>143.06608219178082</v>
      </c>
      <c r="J88" s="6">
        <v>42155</v>
      </c>
      <c r="K88" s="6">
        <v>47063.06</v>
      </c>
      <c r="L88" s="6">
        <f t="shared" si="149"/>
        <v>128.5875956284153</v>
      </c>
      <c r="M88" s="6">
        <v>33921</v>
      </c>
      <c r="N88" s="6">
        <v>38572.97</v>
      </c>
      <c r="O88" s="6">
        <f t="shared" si="150"/>
        <v>105.6793698630137</v>
      </c>
      <c r="P88" s="6">
        <v>27378</v>
      </c>
      <c r="Q88" s="6">
        <v>18098.16</v>
      </c>
      <c r="R88" s="6">
        <f t="shared" si="151"/>
        <v>99.989834254143645</v>
      </c>
      <c r="S88" s="6">
        <v>22096</v>
      </c>
      <c r="T88" s="6">
        <f t="shared" si="80"/>
        <v>22096</v>
      </c>
      <c r="U88" s="6">
        <f t="shared" si="81"/>
        <v>60.536986301369865</v>
      </c>
      <c r="V88" s="6">
        <v>17880</v>
      </c>
      <c r="W88" s="6">
        <f t="shared" si="82"/>
        <v>17880</v>
      </c>
      <c r="X88" s="6">
        <f t="shared" si="83"/>
        <v>48.986301369863014</v>
      </c>
      <c r="Y88" s="6">
        <v>14386</v>
      </c>
      <c r="Z88" s="6">
        <f t="shared" si="84"/>
        <v>14386</v>
      </c>
      <c r="AA88" s="6">
        <f t="shared" si="85"/>
        <v>39.413698630136984</v>
      </c>
      <c r="AB88" s="6">
        <v>0</v>
      </c>
      <c r="AC88" s="6">
        <f t="shared" si="86"/>
        <v>0</v>
      </c>
      <c r="AD88" s="6">
        <f t="shared" si="87"/>
        <v>0</v>
      </c>
      <c r="AE88" s="6">
        <v>0</v>
      </c>
      <c r="AF88" s="6">
        <f t="shared" si="88"/>
        <v>0</v>
      </c>
      <c r="AG88" s="6">
        <f t="shared" si="89"/>
        <v>0</v>
      </c>
      <c r="AH88" s="6">
        <v>0</v>
      </c>
      <c r="AI88" s="6">
        <f t="shared" si="90"/>
        <v>0</v>
      </c>
      <c r="AJ88" s="6">
        <f t="shared" si="91"/>
        <v>0</v>
      </c>
      <c r="AK88" s="6">
        <v>0</v>
      </c>
      <c r="AL88" s="6">
        <f t="shared" si="92"/>
        <v>0</v>
      </c>
      <c r="AM88" s="6">
        <f t="shared" si="93"/>
        <v>0</v>
      </c>
      <c r="AN88" s="6">
        <v>0</v>
      </c>
      <c r="AO88" s="6">
        <f t="shared" si="94"/>
        <v>0</v>
      </c>
      <c r="AP88" s="6">
        <f t="shared" si="95"/>
        <v>0</v>
      </c>
      <c r="AQ88" s="6">
        <v>0</v>
      </c>
      <c r="AR88" s="6">
        <f t="shared" si="96"/>
        <v>0</v>
      </c>
      <c r="AS88" s="6">
        <f t="shared" si="97"/>
        <v>0</v>
      </c>
      <c r="AT88" s="6">
        <v>0</v>
      </c>
      <c r="AU88" s="6">
        <f t="shared" si="98"/>
        <v>0</v>
      </c>
      <c r="AV88" s="6">
        <f t="shared" si="99"/>
        <v>0</v>
      </c>
      <c r="AW88" s="6">
        <v>0</v>
      </c>
      <c r="AX88" s="6">
        <f t="shared" si="100"/>
        <v>0</v>
      </c>
      <c r="AY88" s="6">
        <f t="shared" si="101"/>
        <v>0</v>
      </c>
      <c r="AZ88" s="6">
        <v>0</v>
      </c>
      <c r="BA88" s="6">
        <f t="shared" si="102"/>
        <v>0</v>
      </c>
      <c r="BB88" s="6">
        <f t="shared" si="103"/>
        <v>0</v>
      </c>
      <c r="BC88" s="6">
        <v>0</v>
      </c>
      <c r="BD88" s="6">
        <f t="shared" si="104"/>
        <v>0</v>
      </c>
      <c r="BE88" s="6">
        <f t="shared" si="105"/>
        <v>0</v>
      </c>
      <c r="BF88" s="6">
        <v>0</v>
      </c>
      <c r="BG88" s="6">
        <f t="shared" si="106"/>
        <v>0</v>
      </c>
      <c r="BH88" s="6">
        <f t="shared" si="107"/>
        <v>0</v>
      </c>
      <c r="BI88" s="6">
        <v>0</v>
      </c>
      <c r="BJ88" s="6">
        <f t="shared" si="108"/>
        <v>0</v>
      </c>
      <c r="BK88" s="6">
        <f t="shared" si="109"/>
        <v>0</v>
      </c>
      <c r="BL88" s="6">
        <v>0</v>
      </c>
      <c r="BM88" s="6">
        <f t="shared" si="110"/>
        <v>0</v>
      </c>
      <c r="BN88" s="6">
        <f t="shared" si="111"/>
        <v>0</v>
      </c>
      <c r="BO88" s="6">
        <v>0</v>
      </c>
      <c r="BP88" s="6">
        <f t="shared" si="112"/>
        <v>0</v>
      </c>
      <c r="BQ88" s="6">
        <f t="shared" si="113"/>
        <v>0</v>
      </c>
      <c r="BR88" s="6">
        <v>0</v>
      </c>
      <c r="BS88" s="6">
        <f t="shared" si="114"/>
        <v>0</v>
      </c>
      <c r="BT88" s="6">
        <f t="shared" si="115"/>
        <v>0</v>
      </c>
      <c r="BU88" s="6">
        <v>0</v>
      </c>
      <c r="BV88" s="6">
        <f t="shared" si="116"/>
        <v>0</v>
      </c>
      <c r="BW88" s="6">
        <f t="shared" si="117"/>
        <v>0</v>
      </c>
      <c r="BX88" s="6">
        <v>0</v>
      </c>
      <c r="BY88" s="6">
        <f t="shared" si="118"/>
        <v>0</v>
      </c>
      <c r="BZ88" s="6">
        <f t="shared" si="119"/>
        <v>0</v>
      </c>
      <c r="CA88" s="6">
        <v>0</v>
      </c>
      <c r="CB88" s="6">
        <f t="shared" si="120"/>
        <v>0</v>
      </c>
      <c r="CC88" s="6">
        <f t="shared" si="121"/>
        <v>0</v>
      </c>
      <c r="CD88" s="6">
        <v>0</v>
      </c>
      <c r="CE88" s="6">
        <f t="shared" si="122"/>
        <v>0</v>
      </c>
      <c r="CF88" s="6">
        <f t="shared" si="123"/>
        <v>0</v>
      </c>
      <c r="CG88" s="6">
        <v>0</v>
      </c>
      <c r="CH88" s="6">
        <f t="shared" si="124"/>
        <v>0</v>
      </c>
      <c r="CI88" s="6">
        <f t="shared" si="125"/>
        <v>0</v>
      </c>
      <c r="CJ88" s="6">
        <v>0</v>
      </c>
      <c r="CK88" s="6">
        <f t="shared" si="126"/>
        <v>0</v>
      </c>
      <c r="CL88" s="6">
        <f t="shared" si="127"/>
        <v>0</v>
      </c>
      <c r="CM88" s="6">
        <v>0</v>
      </c>
      <c r="CN88" s="6">
        <f t="shared" si="128"/>
        <v>0</v>
      </c>
      <c r="CO88" s="6">
        <f t="shared" si="129"/>
        <v>0</v>
      </c>
      <c r="CP88" s="6">
        <v>0</v>
      </c>
      <c r="CQ88" s="6">
        <f t="shared" si="130"/>
        <v>0</v>
      </c>
      <c r="CR88" s="6">
        <f t="shared" si="131"/>
        <v>0</v>
      </c>
      <c r="CS88" s="6">
        <v>0</v>
      </c>
      <c r="CT88" s="6">
        <f t="shared" si="132"/>
        <v>0</v>
      </c>
      <c r="CU88" s="6">
        <f t="shared" si="133"/>
        <v>0</v>
      </c>
      <c r="CV88" s="6">
        <v>0</v>
      </c>
      <c r="CW88" s="6">
        <f t="shared" si="134"/>
        <v>0</v>
      </c>
      <c r="CX88" s="6">
        <f t="shared" si="135"/>
        <v>0</v>
      </c>
      <c r="CY88" s="6">
        <v>0</v>
      </c>
      <c r="CZ88" s="6">
        <f t="shared" si="136"/>
        <v>0</v>
      </c>
      <c r="DA88" s="6">
        <f t="shared" si="137"/>
        <v>0</v>
      </c>
      <c r="DB88" s="6">
        <v>0</v>
      </c>
      <c r="DC88" s="6">
        <f t="shared" si="138"/>
        <v>0</v>
      </c>
      <c r="DD88" s="6">
        <f t="shared" si="139"/>
        <v>0</v>
      </c>
      <c r="DE88" s="6">
        <v>0</v>
      </c>
      <c r="DF88" s="6">
        <f t="shared" si="140"/>
        <v>0</v>
      </c>
      <c r="DG88" s="6">
        <f t="shared" si="141"/>
        <v>0</v>
      </c>
      <c r="DH88" s="6">
        <v>0</v>
      </c>
      <c r="DI88" s="6">
        <f t="shared" si="142"/>
        <v>0</v>
      </c>
      <c r="DJ88" s="6">
        <f t="shared" si="143"/>
        <v>0</v>
      </c>
      <c r="DK88" s="6">
        <v>0</v>
      </c>
      <c r="DL88" s="6">
        <f t="shared" si="144"/>
        <v>0</v>
      </c>
      <c r="DM88" s="6">
        <f t="shared" si="145"/>
        <v>0</v>
      </c>
      <c r="DN88" s="6">
        <v>0</v>
      </c>
      <c r="DO88" s="6">
        <f t="shared" si="146"/>
        <v>0</v>
      </c>
      <c r="DP88" s="6">
        <f t="shared" si="147"/>
        <v>0</v>
      </c>
    </row>
    <row r="89" spans="1:120" x14ac:dyDescent="0.2">
      <c r="A89" s="21">
        <v>86</v>
      </c>
      <c r="B89" s="21" t="s">
        <v>664</v>
      </c>
      <c r="C89" s="21">
        <v>86568</v>
      </c>
      <c r="D89" s="21" t="s">
        <v>712</v>
      </c>
      <c r="E89" s="21" t="s">
        <v>570</v>
      </c>
      <c r="F89" s="22" t="s">
        <v>666</v>
      </c>
      <c r="G89" s="4" t="s">
        <v>201</v>
      </c>
      <c r="H89" s="6">
        <v>2278820.31</v>
      </c>
      <c r="I89" s="6">
        <f t="shared" si="148"/>
        <v>6243.3433150684932</v>
      </c>
      <c r="J89" s="6">
        <v>2100365.4939999999</v>
      </c>
      <c r="K89" s="6">
        <v>1865800.83</v>
      </c>
      <c r="L89" s="6">
        <f t="shared" si="149"/>
        <v>5097.8164754098361</v>
      </c>
      <c r="M89" s="6">
        <v>2676389.9147000001</v>
      </c>
      <c r="N89" s="6">
        <v>2170347.7200000002</v>
      </c>
      <c r="O89" s="6">
        <f t="shared" si="150"/>
        <v>5946.1581369863015</v>
      </c>
      <c r="P89" s="6">
        <v>2389487.9139999999</v>
      </c>
      <c r="Q89" s="6">
        <v>1341941.52</v>
      </c>
      <c r="R89" s="6">
        <f t="shared" si="151"/>
        <v>7414.0415469613263</v>
      </c>
      <c r="S89" s="6">
        <v>1954175.2091000001</v>
      </c>
      <c r="T89" s="6">
        <f t="shared" si="80"/>
        <v>1954175.2091000001</v>
      </c>
      <c r="U89" s="6">
        <f t="shared" si="81"/>
        <v>5353.9046824657535</v>
      </c>
      <c r="V89" s="6">
        <v>1602411.2117999999</v>
      </c>
      <c r="W89" s="6">
        <f t="shared" si="82"/>
        <v>1602411.2117999999</v>
      </c>
      <c r="X89" s="6">
        <f t="shared" si="83"/>
        <v>4390.167703561644</v>
      </c>
      <c r="Y89" s="6">
        <v>1315877.8821</v>
      </c>
      <c r="Z89" s="6">
        <f t="shared" si="84"/>
        <v>1315877.8821</v>
      </c>
      <c r="AA89" s="6">
        <f t="shared" si="85"/>
        <v>3605.1448824657537</v>
      </c>
      <c r="AB89" s="6">
        <v>1085240.5714</v>
      </c>
      <c r="AC89" s="6">
        <f t="shared" si="86"/>
        <v>1085240.5714</v>
      </c>
      <c r="AD89" s="6">
        <f t="shared" si="87"/>
        <v>2973.261839452055</v>
      </c>
      <c r="AE89" s="6">
        <v>898350.56339999998</v>
      </c>
      <c r="AF89" s="6">
        <f t="shared" si="88"/>
        <v>898350.56339999998</v>
      </c>
      <c r="AG89" s="6">
        <f t="shared" si="89"/>
        <v>2461.2344202739728</v>
      </c>
      <c r="AH89" s="6">
        <v>744146.10129999998</v>
      </c>
      <c r="AI89" s="6">
        <f t="shared" si="90"/>
        <v>744146.10129999998</v>
      </c>
      <c r="AJ89" s="6">
        <f t="shared" si="91"/>
        <v>2038.7564419178082</v>
      </c>
      <c r="AK89" s="6">
        <v>616531.07440000004</v>
      </c>
      <c r="AL89" s="6">
        <f t="shared" si="92"/>
        <v>616531.07440000004</v>
      </c>
      <c r="AM89" s="6">
        <f t="shared" si="93"/>
        <v>1689.1262312328768</v>
      </c>
      <c r="AN89" s="6">
        <v>509879.22259999998</v>
      </c>
      <c r="AO89" s="6">
        <f t="shared" si="94"/>
        <v>509879.22259999998</v>
      </c>
      <c r="AP89" s="6">
        <f t="shared" si="95"/>
        <v>1396.9293769863013</v>
      </c>
      <c r="AQ89" s="6">
        <v>0</v>
      </c>
      <c r="AR89" s="6">
        <f t="shared" si="96"/>
        <v>0</v>
      </c>
      <c r="AS89" s="6">
        <f t="shared" si="97"/>
        <v>0</v>
      </c>
      <c r="AT89" s="6">
        <v>0</v>
      </c>
      <c r="AU89" s="6">
        <f t="shared" si="98"/>
        <v>0</v>
      </c>
      <c r="AV89" s="6">
        <f t="shared" si="99"/>
        <v>0</v>
      </c>
      <c r="AW89" s="6">
        <v>0</v>
      </c>
      <c r="AX89" s="6">
        <f t="shared" si="100"/>
        <v>0</v>
      </c>
      <c r="AY89" s="6">
        <f t="shared" si="101"/>
        <v>0</v>
      </c>
      <c r="AZ89" s="6">
        <v>0</v>
      </c>
      <c r="BA89" s="6">
        <f t="shared" si="102"/>
        <v>0</v>
      </c>
      <c r="BB89" s="6">
        <f t="shared" si="103"/>
        <v>0</v>
      </c>
      <c r="BC89" s="6">
        <v>0</v>
      </c>
      <c r="BD89" s="6">
        <f t="shared" si="104"/>
        <v>0</v>
      </c>
      <c r="BE89" s="6">
        <f t="shared" si="105"/>
        <v>0</v>
      </c>
      <c r="BF89" s="6">
        <v>0</v>
      </c>
      <c r="BG89" s="6">
        <f t="shared" si="106"/>
        <v>0</v>
      </c>
      <c r="BH89" s="6">
        <f t="shared" si="107"/>
        <v>0</v>
      </c>
      <c r="BI89" s="6">
        <v>0</v>
      </c>
      <c r="BJ89" s="6">
        <f t="shared" si="108"/>
        <v>0</v>
      </c>
      <c r="BK89" s="6">
        <f t="shared" si="109"/>
        <v>0</v>
      </c>
      <c r="BL89" s="6">
        <v>0</v>
      </c>
      <c r="BM89" s="6">
        <f t="shared" si="110"/>
        <v>0</v>
      </c>
      <c r="BN89" s="6">
        <f t="shared" si="111"/>
        <v>0</v>
      </c>
      <c r="BO89" s="6">
        <v>0</v>
      </c>
      <c r="BP89" s="6">
        <f t="shared" si="112"/>
        <v>0</v>
      </c>
      <c r="BQ89" s="6">
        <f t="shared" si="113"/>
        <v>0</v>
      </c>
      <c r="BR89" s="6">
        <v>0</v>
      </c>
      <c r="BS89" s="6">
        <f t="shared" si="114"/>
        <v>0</v>
      </c>
      <c r="BT89" s="6">
        <f t="shared" si="115"/>
        <v>0</v>
      </c>
      <c r="BU89" s="6">
        <v>0</v>
      </c>
      <c r="BV89" s="6">
        <f t="shared" si="116"/>
        <v>0</v>
      </c>
      <c r="BW89" s="6">
        <f t="shared" si="117"/>
        <v>0</v>
      </c>
      <c r="BX89" s="6">
        <v>0</v>
      </c>
      <c r="BY89" s="6">
        <f t="shared" si="118"/>
        <v>0</v>
      </c>
      <c r="BZ89" s="6">
        <f t="shared" si="119"/>
        <v>0</v>
      </c>
      <c r="CA89" s="6">
        <v>0</v>
      </c>
      <c r="CB89" s="6">
        <f t="shared" si="120"/>
        <v>0</v>
      </c>
      <c r="CC89" s="6">
        <f t="shared" si="121"/>
        <v>0</v>
      </c>
      <c r="CD89" s="6">
        <v>0</v>
      </c>
      <c r="CE89" s="6">
        <f t="shared" si="122"/>
        <v>0</v>
      </c>
      <c r="CF89" s="6">
        <f t="shared" si="123"/>
        <v>0</v>
      </c>
      <c r="CG89" s="6">
        <v>0</v>
      </c>
      <c r="CH89" s="6">
        <f t="shared" si="124"/>
        <v>0</v>
      </c>
      <c r="CI89" s="6">
        <f t="shared" si="125"/>
        <v>0</v>
      </c>
      <c r="CJ89" s="6">
        <v>0</v>
      </c>
      <c r="CK89" s="6">
        <f t="shared" si="126"/>
        <v>0</v>
      </c>
      <c r="CL89" s="6">
        <f t="shared" si="127"/>
        <v>0</v>
      </c>
      <c r="CM89" s="6">
        <v>0</v>
      </c>
      <c r="CN89" s="6">
        <f t="shared" si="128"/>
        <v>0</v>
      </c>
      <c r="CO89" s="6">
        <f t="shared" si="129"/>
        <v>0</v>
      </c>
      <c r="CP89" s="6">
        <v>0</v>
      </c>
      <c r="CQ89" s="6">
        <f t="shared" si="130"/>
        <v>0</v>
      </c>
      <c r="CR89" s="6">
        <f t="shared" si="131"/>
        <v>0</v>
      </c>
      <c r="CS89" s="6">
        <v>0</v>
      </c>
      <c r="CT89" s="6">
        <f t="shared" si="132"/>
        <v>0</v>
      </c>
      <c r="CU89" s="6">
        <f t="shared" si="133"/>
        <v>0</v>
      </c>
      <c r="CV89" s="6">
        <v>0</v>
      </c>
      <c r="CW89" s="6">
        <f t="shared" si="134"/>
        <v>0</v>
      </c>
      <c r="CX89" s="6">
        <f t="shared" si="135"/>
        <v>0</v>
      </c>
      <c r="CY89" s="6">
        <v>0</v>
      </c>
      <c r="CZ89" s="6">
        <f t="shared" si="136"/>
        <v>0</v>
      </c>
      <c r="DA89" s="6">
        <f t="shared" si="137"/>
        <v>0</v>
      </c>
      <c r="DB89" s="6">
        <v>0</v>
      </c>
      <c r="DC89" s="6">
        <f t="shared" si="138"/>
        <v>0</v>
      </c>
      <c r="DD89" s="6">
        <f t="shared" si="139"/>
        <v>0</v>
      </c>
      <c r="DE89" s="6">
        <v>0</v>
      </c>
      <c r="DF89" s="6">
        <f t="shared" si="140"/>
        <v>0</v>
      </c>
      <c r="DG89" s="6">
        <f t="shared" si="141"/>
        <v>0</v>
      </c>
      <c r="DH89" s="6">
        <v>0</v>
      </c>
      <c r="DI89" s="6">
        <f t="shared" si="142"/>
        <v>0</v>
      </c>
      <c r="DJ89" s="6">
        <f t="shared" si="143"/>
        <v>0</v>
      </c>
      <c r="DK89" s="6">
        <v>0</v>
      </c>
      <c r="DL89" s="6">
        <f t="shared" si="144"/>
        <v>0</v>
      </c>
      <c r="DM89" s="6">
        <f t="shared" si="145"/>
        <v>0</v>
      </c>
      <c r="DN89" s="6">
        <v>0</v>
      </c>
      <c r="DO89" s="6">
        <f t="shared" si="146"/>
        <v>0</v>
      </c>
      <c r="DP89" s="6">
        <f t="shared" si="147"/>
        <v>0</v>
      </c>
    </row>
    <row r="90" spans="1:120" x14ac:dyDescent="0.2">
      <c r="A90" s="21">
        <v>68</v>
      </c>
      <c r="B90" s="21" t="s">
        <v>673</v>
      </c>
      <c r="C90" s="21">
        <v>68615</v>
      </c>
      <c r="D90" s="21" t="s">
        <v>695</v>
      </c>
      <c r="E90" s="21" t="s">
        <v>564</v>
      </c>
      <c r="F90" s="22" t="s">
        <v>669</v>
      </c>
      <c r="G90" s="4" t="s">
        <v>202</v>
      </c>
      <c r="H90" s="6">
        <v>61936.4</v>
      </c>
      <c r="I90" s="6">
        <f t="shared" si="148"/>
        <v>169.68876712328768</v>
      </c>
      <c r="J90" s="6">
        <v>57462.493000000002</v>
      </c>
      <c r="K90" s="6">
        <v>38529.31</v>
      </c>
      <c r="L90" s="6">
        <f t="shared" si="149"/>
        <v>105.2713387978142</v>
      </c>
      <c r="M90" s="6">
        <v>50091.133999999998</v>
      </c>
      <c r="N90" s="6">
        <v>56920.71</v>
      </c>
      <c r="O90" s="6">
        <f t="shared" si="150"/>
        <v>155.9471506849315</v>
      </c>
      <c r="P90" s="6">
        <v>43805.542500000003</v>
      </c>
      <c r="Q90" s="6">
        <v>25625.26</v>
      </c>
      <c r="R90" s="6">
        <f t="shared" si="151"/>
        <v>141.5760220994475</v>
      </c>
      <c r="S90" s="6">
        <v>38319.319499999998</v>
      </c>
      <c r="T90" s="6">
        <f t="shared" si="80"/>
        <v>38319.319499999998</v>
      </c>
      <c r="U90" s="6">
        <f t="shared" si="81"/>
        <v>104.98443698630136</v>
      </c>
      <c r="V90" s="6">
        <v>33615.257599999997</v>
      </c>
      <c r="W90" s="6">
        <f t="shared" si="82"/>
        <v>33615.257599999997</v>
      </c>
      <c r="X90" s="6">
        <f t="shared" si="83"/>
        <v>92.096596164383556</v>
      </c>
      <c r="Y90" s="6">
        <v>29335.492099999999</v>
      </c>
      <c r="Z90" s="6">
        <f t="shared" si="84"/>
        <v>29335.492099999999</v>
      </c>
      <c r="AA90" s="6">
        <f t="shared" si="85"/>
        <v>80.371211232876718</v>
      </c>
      <c r="AB90" s="6">
        <v>25682.443299999999</v>
      </c>
      <c r="AC90" s="6">
        <f t="shared" si="86"/>
        <v>25682.443299999999</v>
      </c>
      <c r="AD90" s="6">
        <f t="shared" si="87"/>
        <v>70.362858356164381</v>
      </c>
      <c r="AE90" s="6">
        <v>22490.265599999999</v>
      </c>
      <c r="AF90" s="6">
        <f t="shared" si="88"/>
        <v>22490.265599999999</v>
      </c>
      <c r="AG90" s="6">
        <f t="shared" si="89"/>
        <v>61.617166027397261</v>
      </c>
      <c r="AH90" s="6">
        <v>18864.682400000002</v>
      </c>
      <c r="AI90" s="6">
        <f t="shared" si="90"/>
        <v>18864.682400000002</v>
      </c>
      <c r="AJ90" s="6">
        <f t="shared" si="91"/>
        <v>51.684061369863016</v>
      </c>
      <c r="AK90" s="6">
        <v>15394.755800000001</v>
      </c>
      <c r="AL90" s="6">
        <f t="shared" si="92"/>
        <v>15394.755800000001</v>
      </c>
      <c r="AM90" s="6">
        <f t="shared" si="93"/>
        <v>42.177413150684934</v>
      </c>
      <c r="AN90" s="6">
        <v>1090.8621000000001</v>
      </c>
      <c r="AO90" s="6">
        <f t="shared" si="94"/>
        <v>1090.8621000000001</v>
      </c>
      <c r="AP90" s="6">
        <f t="shared" si="95"/>
        <v>2.9886632876712329</v>
      </c>
      <c r="AQ90" s="6">
        <v>0</v>
      </c>
      <c r="AR90" s="6">
        <f t="shared" si="96"/>
        <v>0</v>
      </c>
      <c r="AS90" s="6">
        <f t="shared" si="97"/>
        <v>0</v>
      </c>
      <c r="AT90" s="6">
        <v>0</v>
      </c>
      <c r="AU90" s="6">
        <f t="shared" si="98"/>
        <v>0</v>
      </c>
      <c r="AV90" s="6">
        <f t="shared" si="99"/>
        <v>0</v>
      </c>
      <c r="AW90" s="6">
        <v>0</v>
      </c>
      <c r="AX90" s="6">
        <f t="shared" si="100"/>
        <v>0</v>
      </c>
      <c r="AY90" s="6">
        <f t="shared" si="101"/>
        <v>0</v>
      </c>
      <c r="AZ90" s="6">
        <v>0</v>
      </c>
      <c r="BA90" s="6">
        <f t="shared" si="102"/>
        <v>0</v>
      </c>
      <c r="BB90" s="6">
        <f t="shared" si="103"/>
        <v>0</v>
      </c>
      <c r="BC90" s="6">
        <v>0</v>
      </c>
      <c r="BD90" s="6">
        <f t="shared" si="104"/>
        <v>0</v>
      </c>
      <c r="BE90" s="6">
        <f t="shared" si="105"/>
        <v>0</v>
      </c>
      <c r="BF90" s="6">
        <v>0</v>
      </c>
      <c r="BG90" s="6">
        <f t="shared" si="106"/>
        <v>0</v>
      </c>
      <c r="BH90" s="6">
        <f t="shared" si="107"/>
        <v>0</v>
      </c>
      <c r="BI90" s="6">
        <v>0</v>
      </c>
      <c r="BJ90" s="6">
        <f t="shared" si="108"/>
        <v>0</v>
      </c>
      <c r="BK90" s="6">
        <f t="shared" si="109"/>
        <v>0</v>
      </c>
      <c r="BL90" s="6">
        <v>0</v>
      </c>
      <c r="BM90" s="6">
        <f t="shared" si="110"/>
        <v>0</v>
      </c>
      <c r="BN90" s="6">
        <f t="shared" si="111"/>
        <v>0</v>
      </c>
      <c r="BO90" s="6">
        <v>0</v>
      </c>
      <c r="BP90" s="6">
        <f t="shared" si="112"/>
        <v>0</v>
      </c>
      <c r="BQ90" s="6">
        <f t="shared" si="113"/>
        <v>0</v>
      </c>
      <c r="BR90" s="6">
        <v>0</v>
      </c>
      <c r="BS90" s="6">
        <f t="shared" si="114"/>
        <v>0</v>
      </c>
      <c r="BT90" s="6">
        <f t="shared" si="115"/>
        <v>0</v>
      </c>
      <c r="BU90" s="6">
        <v>0</v>
      </c>
      <c r="BV90" s="6">
        <f t="shared" si="116"/>
        <v>0</v>
      </c>
      <c r="BW90" s="6">
        <f t="shared" si="117"/>
        <v>0</v>
      </c>
      <c r="BX90" s="6">
        <v>0</v>
      </c>
      <c r="BY90" s="6">
        <f t="shared" si="118"/>
        <v>0</v>
      </c>
      <c r="BZ90" s="6">
        <f t="shared" si="119"/>
        <v>0</v>
      </c>
      <c r="CA90" s="6">
        <v>0</v>
      </c>
      <c r="CB90" s="6">
        <f t="shared" si="120"/>
        <v>0</v>
      </c>
      <c r="CC90" s="6">
        <f t="shared" si="121"/>
        <v>0</v>
      </c>
      <c r="CD90" s="6">
        <v>0</v>
      </c>
      <c r="CE90" s="6">
        <f t="shared" si="122"/>
        <v>0</v>
      </c>
      <c r="CF90" s="6">
        <f t="shared" si="123"/>
        <v>0</v>
      </c>
      <c r="CG90" s="6">
        <v>0</v>
      </c>
      <c r="CH90" s="6">
        <f t="shared" si="124"/>
        <v>0</v>
      </c>
      <c r="CI90" s="6">
        <f t="shared" si="125"/>
        <v>0</v>
      </c>
      <c r="CJ90" s="6">
        <v>0</v>
      </c>
      <c r="CK90" s="6">
        <f t="shared" si="126"/>
        <v>0</v>
      </c>
      <c r="CL90" s="6">
        <f t="shared" si="127"/>
        <v>0</v>
      </c>
      <c r="CM90" s="6">
        <v>0</v>
      </c>
      <c r="CN90" s="6">
        <f t="shared" si="128"/>
        <v>0</v>
      </c>
      <c r="CO90" s="6">
        <f t="shared" si="129"/>
        <v>0</v>
      </c>
      <c r="CP90" s="6">
        <v>0</v>
      </c>
      <c r="CQ90" s="6">
        <f t="shared" si="130"/>
        <v>0</v>
      </c>
      <c r="CR90" s="6">
        <f t="shared" si="131"/>
        <v>0</v>
      </c>
      <c r="CS90" s="6">
        <v>0</v>
      </c>
      <c r="CT90" s="6">
        <f t="shared" si="132"/>
        <v>0</v>
      </c>
      <c r="CU90" s="6">
        <f t="shared" si="133"/>
        <v>0</v>
      </c>
      <c r="CV90" s="6">
        <v>0</v>
      </c>
      <c r="CW90" s="6">
        <f t="shared" si="134"/>
        <v>0</v>
      </c>
      <c r="CX90" s="6">
        <f t="shared" si="135"/>
        <v>0</v>
      </c>
      <c r="CY90" s="6">
        <v>0</v>
      </c>
      <c r="CZ90" s="6">
        <f t="shared" si="136"/>
        <v>0</v>
      </c>
      <c r="DA90" s="6">
        <f t="shared" si="137"/>
        <v>0</v>
      </c>
      <c r="DB90" s="6">
        <v>0</v>
      </c>
      <c r="DC90" s="6">
        <f t="shared" si="138"/>
        <v>0</v>
      </c>
      <c r="DD90" s="6">
        <f t="shared" si="139"/>
        <v>0</v>
      </c>
      <c r="DE90" s="6">
        <v>0</v>
      </c>
      <c r="DF90" s="6">
        <f t="shared" si="140"/>
        <v>0</v>
      </c>
      <c r="DG90" s="6">
        <f t="shared" si="141"/>
        <v>0</v>
      </c>
      <c r="DH90" s="6">
        <v>0</v>
      </c>
      <c r="DI90" s="6">
        <f t="shared" si="142"/>
        <v>0</v>
      </c>
      <c r="DJ90" s="6">
        <f t="shared" si="143"/>
        <v>0</v>
      </c>
      <c r="DK90" s="6">
        <v>0</v>
      </c>
      <c r="DL90" s="6">
        <f t="shared" si="144"/>
        <v>0</v>
      </c>
      <c r="DM90" s="6">
        <f t="shared" si="145"/>
        <v>0</v>
      </c>
      <c r="DN90" s="6">
        <v>0</v>
      </c>
      <c r="DO90" s="6">
        <f t="shared" si="146"/>
        <v>0</v>
      </c>
      <c r="DP90" s="6">
        <f t="shared" si="147"/>
        <v>0</v>
      </c>
    </row>
    <row r="91" spans="1:120" x14ac:dyDescent="0.2">
      <c r="A91" s="21">
        <v>85</v>
      </c>
      <c r="B91" s="21" t="s">
        <v>612</v>
      </c>
      <c r="C91" s="21">
        <v>85325</v>
      </c>
      <c r="D91" s="21" t="s">
        <v>670</v>
      </c>
      <c r="E91" s="21" t="s">
        <v>542</v>
      </c>
      <c r="F91" s="22" t="s">
        <v>693</v>
      </c>
      <c r="G91" s="4" t="s">
        <v>203</v>
      </c>
      <c r="H91" s="6">
        <v>582064.54</v>
      </c>
      <c r="I91" s="6">
        <f t="shared" si="148"/>
        <v>1594.6973698630138</v>
      </c>
      <c r="J91" s="6">
        <v>476583</v>
      </c>
      <c r="K91" s="6">
        <v>465292.04</v>
      </c>
      <c r="L91" s="6">
        <f t="shared" si="149"/>
        <v>1271.2897267759563</v>
      </c>
      <c r="M91" s="6">
        <v>505291</v>
      </c>
      <c r="N91" s="6">
        <v>353502.1</v>
      </c>
      <c r="O91" s="6">
        <f t="shared" si="150"/>
        <v>968.49890410958892</v>
      </c>
      <c r="P91" s="6">
        <v>623389</v>
      </c>
      <c r="Q91" s="6">
        <v>159513.10999999999</v>
      </c>
      <c r="R91" s="6">
        <f t="shared" si="151"/>
        <v>881.28790055248612</v>
      </c>
      <c r="S91" s="6">
        <v>576496</v>
      </c>
      <c r="T91" s="6">
        <f t="shared" si="80"/>
        <v>576496</v>
      </c>
      <c r="U91" s="6">
        <f t="shared" si="81"/>
        <v>1579.4410958904109</v>
      </c>
      <c r="V91" s="6">
        <v>497736</v>
      </c>
      <c r="W91" s="6">
        <f t="shared" si="82"/>
        <v>497736</v>
      </c>
      <c r="X91" s="6">
        <f t="shared" si="83"/>
        <v>1363.6602739726027</v>
      </c>
      <c r="Y91" s="6">
        <v>414946</v>
      </c>
      <c r="Z91" s="6">
        <f t="shared" si="84"/>
        <v>414946</v>
      </c>
      <c r="AA91" s="6">
        <f t="shared" si="85"/>
        <v>1136.8383561643836</v>
      </c>
      <c r="AB91" s="6">
        <v>319198</v>
      </c>
      <c r="AC91" s="6">
        <f t="shared" si="86"/>
        <v>319198</v>
      </c>
      <c r="AD91" s="6">
        <f t="shared" si="87"/>
        <v>874.51506849315069</v>
      </c>
      <c r="AE91" s="6">
        <v>244798</v>
      </c>
      <c r="AF91" s="6">
        <f t="shared" si="88"/>
        <v>244798</v>
      </c>
      <c r="AG91" s="6">
        <f t="shared" si="89"/>
        <v>670.67945205479452</v>
      </c>
      <c r="AH91" s="6">
        <v>188685</v>
      </c>
      <c r="AI91" s="6">
        <f t="shared" si="90"/>
        <v>188685</v>
      </c>
      <c r="AJ91" s="6">
        <f t="shared" si="91"/>
        <v>516.94520547945206</v>
      </c>
      <c r="AK91" s="6">
        <v>144307</v>
      </c>
      <c r="AL91" s="6">
        <f t="shared" si="92"/>
        <v>144307</v>
      </c>
      <c r="AM91" s="6">
        <f t="shared" si="93"/>
        <v>395.36164383561646</v>
      </c>
      <c r="AN91" s="6">
        <v>116785</v>
      </c>
      <c r="AO91" s="6">
        <f t="shared" si="94"/>
        <v>116785</v>
      </c>
      <c r="AP91" s="6">
        <f t="shared" si="95"/>
        <v>319.95890410958901</v>
      </c>
      <c r="AQ91" s="6">
        <v>94754</v>
      </c>
      <c r="AR91" s="6">
        <f t="shared" si="96"/>
        <v>94754</v>
      </c>
      <c r="AS91" s="6">
        <f t="shared" si="97"/>
        <v>259.60000000000002</v>
      </c>
      <c r="AT91" s="6">
        <v>78101</v>
      </c>
      <c r="AU91" s="6">
        <f t="shared" si="98"/>
        <v>78101</v>
      </c>
      <c r="AV91" s="6">
        <f t="shared" si="99"/>
        <v>213.97534246575341</v>
      </c>
      <c r="AW91" s="6">
        <v>62566</v>
      </c>
      <c r="AX91" s="6">
        <f t="shared" si="100"/>
        <v>62566</v>
      </c>
      <c r="AY91" s="6">
        <f t="shared" si="101"/>
        <v>171.41369863013699</v>
      </c>
      <c r="AZ91" s="6">
        <v>0</v>
      </c>
      <c r="BA91" s="6">
        <f t="shared" si="102"/>
        <v>0</v>
      </c>
      <c r="BB91" s="6">
        <f t="shared" si="103"/>
        <v>0</v>
      </c>
      <c r="BC91" s="6">
        <v>0</v>
      </c>
      <c r="BD91" s="6">
        <f t="shared" si="104"/>
        <v>0</v>
      </c>
      <c r="BE91" s="6">
        <f t="shared" si="105"/>
        <v>0</v>
      </c>
      <c r="BF91" s="6">
        <v>0</v>
      </c>
      <c r="BG91" s="6">
        <f t="shared" si="106"/>
        <v>0</v>
      </c>
      <c r="BH91" s="6">
        <f t="shared" si="107"/>
        <v>0</v>
      </c>
      <c r="BI91" s="6">
        <v>0</v>
      </c>
      <c r="BJ91" s="6">
        <f t="shared" si="108"/>
        <v>0</v>
      </c>
      <c r="BK91" s="6">
        <f t="shared" si="109"/>
        <v>0</v>
      </c>
      <c r="BL91" s="6">
        <v>0</v>
      </c>
      <c r="BM91" s="6">
        <f t="shared" si="110"/>
        <v>0</v>
      </c>
      <c r="BN91" s="6">
        <f t="shared" si="111"/>
        <v>0</v>
      </c>
      <c r="BO91" s="6">
        <v>0</v>
      </c>
      <c r="BP91" s="6">
        <f t="shared" si="112"/>
        <v>0</v>
      </c>
      <c r="BQ91" s="6">
        <f t="shared" si="113"/>
        <v>0</v>
      </c>
      <c r="BR91" s="6">
        <v>0</v>
      </c>
      <c r="BS91" s="6">
        <f t="shared" si="114"/>
        <v>0</v>
      </c>
      <c r="BT91" s="6">
        <f t="shared" si="115"/>
        <v>0</v>
      </c>
      <c r="BU91" s="6">
        <v>0</v>
      </c>
      <c r="BV91" s="6">
        <f t="shared" si="116"/>
        <v>0</v>
      </c>
      <c r="BW91" s="6">
        <f t="shared" si="117"/>
        <v>0</v>
      </c>
      <c r="BX91" s="6">
        <v>0</v>
      </c>
      <c r="BY91" s="6">
        <f t="shared" si="118"/>
        <v>0</v>
      </c>
      <c r="BZ91" s="6">
        <f t="shared" si="119"/>
        <v>0</v>
      </c>
      <c r="CA91" s="6">
        <v>0</v>
      </c>
      <c r="CB91" s="6">
        <f t="shared" si="120"/>
        <v>0</v>
      </c>
      <c r="CC91" s="6">
        <f t="shared" si="121"/>
        <v>0</v>
      </c>
      <c r="CD91" s="6">
        <v>0</v>
      </c>
      <c r="CE91" s="6">
        <f t="shared" si="122"/>
        <v>0</v>
      </c>
      <c r="CF91" s="6">
        <f t="shared" si="123"/>
        <v>0</v>
      </c>
      <c r="CG91" s="6">
        <v>0</v>
      </c>
      <c r="CH91" s="6">
        <f t="shared" si="124"/>
        <v>0</v>
      </c>
      <c r="CI91" s="6">
        <f t="shared" si="125"/>
        <v>0</v>
      </c>
      <c r="CJ91" s="6">
        <v>0</v>
      </c>
      <c r="CK91" s="6">
        <f t="shared" si="126"/>
        <v>0</v>
      </c>
      <c r="CL91" s="6">
        <f t="shared" si="127"/>
        <v>0</v>
      </c>
      <c r="CM91" s="6">
        <v>0</v>
      </c>
      <c r="CN91" s="6">
        <f t="shared" si="128"/>
        <v>0</v>
      </c>
      <c r="CO91" s="6">
        <f t="shared" si="129"/>
        <v>0</v>
      </c>
      <c r="CP91" s="6">
        <v>0</v>
      </c>
      <c r="CQ91" s="6">
        <f t="shared" si="130"/>
        <v>0</v>
      </c>
      <c r="CR91" s="6">
        <f t="shared" si="131"/>
        <v>0</v>
      </c>
      <c r="CS91" s="6">
        <v>0</v>
      </c>
      <c r="CT91" s="6">
        <f t="shared" si="132"/>
        <v>0</v>
      </c>
      <c r="CU91" s="6">
        <f t="shared" si="133"/>
        <v>0</v>
      </c>
      <c r="CV91" s="6">
        <v>0</v>
      </c>
      <c r="CW91" s="6">
        <f t="shared" si="134"/>
        <v>0</v>
      </c>
      <c r="CX91" s="6">
        <f t="shared" si="135"/>
        <v>0</v>
      </c>
      <c r="CY91" s="6">
        <v>0</v>
      </c>
      <c r="CZ91" s="6">
        <f t="shared" si="136"/>
        <v>0</v>
      </c>
      <c r="DA91" s="6">
        <f t="shared" si="137"/>
        <v>0</v>
      </c>
      <c r="DB91" s="6">
        <v>0</v>
      </c>
      <c r="DC91" s="6">
        <f t="shared" si="138"/>
        <v>0</v>
      </c>
      <c r="DD91" s="6">
        <f t="shared" si="139"/>
        <v>0</v>
      </c>
      <c r="DE91" s="6">
        <v>0</v>
      </c>
      <c r="DF91" s="6">
        <f t="shared" si="140"/>
        <v>0</v>
      </c>
      <c r="DG91" s="6">
        <f t="shared" si="141"/>
        <v>0</v>
      </c>
      <c r="DH91" s="6">
        <v>0</v>
      </c>
      <c r="DI91" s="6">
        <f t="shared" si="142"/>
        <v>0</v>
      </c>
      <c r="DJ91" s="6">
        <f t="shared" si="143"/>
        <v>0</v>
      </c>
      <c r="DK91" s="6">
        <v>0</v>
      </c>
      <c r="DL91" s="6">
        <f t="shared" si="144"/>
        <v>0</v>
      </c>
      <c r="DM91" s="6">
        <f t="shared" si="145"/>
        <v>0</v>
      </c>
      <c r="DN91" s="6">
        <v>0</v>
      </c>
      <c r="DO91" s="6">
        <f t="shared" si="146"/>
        <v>0</v>
      </c>
      <c r="DP91" s="6">
        <f t="shared" si="147"/>
        <v>0</v>
      </c>
    </row>
    <row r="92" spans="1:120" x14ac:dyDescent="0.2">
      <c r="A92" s="21">
        <v>68</v>
      </c>
      <c r="B92" s="21" t="s">
        <v>673</v>
      </c>
      <c r="C92" s="21">
        <v>68655</v>
      </c>
      <c r="D92" s="21" t="s">
        <v>689</v>
      </c>
      <c r="E92" s="21" t="s">
        <v>713</v>
      </c>
      <c r="F92" s="22" t="s">
        <v>662</v>
      </c>
      <c r="G92" s="4" t="s">
        <v>204</v>
      </c>
      <c r="H92" s="6">
        <v>30294.639999999999</v>
      </c>
      <c r="I92" s="6">
        <f t="shared" si="148"/>
        <v>82.999013698630137</v>
      </c>
      <c r="J92" s="6">
        <v>158200</v>
      </c>
      <c r="K92" s="6">
        <v>33781.379999999997</v>
      </c>
      <c r="L92" s="6">
        <f t="shared" si="149"/>
        <v>92.298852459016388</v>
      </c>
      <c r="M92" s="6">
        <v>188700</v>
      </c>
      <c r="N92" s="6">
        <v>18279.86</v>
      </c>
      <c r="O92" s="6">
        <f t="shared" si="150"/>
        <v>50.081808219178086</v>
      </c>
      <c r="P92" s="6">
        <v>169000</v>
      </c>
      <c r="Q92" s="6">
        <v>3556.7</v>
      </c>
      <c r="R92" s="6">
        <f t="shared" si="151"/>
        <v>19.65027624309392</v>
      </c>
      <c r="S92" s="6">
        <v>151400</v>
      </c>
      <c r="T92" s="6">
        <f t="shared" si="80"/>
        <v>151400</v>
      </c>
      <c r="U92" s="6">
        <f t="shared" si="81"/>
        <v>414.79452054794518</v>
      </c>
      <c r="V92" s="6">
        <v>135900</v>
      </c>
      <c r="W92" s="6">
        <f t="shared" si="82"/>
        <v>135900</v>
      </c>
      <c r="X92" s="6">
        <f t="shared" si="83"/>
        <v>372.32876712328766</v>
      </c>
      <c r="Y92" s="6">
        <v>122300</v>
      </c>
      <c r="Z92" s="6">
        <f t="shared" si="84"/>
        <v>122300</v>
      </c>
      <c r="AA92" s="6">
        <f t="shared" si="85"/>
        <v>335.06849315068496</v>
      </c>
      <c r="AB92" s="6">
        <v>110300</v>
      </c>
      <c r="AC92" s="6">
        <f t="shared" si="86"/>
        <v>110300</v>
      </c>
      <c r="AD92" s="6">
        <f t="shared" si="87"/>
        <v>302.1917808219178</v>
      </c>
      <c r="AE92" s="6">
        <v>99500</v>
      </c>
      <c r="AF92" s="6">
        <f t="shared" si="88"/>
        <v>99500</v>
      </c>
      <c r="AG92" s="6">
        <f t="shared" si="89"/>
        <v>272.60273972602738</v>
      </c>
      <c r="AH92" s="6">
        <v>90000</v>
      </c>
      <c r="AI92" s="6">
        <f t="shared" si="90"/>
        <v>90000</v>
      </c>
      <c r="AJ92" s="6">
        <f t="shared" si="91"/>
        <v>246.57534246575344</v>
      </c>
      <c r="AK92" s="6">
        <v>81600</v>
      </c>
      <c r="AL92" s="6">
        <f t="shared" si="92"/>
        <v>81600</v>
      </c>
      <c r="AM92" s="6">
        <f t="shared" si="93"/>
        <v>223.56164383561645</v>
      </c>
      <c r="AN92" s="6">
        <v>71000</v>
      </c>
      <c r="AO92" s="6">
        <f t="shared" si="94"/>
        <v>71000</v>
      </c>
      <c r="AP92" s="6">
        <f t="shared" si="95"/>
        <v>194.52054794520549</v>
      </c>
      <c r="AQ92" s="6">
        <v>41400</v>
      </c>
      <c r="AR92" s="6">
        <f t="shared" si="96"/>
        <v>41400</v>
      </c>
      <c r="AS92" s="6">
        <f t="shared" si="97"/>
        <v>113.42465753424658</v>
      </c>
      <c r="AT92" s="6">
        <v>14300</v>
      </c>
      <c r="AU92" s="6">
        <f t="shared" si="98"/>
        <v>14300</v>
      </c>
      <c r="AV92" s="6">
        <f t="shared" si="99"/>
        <v>39.178082191780824</v>
      </c>
      <c r="AW92" s="6">
        <v>13600</v>
      </c>
      <c r="AX92" s="6">
        <f t="shared" si="100"/>
        <v>13600</v>
      </c>
      <c r="AY92" s="6">
        <f t="shared" si="101"/>
        <v>37.260273972602739</v>
      </c>
      <c r="AZ92" s="6">
        <v>13000</v>
      </c>
      <c r="BA92" s="6">
        <f t="shared" si="102"/>
        <v>13000</v>
      </c>
      <c r="BB92" s="6">
        <f t="shared" si="103"/>
        <v>35.61643835616438</v>
      </c>
      <c r="BC92" s="6">
        <v>12400</v>
      </c>
      <c r="BD92" s="6">
        <f t="shared" si="104"/>
        <v>12400</v>
      </c>
      <c r="BE92" s="6">
        <f t="shared" si="105"/>
        <v>33.972602739726028</v>
      </c>
      <c r="BF92" s="6">
        <v>11800</v>
      </c>
      <c r="BG92" s="6">
        <f t="shared" si="106"/>
        <v>11800</v>
      </c>
      <c r="BH92" s="6">
        <f t="shared" si="107"/>
        <v>32.328767123287669</v>
      </c>
      <c r="BI92" s="6">
        <v>11300</v>
      </c>
      <c r="BJ92" s="6">
        <f t="shared" si="108"/>
        <v>11300</v>
      </c>
      <c r="BK92" s="6">
        <f t="shared" si="109"/>
        <v>30.958904109589042</v>
      </c>
      <c r="BL92" s="6">
        <v>10800</v>
      </c>
      <c r="BM92" s="6">
        <f t="shared" si="110"/>
        <v>10800</v>
      </c>
      <c r="BN92" s="6">
        <f t="shared" si="111"/>
        <v>29.589041095890412</v>
      </c>
      <c r="BO92" s="6">
        <v>10400</v>
      </c>
      <c r="BP92" s="6">
        <f t="shared" si="112"/>
        <v>10400</v>
      </c>
      <c r="BQ92" s="6">
        <f t="shared" si="113"/>
        <v>28.493150684931507</v>
      </c>
      <c r="BR92" s="6">
        <v>10000</v>
      </c>
      <c r="BS92" s="6">
        <f t="shared" si="114"/>
        <v>10000</v>
      </c>
      <c r="BT92" s="6">
        <f t="shared" si="115"/>
        <v>27.397260273972602</v>
      </c>
      <c r="BU92" s="6">
        <v>8700</v>
      </c>
      <c r="BV92" s="6">
        <f t="shared" si="116"/>
        <v>8700</v>
      </c>
      <c r="BW92" s="6">
        <f t="shared" si="117"/>
        <v>23.835616438356166</v>
      </c>
      <c r="BX92" s="6">
        <v>8400</v>
      </c>
      <c r="BY92" s="6">
        <f t="shared" si="118"/>
        <v>8400</v>
      </c>
      <c r="BZ92" s="6">
        <f t="shared" si="119"/>
        <v>23.013698630136986</v>
      </c>
      <c r="CA92" s="6">
        <v>8000</v>
      </c>
      <c r="CB92" s="6">
        <f t="shared" si="120"/>
        <v>8000</v>
      </c>
      <c r="CC92" s="6">
        <f t="shared" si="121"/>
        <v>21.917808219178081</v>
      </c>
      <c r="CD92" s="6">
        <v>7700</v>
      </c>
      <c r="CE92" s="6">
        <f t="shared" si="122"/>
        <v>7700</v>
      </c>
      <c r="CF92" s="6">
        <f t="shared" si="123"/>
        <v>21.095890410958905</v>
      </c>
      <c r="CG92" s="6">
        <v>7400</v>
      </c>
      <c r="CH92" s="6">
        <f t="shared" si="124"/>
        <v>7400</v>
      </c>
      <c r="CI92" s="6">
        <f t="shared" si="125"/>
        <v>20.273972602739725</v>
      </c>
      <c r="CJ92" s="6">
        <v>7100</v>
      </c>
      <c r="CK92" s="6">
        <f t="shared" si="126"/>
        <v>7100</v>
      </c>
      <c r="CL92" s="6">
        <f t="shared" si="127"/>
        <v>19.452054794520549</v>
      </c>
      <c r="CM92" s="6">
        <v>6800</v>
      </c>
      <c r="CN92" s="6">
        <f t="shared" si="128"/>
        <v>6800</v>
      </c>
      <c r="CO92" s="6">
        <f t="shared" si="129"/>
        <v>18.63013698630137</v>
      </c>
      <c r="CP92" s="6">
        <v>6500</v>
      </c>
      <c r="CQ92" s="6">
        <f t="shared" si="130"/>
        <v>6500</v>
      </c>
      <c r="CR92" s="6">
        <f t="shared" si="131"/>
        <v>17.80821917808219</v>
      </c>
      <c r="CS92" s="6">
        <v>6300</v>
      </c>
      <c r="CT92" s="6">
        <f t="shared" si="132"/>
        <v>6300</v>
      </c>
      <c r="CU92" s="6">
        <f t="shared" si="133"/>
        <v>17.260273972602739</v>
      </c>
      <c r="CV92" s="6">
        <v>6000</v>
      </c>
      <c r="CW92" s="6">
        <f t="shared" si="134"/>
        <v>6000</v>
      </c>
      <c r="CX92" s="6">
        <f t="shared" si="135"/>
        <v>16.438356164383563</v>
      </c>
      <c r="CY92" s="6">
        <v>5700</v>
      </c>
      <c r="CZ92" s="6">
        <f t="shared" si="136"/>
        <v>5700</v>
      </c>
      <c r="DA92" s="6">
        <f t="shared" si="137"/>
        <v>15.616438356164384</v>
      </c>
      <c r="DB92" s="6">
        <v>2800</v>
      </c>
      <c r="DC92" s="6">
        <f t="shared" si="138"/>
        <v>2800</v>
      </c>
      <c r="DD92" s="6">
        <f t="shared" si="139"/>
        <v>7.6712328767123283</v>
      </c>
      <c r="DE92" s="6">
        <v>0</v>
      </c>
      <c r="DF92" s="6">
        <f t="shared" si="140"/>
        <v>0</v>
      </c>
      <c r="DG92" s="6">
        <f t="shared" si="141"/>
        <v>0</v>
      </c>
      <c r="DH92" s="6">
        <v>0</v>
      </c>
      <c r="DI92" s="6">
        <f t="shared" si="142"/>
        <v>0</v>
      </c>
      <c r="DJ92" s="6">
        <f t="shared" si="143"/>
        <v>0</v>
      </c>
      <c r="DK92" s="6">
        <v>0</v>
      </c>
      <c r="DL92" s="6">
        <f t="shared" si="144"/>
        <v>0</v>
      </c>
      <c r="DM92" s="6">
        <f t="shared" si="145"/>
        <v>0</v>
      </c>
      <c r="DN92" s="6">
        <v>0</v>
      </c>
      <c r="DO92" s="6">
        <f t="shared" si="146"/>
        <v>0</v>
      </c>
      <c r="DP92" s="6">
        <f t="shared" si="147"/>
        <v>0</v>
      </c>
    </row>
    <row r="93" spans="1:120" x14ac:dyDescent="0.2">
      <c r="A93" s="21">
        <v>68</v>
      </c>
      <c r="B93" s="21" t="s">
        <v>673</v>
      </c>
      <c r="C93" s="21">
        <v>68655</v>
      </c>
      <c r="D93" s="21" t="s">
        <v>689</v>
      </c>
      <c r="E93" s="21" t="s">
        <v>713</v>
      </c>
      <c r="F93" s="22" t="s">
        <v>662</v>
      </c>
      <c r="G93" s="4" t="s">
        <v>205</v>
      </c>
      <c r="H93" s="6">
        <v>52404.54</v>
      </c>
      <c r="I93" s="6">
        <f t="shared" si="148"/>
        <v>143.57408219178083</v>
      </c>
      <c r="J93" s="6">
        <v>67700</v>
      </c>
      <c r="K93" s="6">
        <v>49788.42</v>
      </c>
      <c r="L93" s="6">
        <f t="shared" si="149"/>
        <v>136.03393442622951</v>
      </c>
      <c r="M93" s="6">
        <v>70500</v>
      </c>
      <c r="N93" s="6">
        <v>53094.71</v>
      </c>
      <c r="O93" s="6">
        <f t="shared" si="150"/>
        <v>145.46495890410958</v>
      </c>
      <c r="P93" s="6">
        <v>65800</v>
      </c>
      <c r="Q93" s="6">
        <v>24480.91</v>
      </c>
      <c r="R93" s="6">
        <f t="shared" si="151"/>
        <v>135.25364640883978</v>
      </c>
      <c r="S93" s="6">
        <v>61300</v>
      </c>
      <c r="T93" s="6">
        <f t="shared" si="80"/>
        <v>61300</v>
      </c>
      <c r="U93" s="6">
        <f t="shared" si="81"/>
        <v>167.94520547945206</v>
      </c>
      <c r="V93" s="6">
        <v>57200</v>
      </c>
      <c r="W93" s="6">
        <f t="shared" si="82"/>
        <v>57200</v>
      </c>
      <c r="X93" s="6">
        <f t="shared" si="83"/>
        <v>156.7123287671233</v>
      </c>
      <c r="Y93" s="6">
        <v>53300</v>
      </c>
      <c r="Z93" s="6">
        <f t="shared" si="84"/>
        <v>53300</v>
      </c>
      <c r="AA93" s="6">
        <f t="shared" si="85"/>
        <v>146.02739726027397</v>
      </c>
      <c r="AB93" s="6">
        <v>49700</v>
      </c>
      <c r="AC93" s="6">
        <f t="shared" si="86"/>
        <v>49700</v>
      </c>
      <c r="AD93" s="6">
        <f t="shared" si="87"/>
        <v>136.16438356164383</v>
      </c>
      <c r="AE93" s="6">
        <v>35100</v>
      </c>
      <c r="AF93" s="6">
        <f t="shared" si="88"/>
        <v>35100</v>
      </c>
      <c r="AG93" s="6">
        <f t="shared" si="89"/>
        <v>96.164383561643831</v>
      </c>
      <c r="AH93" s="6">
        <v>33200</v>
      </c>
      <c r="AI93" s="6">
        <f t="shared" si="90"/>
        <v>33200</v>
      </c>
      <c r="AJ93" s="6">
        <f t="shared" si="91"/>
        <v>90.958904109589042</v>
      </c>
      <c r="AK93" s="6">
        <v>31300</v>
      </c>
      <c r="AL93" s="6">
        <f t="shared" si="92"/>
        <v>31300</v>
      </c>
      <c r="AM93" s="6">
        <f t="shared" si="93"/>
        <v>85.753424657534254</v>
      </c>
      <c r="AN93" s="6">
        <v>29600</v>
      </c>
      <c r="AO93" s="6">
        <f t="shared" si="94"/>
        <v>29600</v>
      </c>
      <c r="AP93" s="6">
        <f t="shared" si="95"/>
        <v>81.095890410958901</v>
      </c>
      <c r="AQ93" s="6">
        <v>28000</v>
      </c>
      <c r="AR93" s="6">
        <f t="shared" si="96"/>
        <v>28000</v>
      </c>
      <c r="AS93" s="6">
        <f t="shared" si="97"/>
        <v>76.712328767123282</v>
      </c>
      <c r="AT93" s="6">
        <v>26300</v>
      </c>
      <c r="AU93" s="6">
        <f t="shared" si="98"/>
        <v>26300</v>
      </c>
      <c r="AV93" s="6">
        <f t="shared" si="99"/>
        <v>72.054794520547944</v>
      </c>
      <c r="AW93" s="6">
        <v>24900</v>
      </c>
      <c r="AX93" s="6">
        <f t="shared" si="100"/>
        <v>24900</v>
      </c>
      <c r="AY93" s="6">
        <f t="shared" si="101"/>
        <v>68.219178082191775</v>
      </c>
      <c r="AZ93" s="6">
        <v>23500</v>
      </c>
      <c r="BA93" s="6">
        <f t="shared" si="102"/>
        <v>23500</v>
      </c>
      <c r="BB93" s="6">
        <f t="shared" si="103"/>
        <v>64.38356164383562</v>
      </c>
      <c r="BC93" s="6">
        <v>22200</v>
      </c>
      <c r="BD93" s="6">
        <f t="shared" si="104"/>
        <v>22200</v>
      </c>
      <c r="BE93" s="6">
        <f t="shared" si="105"/>
        <v>60.821917808219176</v>
      </c>
      <c r="BF93" s="6">
        <v>21000</v>
      </c>
      <c r="BG93" s="6">
        <f t="shared" si="106"/>
        <v>21000</v>
      </c>
      <c r="BH93" s="6">
        <f t="shared" si="107"/>
        <v>57.534246575342465</v>
      </c>
      <c r="BI93" s="6">
        <v>19800</v>
      </c>
      <c r="BJ93" s="6">
        <f t="shared" si="108"/>
        <v>19800</v>
      </c>
      <c r="BK93" s="6">
        <f t="shared" si="109"/>
        <v>54.246575342465754</v>
      </c>
      <c r="BL93" s="6">
        <v>18700</v>
      </c>
      <c r="BM93" s="6">
        <f t="shared" si="110"/>
        <v>18700</v>
      </c>
      <c r="BN93" s="6">
        <f t="shared" si="111"/>
        <v>51.232876712328768</v>
      </c>
      <c r="BO93" s="6">
        <v>17700</v>
      </c>
      <c r="BP93" s="6">
        <f t="shared" si="112"/>
        <v>17700</v>
      </c>
      <c r="BQ93" s="6">
        <f t="shared" si="113"/>
        <v>48.493150684931507</v>
      </c>
      <c r="BR93" s="6">
        <v>16700</v>
      </c>
      <c r="BS93" s="6">
        <f t="shared" si="114"/>
        <v>16700</v>
      </c>
      <c r="BT93" s="6">
        <f t="shared" si="115"/>
        <v>45.753424657534246</v>
      </c>
      <c r="BU93" s="6">
        <v>15800</v>
      </c>
      <c r="BV93" s="6">
        <f t="shared" si="116"/>
        <v>15800</v>
      </c>
      <c r="BW93" s="6">
        <f t="shared" si="117"/>
        <v>43.287671232876711</v>
      </c>
      <c r="BX93" s="6">
        <v>14900</v>
      </c>
      <c r="BY93" s="6">
        <f t="shared" si="118"/>
        <v>14900</v>
      </c>
      <c r="BZ93" s="6">
        <f t="shared" si="119"/>
        <v>40.821917808219176</v>
      </c>
      <c r="CA93" s="6">
        <v>14100</v>
      </c>
      <c r="CB93" s="6">
        <f t="shared" si="120"/>
        <v>14100</v>
      </c>
      <c r="CC93" s="6">
        <f t="shared" si="121"/>
        <v>38.630136986301373</v>
      </c>
      <c r="CD93" s="6">
        <v>13300</v>
      </c>
      <c r="CE93" s="6">
        <f t="shared" si="122"/>
        <v>13300</v>
      </c>
      <c r="CF93" s="6">
        <f t="shared" si="123"/>
        <v>36.438356164383563</v>
      </c>
      <c r="CG93" s="6">
        <v>12600</v>
      </c>
      <c r="CH93" s="6">
        <f t="shared" si="124"/>
        <v>12600</v>
      </c>
      <c r="CI93" s="6">
        <f t="shared" si="125"/>
        <v>34.520547945205479</v>
      </c>
      <c r="CJ93" s="6">
        <v>11900</v>
      </c>
      <c r="CK93" s="6">
        <f t="shared" si="126"/>
        <v>11900</v>
      </c>
      <c r="CL93" s="6">
        <f t="shared" si="127"/>
        <v>32.602739726027394</v>
      </c>
      <c r="CM93" s="6">
        <v>11200</v>
      </c>
      <c r="CN93" s="6">
        <f t="shared" si="128"/>
        <v>11200</v>
      </c>
      <c r="CO93" s="6">
        <f t="shared" si="129"/>
        <v>30.684931506849313</v>
      </c>
      <c r="CP93" s="6">
        <v>10600</v>
      </c>
      <c r="CQ93" s="6">
        <f t="shared" si="130"/>
        <v>10600</v>
      </c>
      <c r="CR93" s="6">
        <f t="shared" si="131"/>
        <v>29.041095890410958</v>
      </c>
      <c r="CS93" s="6">
        <v>10000</v>
      </c>
      <c r="CT93" s="6">
        <f t="shared" si="132"/>
        <v>10000</v>
      </c>
      <c r="CU93" s="6">
        <f t="shared" si="133"/>
        <v>27.397260273972602</v>
      </c>
      <c r="CV93" s="6">
        <v>9500</v>
      </c>
      <c r="CW93" s="6">
        <f t="shared" si="134"/>
        <v>9500</v>
      </c>
      <c r="CX93" s="6">
        <f t="shared" si="135"/>
        <v>26.027397260273972</v>
      </c>
      <c r="CY93" s="6">
        <v>9000</v>
      </c>
      <c r="CZ93" s="6">
        <f t="shared" si="136"/>
        <v>9000</v>
      </c>
      <c r="DA93" s="6">
        <f t="shared" si="137"/>
        <v>24.657534246575342</v>
      </c>
      <c r="DB93" s="6">
        <v>4300</v>
      </c>
      <c r="DC93" s="6">
        <f t="shared" si="138"/>
        <v>4300</v>
      </c>
      <c r="DD93" s="6">
        <f t="shared" si="139"/>
        <v>11.780821917808218</v>
      </c>
      <c r="DE93" s="6">
        <v>0</v>
      </c>
      <c r="DF93" s="6">
        <f t="shared" si="140"/>
        <v>0</v>
      </c>
      <c r="DG93" s="6">
        <f t="shared" si="141"/>
        <v>0</v>
      </c>
      <c r="DH93" s="6">
        <v>0</v>
      </c>
      <c r="DI93" s="6">
        <f t="shared" si="142"/>
        <v>0</v>
      </c>
      <c r="DJ93" s="6">
        <f t="shared" si="143"/>
        <v>0</v>
      </c>
      <c r="DK93" s="6">
        <v>0</v>
      </c>
      <c r="DL93" s="6">
        <f t="shared" si="144"/>
        <v>0</v>
      </c>
      <c r="DM93" s="6">
        <f t="shared" si="145"/>
        <v>0</v>
      </c>
      <c r="DN93" s="6">
        <v>0</v>
      </c>
      <c r="DO93" s="6">
        <f t="shared" si="146"/>
        <v>0</v>
      </c>
      <c r="DP93" s="6">
        <f t="shared" si="147"/>
        <v>0</v>
      </c>
    </row>
    <row r="94" spans="1:120" x14ac:dyDescent="0.2">
      <c r="A94" s="21">
        <v>50</v>
      </c>
      <c r="B94" s="21" t="s">
        <v>675</v>
      </c>
      <c r="C94" s="21">
        <v>50110</v>
      </c>
      <c r="D94" s="21" t="s">
        <v>714</v>
      </c>
      <c r="E94" s="21" t="s">
        <v>542</v>
      </c>
      <c r="F94" s="22" t="s">
        <v>693</v>
      </c>
      <c r="G94" s="4" t="s">
        <v>206</v>
      </c>
      <c r="H94" s="6">
        <v>37217.379999999997</v>
      </c>
      <c r="I94" s="6">
        <f t="shared" si="148"/>
        <v>101.96542465753424</v>
      </c>
      <c r="J94" s="6">
        <v>30250</v>
      </c>
      <c r="K94" s="6">
        <v>31091.33</v>
      </c>
      <c r="L94" s="6">
        <f t="shared" si="149"/>
        <v>84.948989071038255</v>
      </c>
      <c r="M94" s="6">
        <v>24271</v>
      </c>
      <c r="N94" s="6">
        <v>786.75</v>
      </c>
      <c r="O94" s="6">
        <f t="shared" si="150"/>
        <v>2.1554794520547946</v>
      </c>
      <c r="P94" s="6">
        <v>19532</v>
      </c>
      <c r="Q94" s="6">
        <v>16.91</v>
      </c>
      <c r="R94" s="6">
        <f t="shared" si="151"/>
        <v>9.3425414364640885E-2</v>
      </c>
      <c r="S94" s="6">
        <v>15718</v>
      </c>
      <c r="T94" s="6">
        <f t="shared" si="80"/>
        <v>15718</v>
      </c>
      <c r="U94" s="6">
        <f t="shared" si="81"/>
        <v>43.063013698630137</v>
      </c>
      <c r="V94" s="6">
        <v>12679</v>
      </c>
      <c r="W94" s="6">
        <f t="shared" si="82"/>
        <v>12679</v>
      </c>
      <c r="X94" s="6">
        <f t="shared" si="83"/>
        <v>34.736986301369861</v>
      </c>
      <c r="Y94" s="6">
        <v>0</v>
      </c>
      <c r="Z94" s="6">
        <f t="shared" si="84"/>
        <v>0</v>
      </c>
      <c r="AA94" s="6">
        <f t="shared" si="85"/>
        <v>0</v>
      </c>
      <c r="AB94" s="6">
        <v>0</v>
      </c>
      <c r="AC94" s="6">
        <f t="shared" si="86"/>
        <v>0</v>
      </c>
      <c r="AD94" s="6">
        <f t="shared" si="87"/>
        <v>0</v>
      </c>
      <c r="AE94" s="6">
        <v>0</v>
      </c>
      <c r="AF94" s="6">
        <f t="shared" si="88"/>
        <v>0</v>
      </c>
      <c r="AG94" s="6">
        <f t="shared" si="89"/>
        <v>0</v>
      </c>
      <c r="AH94" s="6">
        <v>0</v>
      </c>
      <c r="AI94" s="6">
        <f t="shared" si="90"/>
        <v>0</v>
      </c>
      <c r="AJ94" s="6">
        <f t="shared" si="91"/>
        <v>0</v>
      </c>
      <c r="AK94" s="6">
        <v>0</v>
      </c>
      <c r="AL94" s="6">
        <f t="shared" si="92"/>
        <v>0</v>
      </c>
      <c r="AM94" s="6">
        <f t="shared" si="93"/>
        <v>0</v>
      </c>
      <c r="AN94" s="6">
        <v>0</v>
      </c>
      <c r="AO94" s="6">
        <f t="shared" si="94"/>
        <v>0</v>
      </c>
      <c r="AP94" s="6">
        <f t="shared" si="95"/>
        <v>0</v>
      </c>
      <c r="AQ94" s="6">
        <v>0</v>
      </c>
      <c r="AR94" s="6">
        <f t="shared" si="96"/>
        <v>0</v>
      </c>
      <c r="AS94" s="6">
        <f t="shared" si="97"/>
        <v>0</v>
      </c>
      <c r="AT94" s="6">
        <v>0</v>
      </c>
      <c r="AU94" s="6">
        <f t="shared" si="98"/>
        <v>0</v>
      </c>
      <c r="AV94" s="6">
        <f t="shared" si="99"/>
        <v>0</v>
      </c>
      <c r="AW94" s="6">
        <v>0</v>
      </c>
      <c r="AX94" s="6">
        <f t="shared" si="100"/>
        <v>0</v>
      </c>
      <c r="AY94" s="6">
        <f t="shared" si="101"/>
        <v>0</v>
      </c>
      <c r="AZ94" s="6">
        <v>0</v>
      </c>
      <c r="BA94" s="6">
        <f t="shared" si="102"/>
        <v>0</v>
      </c>
      <c r="BB94" s="6">
        <f t="shared" si="103"/>
        <v>0</v>
      </c>
      <c r="BC94" s="6">
        <v>0</v>
      </c>
      <c r="BD94" s="6">
        <f t="shared" si="104"/>
        <v>0</v>
      </c>
      <c r="BE94" s="6">
        <f t="shared" si="105"/>
        <v>0</v>
      </c>
      <c r="BF94" s="6">
        <v>0</v>
      </c>
      <c r="BG94" s="6">
        <f t="shared" si="106"/>
        <v>0</v>
      </c>
      <c r="BH94" s="6">
        <f t="shared" si="107"/>
        <v>0</v>
      </c>
      <c r="BI94" s="6">
        <v>0</v>
      </c>
      <c r="BJ94" s="6">
        <f t="shared" si="108"/>
        <v>0</v>
      </c>
      <c r="BK94" s="6">
        <f t="shared" si="109"/>
        <v>0</v>
      </c>
      <c r="BL94" s="6">
        <v>0</v>
      </c>
      <c r="BM94" s="6">
        <f t="shared" si="110"/>
        <v>0</v>
      </c>
      <c r="BN94" s="6">
        <f t="shared" si="111"/>
        <v>0</v>
      </c>
      <c r="BO94" s="6">
        <v>0</v>
      </c>
      <c r="BP94" s="6">
        <f t="shared" si="112"/>
        <v>0</v>
      </c>
      <c r="BQ94" s="6">
        <f t="shared" si="113"/>
        <v>0</v>
      </c>
      <c r="BR94" s="6">
        <v>0</v>
      </c>
      <c r="BS94" s="6">
        <f t="shared" si="114"/>
        <v>0</v>
      </c>
      <c r="BT94" s="6">
        <f t="shared" si="115"/>
        <v>0</v>
      </c>
      <c r="BU94" s="6">
        <v>0</v>
      </c>
      <c r="BV94" s="6">
        <f t="shared" si="116"/>
        <v>0</v>
      </c>
      <c r="BW94" s="6">
        <f t="shared" si="117"/>
        <v>0</v>
      </c>
      <c r="BX94" s="6">
        <v>0</v>
      </c>
      <c r="BY94" s="6">
        <f t="shared" si="118"/>
        <v>0</v>
      </c>
      <c r="BZ94" s="6">
        <f t="shared" si="119"/>
        <v>0</v>
      </c>
      <c r="CA94" s="6">
        <v>0</v>
      </c>
      <c r="CB94" s="6">
        <f t="shared" si="120"/>
        <v>0</v>
      </c>
      <c r="CC94" s="6">
        <f t="shared" si="121"/>
        <v>0</v>
      </c>
      <c r="CD94" s="6">
        <v>0</v>
      </c>
      <c r="CE94" s="6">
        <f t="shared" si="122"/>
        <v>0</v>
      </c>
      <c r="CF94" s="6">
        <f t="shared" si="123"/>
        <v>0</v>
      </c>
      <c r="CG94" s="6">
        <v>0</v>
      </c>
      <c r="CH94" s="6">
        <f t="shared" si="124"/>
        <v>0</v>
      </c>
      <c r="CI94" s="6">
        <f t="shared" si="125"/>
        <v>0</v>
      </c>
      <c r="CJ94" s="6">
        <v>0</v>
      </c>
      <c r="CK94" s="6">
        <f t="shared" si="126"/>
        <v>0</v>
      </c>
      <c r="CL94" s="6">
        <f t="shared" si="127"/>
        <v>0</v>
      </c>
      <c r="CM94" s="6">
        <v>0</v>
      </c>
      <c r="CN94" s="6">
        <f t="shared" si="128"/>
        <v>0</v>
      </c>
      <c r="CO94" s="6">
        <f t="shared" si="129"/>
        <v>0</v>
      </c>
      <c r="CP94" s="6">
        <v>0</v>
      </c>
      <c r="CQ94" s="6">
        <f t="shared" si="130"/>
        <v>0</v>
      </c>
      <c r="CR94" s="6">
        <f t="shared" si="131"/>
        <v>0</v>
      </c>
      <c r="CS94" s="6">
        <v>0</v>
      </c>
      <c r="CT94" s="6">
        <f t="shared" si="132"/>
        <v>0</v>
      </c>
      <c r="CU94" s="6">
        <f t="shared" si="133"/>
        <v>0</v>
      </c>
      <c r="CV94" s="6">
        <v>0</v>
      </c>
      <c r="CW94" s="6">
        <f t="shared" si="134"/>
        <v>0</v>
      </c>
      <c r="CX94" s="6">
        <f t="shared" si="135"/>
        <v>0</v>
      </c>
      <c r="CY94" s="6">
        <v>0</v>
      </c>
      <c r="CZ94" s="6">
        <f t="shared" si="136"/>
        <v>0</v>
      </c>
      <c r="DA94" s="6">
        <f t="shared" si="137"/>
        <v>0</v>
      </c>
      <c r="DB94" s="6">
        <v>0</v>
      </c>
      <c r="DC94" s="6">
        <f t="shared" si="138"/>
        <v>0</v>
      </c>
      <c r="DD94" s="6">
        <f t="shared" si="139"/>
        <v>0</v>
      </c>
      <c r="DE94" s="6">
        <v>0</v>
      </c>
      <c r="DF94" s="6">
        <f t="shared" si="140"/>
        <v>0</v>
      </c>
      <c r="DG94" s="6">
        <f t="shared" si="141"/>
        <v>0</v>
      </c>
      <c r="DH94" s="6">
        <v>0</v>
      </c>
      <c r="DI94" s="6">
        <f t="shared" si="142"/>
        <v>0</v>
      </c>
      <c r="DJ94" s="6">
        <f t="shared" si="143"/>
        <v>0</v>
      </c>
      <c r="DK94" s="6">
        <v>0</v>
      </c>
      <c r="DL94" s="6">
        <f t="shared" si="144"/>
        <v>0</v>
      </c>
      <c r="DM94" s="6">
        <f t="shared" si="145"/>
        <v>0</v>
      </c>
      <c r="DN94" s="6">
        <v>0</v>
      </c>
      <c r="DO94" s="6">
        <f t="shared" si="146"/>
        <v>0</v>
      </c>
      <c r="DP94" s="6">
        <f t="shared" si="147"/>
        <v>0</v>
      </c>
    </row>
    <row r="95" spans="1:120" x14ac:dyDescent="0.2">
      <c r="A95" s="21">
        <v>50</v>
      </c>
      <c r="B95" s="21" t="s">
        <v>675</v>
      </c>
      <c r="C95" s="21">
        <v>50110</v>
      </c>
      <c r="D95" s="21" t="s">
        <v>714</v>
      </c>
      <c r="E95" s="21" t="s">
        <v>542</v>
      </c>
      <c r="F95" s="22" t="s">
        <v>693</v>
      </c>
      <c r="G95" s="4" t="s">
        <v>207</v>
      </c>
      <c r="H95" s="6">
        <v>15869.91</v>
      </c>
      <c r="I95" s="6">
        <f t="shared" si="148"/>
        <v>43.479205479452055</v>
      </c>
      <c r="J95" s="6">
        <v>16496</v>
      </c>
      <c r="K95" s="6">
        <v>20461.46</v>
      </c>
      <c r="L95" s="6">
        <f t="shared" si="149"/>
        <v>55.905628415300541</v>
      </c>
      <c r="M95" s="6">
        <v>12544</v>
      </c>
      <c r="N95" s="6">
        <v>13485.88</v>
      </c>
      <c r="O95" s="6">
        <f t="shared" si="150"/>
        <v>36.947616438356164</v>
      </c>
      <c r="P95" s="6">
        <v>0</v>
      </c>
      <c r="Q95" s="6">
        <v>14.02</v>
      </c>
      <c r="R95" s="6">
        <f t="shared" si="151"/>
        <v>7.7458563535911601E-2</v>
      </c>
      <c r="S95" s="6">
        <v>0</v>
      </c>
      <c r="T95" s="6">
        <f t="shared" si="80"/>
        <v>0</v>
      </c>
      <c r="U95" s="6">
        <f t="shared" si="81"/>
        <v>0</v>
      </c>
      <c r="V95" s="6">
        <v>0</v>
      </c>
      <c r="W95" s="6">
        <f t="shared" si="82"/>
        <v>0</v>
      </c>
      <c r="X95" s="6">
        <f t="shared" si="83"/>
        <v>0</v>
      </c>
      <c r="Y95" s="6">
        <v>0</v>
      </c>
      <c r="Z95" s="6">
        <f t="shared" si="84"/>
        <v>0</v>
      </c>
      <c r="AA95" s="6">
        <f t="shared" si="85"/>
        <v>0</v>
      </c>
      <c r="AB95" s="6">
        <v>0</v>
      </c>
      <c r="AC95" s="6">
        <f t="shared" si="86"/>
        <v>0</v>
      </c>
      <c r="AD95" s="6">
        <f t="shared" si="87"/>
        <v>0</v>
      </c>
      <c r="AE95" s="6">
        <v>0</v>
      </c>
      <c r="AF95" s="6">
        <f t="shared" si="88"/>
        <v>0</v>
      </c>
      <c r="AG95" s="6">
        <f t="shared" si="89"/>
        <v>0</v>
      </c>
      <c r="AH95" s="6">
        <v>0</v>
      </c>
      <c r="AI95" s="6">
        <f t="shared" si="90"/>
        <v>0</v>
      </c>
      <c r="AJ95" s="6">
        <f t="shared" si="91"/>
        <v>0</v>
      </c>
      <c r="AK95" s="6">
        <v>0</v>
      </c>
      <c r="AL95" s="6">
        <f t="shared" si="92"/>
        <v>0</v>
      </c>
      <c r="AM95" s="6">
        <f t="shared" si="93"/>
        <v>0</v>
      </c>
      <c r="AN95" s="6">
        <v>0</v>
      </c>
      <c r="AO95" s="6">
        <f t="shared" si="94"/>
        <v>0</v>
      </c>
      <c r="AP95" s="6">
        <f t="shared" si="95"/>
        <v>0</v>
      </c>
      <c r="AQ95" s="6">
        <v>0</v>
      </c>
      <c r="AR95" s="6">
        <f t="shared" si="96"/>
        <v>0</v>
      </c>
      <c r="AS95" s="6">
        <f t="shared" si="97"/>
        <v>0</v>
      </c>
      <c r="AT95" s="6">
        <v>0</v>
      </c>
      <c r="AU95" s="6">
        <f t="shared" si="98"/>
        <v>0</v>
      </c>
      <c r="AV95" s="6">
        <f t="shared" si="99"/>
        <v>0</v>
      </c>
      <c r="AW95" s="6">
        <v>0</v>
      </c>
      <c r="AX95" s="6">
        <f t="shared" si="100"/>
        <v>0</v>
      </c>
      <c r="AY95" s="6">
        <f t="shared" si="101"/>
        <v>0</v>
      </c>
      <c r="AZ95" s="6">
        <v>0</v>
      </c>
      <c r="BA95" s="6">
        <f t="shared" si="102"/>
        <v>0</v>
      </c>
      <c r="BB95" s="6">
        <f t="shared" si="103"/>
        <v>0</v>
      </c>
      <c r="BC95" s="6">
        <v>0</v>
      </c>
      <c r="BD95" s="6">
        <f t="shared" si="104"/>
        <v>0</v>
      </c>
      <c r="BE95" s="6">
        <f t="shared" si="105"/>
        <v>0</v>
      </c>
      <c r="BF95" s="6">
        <v>0</v>
      </c>
      <c r="BG95" s="6">
        <f t="shared" si="106"/>
        <v>0</v>
      </c>
      <c r="BH95" s="6">
        <f t="shared" si="107"/>
        <v>0</v>
      </c>
      <c r="BI95" s="6">
        <v>0</v>
      </c>
      <c r="BJ95" s="6">
        <f t="shared" si="108"/>
        <v>0</v>
      </c>
      <c r="BK95" s="6">
        <f t="shared" si="109"/>
        <v>0</v>
      </c>
      <c r="BL95" s="6">
        <v>0</v>
      </c>
      <c r="BM95" s="6">
        <f t="shared" si="110"/>
        <v>0</v>
      </c>
      <c r="BN95" s="6">
        <f t="shared" si="111"/>
        <v>0</v>
      </c>
      <c r="BO95" s="6">
        <v>0</v>
      </c>
      <c r="BP95" s="6">
        <f t="shared" si="112"/>
        <v>0</v>
      </c>
      <c r="BQ95" s="6">
        <f t="shared" si="113"/>
        <v>0</v>
      </c>
      <c r="BR95" s="6">
        <v>0</v>
      </c>
      <c r="BS95" s="6">
        <f t="shared" si="114"/>
        <v>0</v>
      </c>
      <c r="BT95" s="6">
        <f t="shared" si="115"/>
        <v>0</v>
      </c>
      <c r="BU95" s="6">
        <v>0</v>
      </c>
      <c r="BV95" s="6">
        <f t="shared" si="116"/>
        <v>0</v>
      </c>
      <c r="BW95" s="6">
        <f t="shared" si="117"/>
        <v>0</v>
      </c>
      <c r="BX95" s="6">
        <v>0</v>
      </c>
      <c r="BY95" s="6">
        <f t="shared" si="118"/>
        <v>0</v>
      </c>
      <c r="BZ95" s="6">
        <f t="shared" si="119"/>
        <v>0</v>
      </c>
      <c r="CA95" s="6">
        <v>0</v>
      </c>
      <c r="CB95" s="6">
        <f t="shared" si="120"/>
        <v>0</v>
      </c>
      <c r="CC95" s="6">
        <f t="shared" si="121"/>
        <v>0</v>
      </c>
      <c r="CD95" s="6">
        <v>0</v>
      </c>
      <c r="CE95" s="6">
        <f t="shared" si="122"/>
        <v>0</v>
      </c>
      <c r="CF95" s="6">
        <f t="shared" si="123"/>
        <v>0</v>
      </c>
      <c r="CG95" s="6">
        <v>0</v>
      </c>
      <c r="CH95" s="6">
        <f t="shared" si="124"/>
        <v>0</v>
      </c>
      <c r="CI95" s="6">
        <f t="shared" si="125"/>
        <v>0</v>
      </c>
      <c r="CJ95" s="6">
        <v>0</v>
      </c>
      <c r="CK95" s="6">
        <f t="shared" si="126"/>
        <v>0</v>
      </c>
      <c r="CL95" s="6">
        <f t="shared" si="127"/>
        <v>0</v>
      </c>
      <c r="CM95" s="6">
        <v>0</v>
      </c>
      <c r="CN95" s="6">
        <f t="shared" si="128"/>
        <v>0</v>
      </c>
      <c r="CO95" s="6">
        <f t="shared" si="129"/>
        <v>0</v>
      </c>
      <c r="CP95" s="6">
        <v>0</v>
      </c>
      <c r="CQ95" s="6">
        <f t="shared" si="130"/>
        <v>0</v>
      </c>
      <c r="CR95" s="6">
        <f t="shared" si="131"/>
        <v>0</v>
      </c>
      <c r="CS95" s="6">
        <v>0</v>
      </c>
      <c r="CT95" s="6">
        <f t="shared" si="132"/>
        <v>0</v>
      </c>
      <c r="CU95" s="6">
        <f t="shared" si="133"/>
        <v>0</v>
      </c>
      <c r="CV95" s="6">
        <v>0</v>
      </c>
      <c r="CW95" s="6">
        <f t="shared" si="134"/>
        <v>0</v>
      </c>
      <c r="CX95" s="6">
        <f t="shared" si="135"/>
        <v>0</v>
      </c>
      <c r="CY95" s="6">
        <v>0</v>
      </c>
      <c r="CZ95" s="6">
        <f t="shared" si="136"/>
        <v>0</v>
      </c>
      <c r="DA95" s="6">
        <f t="shared" si="137"/>
        <v>0</v>
      </c>
      <c r="DB95" s="6">
        <v>0</v>
      </c>
      <c r="DC95" s="6">
        <f t="shared" si="138"/>
        <v>0</v>
      </c>
      <c r="DD95" s="6">
        <f t="shared" si="139"/>
        <v>0</v>
      </c>
      <c r="DE95" s="6">
        <v>0</v>
      </c>
      <c r="DF95" s="6">
        <f t="shared" si="140"/>
        <v>0</v>
      </c>
      <c r="DG95" s="6">
        <f t="shared" si="141"/>
        <v>0</v>
      </c>
      <c r="DH95" s="6">
        <v>0</v>
      </c>
      <c r="DI95" s="6">
        <f t="shared" si="142"/>
        <v>0</v>
      </c>
      <c r="DJ95" s="6">
        <f t="shared" si="143"/>
        <v>0</v>
      </c>
      <c r="DK95" s="6">
        <v>0</v>
      </c>
      <c r="DL95" s="6">
        <f t="shared" si="144"/>
        <v>0</v>
      </c>
      <c r="DM95" s="6">
        <f t="shared" si="145"/>
        <v>0</v>
      </c>
      <c r="DN95" s="6">
        <v>0</v>
      </c>
      <c r="DO95" s="6">
        <f t="shared" si="146"/>
        <v>0</v>
      </c>
      <c r="DP95" s="6">
        <f t="shared" si="147"/>
        <v>0</v>
      </c>
    </row>
    <row r="96" spans="1:120" x14ac:dyDescent="0.2">
      <c r="A96" s="21">
        <v>50</v>
      </c>
      <c r="B96" s="21" t="s">
        <v>675</v>
      </c>
      <c r="C96" s="21">
        <v>50124</v>
      </c>
      <c r="D96" s="21" t="s">
        <v>704</v>
      </c>
      <c r="E96" s="21" t="s">
        <v>542</v>
      </c>
      <c r="F96" s="22" t="s">
        <v>693</v>
      </c>
      <c r="G96" s="4" t="s">
        <v>208</v>
      </c>
      <c r="H96" s="6">
        <v>49971.97</v>
      </c>
      <c r="I96" s="6">
        <f t="shared" si="148"/>
        <v>136.90950684931508</v>
      </c>
      <c r="J96" s="6">
        <v>53635</v>
      </c>
      <c r="K96" s="6">
        <v>45569.67</v>
      </c>
      <c r="L96" s="6">
        <f t="shared" si="149"/>
        <v>124.50729508196721</v>
      </c>
      <c r="M96" s="6">
        <v>40606</v>
      </c>
      <c r="N96" s="6">
        <v>45323.22</v>
      </c>
      <c r="O96" s="6">
        <f t="shared" si="150"/>
        <v>124.17320547945206</v>
      </c>
      <c r="P96" s="6">
        <v>30843</v>
      </c>
      <c r="Q96" s="6">
        <v>20274.64</v>
      </c>
      <c r="R96" s="6">
        <f t="shared" si="151"/>
        <v>112.01458563535911</v>
      </c>
      <c r="S96" s="6">
        <v>22322</v>
      </c>
      <c r="T96" s="6">
        <f t="shared" si="80"/>
        <v>22322</v>
      </c>
      <c r="U96" s="6">
        <f t="shared" si="81"/>
        <v>61.156164383561645</v>
      </c>
      <c r="V96" s="6">
        <v>13990</v>
      </c>
      <c r="W96" s="6">
        <f t="shared" si="82"/>
        <v>13990</v>
      </c>
      <c r="X96" s="6">
        <f t="shared" si="83"/>
        <v>38.328767123287669</v>
      </c>
      <c r="Y96" s="6">
        <v>0</v>
      </c>
      <c r="Z96" s="6">
        <f t="shared" si="84"/>
        <v>0</v>
      </c>
      <c r="AA96" s="6">
        <f t="shared" si="85"/>
        <v>0</v>
      </c>
      <c r="AB96" s="6">
        <v>0</v>
      </c>
      <c r="AC96" s="6">
        <f t="shared" si="86"/>
        <v>0</v>
      </c>
      <c r="AD96" s="6">
        <f t="shared" si="87"/>
        <v>0</v>
      </c>
      <c r="AE96" s="6">
        <v>0</v>
      </c>
      <c r="AF96" s="6">
        <f t="shared" si="88"/>
        <v>0</v>
      </c>
      <c r="AG96" s="6">
        <f t="shared" si="89"/>
        <v>0</v>
      </c>
      <c r="AH96" s="6">
        <v>0</v>
      </c>
      <c r="AI96" s="6">
        <f t="shared" si="90"/>
        <v>0</v>
      </c>
      <c r="AJ96" s="6">
        <f t="shared" si="91"/>
        <v>0</v>
      </c>
      <c r="AK96" s="6">
        <v>0</v>
      </c>
      <c r="AL96" s="6">
        <f t="shared" si="92"/>
        <v>0</v>
      </c>
      <c r="AM96" s="6">
        <f t="shared" si="93"/>
        <v>0</v>
      </c>
      <c r="AN96" s="6">
        <v>0</v>
      </c>
      <c r="AO96" s="6">
        <f t="shared" si="94"/>
        <v>0</v>
      </c>
      <c r="AP96" s="6">
        <f t="shared" si="95"/>
        <v>0</v>
      </c>
      <c r="AQ96" s="6">
        <v>0</v>
      </c>
      <c r="AR96" s="6">
        <f t="shared" si="96"/>
        <v>0</v>
      </c>
      <c r="AS96" s="6">
        <f t="shared" si="97"/>
        <v>0</v>
      </c>
      <c r="AT96" s="6">
        <v>0</v>
      </c>
      <c r="AU96" s="6">
        <f t="shared" si="98"/>
        <v>0</v>
      </c>
      <c r="AV96" s="6">
        <f t="shared" si="99"/>
        <v>0</v>
      </c>
      <c r="AW96" s="6">
        <v>0</v>
      </c>
      <c r="AX96" s="6">
        <f t="shared" si="100"/>
        <v>0</v>
      </c>
      <c r="AY96" s="6">
        <f t="shared" si="101"/>
        <v>0</v>
      </c>
      <c r="AZ96" s="6">
        <v>0</v>
      </c>
      <c r="BA96" s="6">
        <f t="shared" si="102"/>
        <v>0</v>
      </c>
      <c r="BB96" s="6">
        <f t="shared" si="103"/>
        <v>0</v>
      </c>
      <c r="BC96" s="6">
        <v>0</v>
      </c>
      <c r="BD96" s="6">
        <f t="shared" si="104"/>
        <v>0</v>
      </c>
      <c r="BE96" s="6">
        <f t="shared" si="105"/>
        <v>0</v>
      </c>
      <c r="BF96" s="6">
        <v>0</v>
      </c>
      <c r="BG96" s="6">
        <f t="shared" si="106"/>
        <v>0</v>
      </c>
      <c r="BH96" s="6">
        <f t="shared" si="107"/>
        <v>0</v>
      </c>
      <c r="BI96" s="6">
        <v>0</v>
      </c>
      <c r="BJ96" s="6">
        <f t="shared" si="108"/>
        <v>0</v>
      </c>
      <c r="BK96" s="6">
        <f t="shared" si="109"/>
        <v>0</v>
      </c>
      <c r="BL96" s="6">
        <v>0</v>
      </c>
      <c r="BM96" s="6">
        <f t="shared" si="110"/>
        <v>0</v>
      </c>
      <c r="BN96" s="6">
        <f t="shared" si="111"/>
        <v>0</v>
      </c>
      <c r="BO96" s="6">
        <v>0</v>
      </c>
      <c r="BP96" s="6">
        <f t="shared" si="112"/>
        <v>0</v>
      </c>
      <c r="BQ96" s="6">
        <f t="shared" si="113"/>
        <v>0</v>
      </c>
      <c r="BR96" s="6">
        <v>0</v>
      </c>
      <c r="BS96" s="6">
        <f t="shared" si="114"/>
        <v>0</v>
      </c>
      <c r="BT96" s="6">
        <f t="shared" si="115"/>
        <v>0</v>
      </c>
      <c r="BU96" s="6">
        <v>0</v>
      </c>
      <c r="BV96" s="6">
        <f t="shared" si="116"/>
        <v>0</v>
      </c>
      <c r="BW96" s="6">
        <f t="shared" si="117"/>
        <v>0</v>
      </c>
      <c r="BX96" s="6">
        <v>0</v>
      </c>
      <c r="BY96" s="6">
        <f t="shared" si="118"/>
        <v>0</v>
      </c>
      <c r="BZ96" s="6">
        <f t="shared" si="119"/>
        <v>0</v>
      </c>
      <c r="CA96" s="6">
        <v>0</v>
      </c>
      <c r="CB96" s="6">
        <f t="shared" si="120"/>
        <v>0</v>
      </c>
      <c r="CC96" s="6">
        <f t="shared" si="121"/>
        <v>0</v>
      </c>
      <c r="CD96" s="6">
        <v>0</v>
      </c>
      <c r="CE96" s="6">
        <f t="shared" si="122"/>
        <v>0</v>
      </c>
      <c r="CF96" s="6">
        <f t="shared" si="123"/>
        <v>0</v>
      </c>
      <c r="CG96" s="6">
        <v>0</v>
      </c>
      <c r="CH96" s="6">
        <f t="shared" si="124"/>
        <v>0</v>
      </c>
      <c r="CI96" s="6">
        <f t="shared" si="125"/>
        <v>0</v>
      </c>
      <c r="CJ96" s="6">
        <v>0</v>
      </c>
      <c r="CK96" s="6">
        <f t="shared" si="126"/>
        <v>0</v>
      </c>
      <c r="CL96" s="6">
        <f t="shared" si="127"/>
        <v>0</v>
      </c>
      <c r="CM96" s="6">
        <v>0</v>
      </c>
      <c r="CN96" s="6">
        <f t="shared" si="128"/>
        <v>0</v>
      </c>
      <c r="CO96" s="6">
        <f t="shared" si="129"/>
        <v>0</v>
      </c>
      <c r="CP96" s="6">
        <v>0</v>
      </c>
      <c r="CQ96" s="6">
        <f t="shared" si="130"/>
        <v>0</v>
      </c>
      <c r="CR96" s="6">
        <f t="shared" si="131"/>
        <v>0</v>
      </c>
      <c r="CS96" s="6">
        <v>0</v>
      </c>
      <c r="CT96" s="6">
        <f t="shared" si="132"/>
        <v>0</v>
      </c>
      <c r="CU96" s="6">
        <f t="shared" si="133"/>
        <v>0</v>
      </c>
      <c r="CV96" s="6">
        <v>0</v>
      </c>
      <c r="CW96" s="6">
        <f t="shared" si="134"/>
        <v>0</v>
      </c>
      <c r="CX96" s="6">
        <f t="shared" si="135"/>
        <v>0</v>
      </c>
      <c r="CY96" s="6">
        <v>0</v>
      </c>
      <c r="CZ96" s="6">
        <f t="shared" si="136"/>
        <v>0</v>
      </c>
      <c r="DA96" s="6">
        <f t="shared" si="137"/>
        <v>0</v>
      </c>
      <c r="DB96" s="6">
        <v>0</v>
      </c>
      <c r="DC96" s="6">
        <f t="shared" si="138"/>
        <v>0</v>
      </c>
      <c r="DD96" s="6">
        <f t="shared" si="139"/>
        <v>0</v>
      </c>
      <c r="DE96" s="6">
        <v>0</v>
      </c>
      <c r="DF96" s="6">
        <f t="shared" si="140"/>
        <v>0</v>
      </c>
      <c r="DG96" s="6">
        <f t="shared" si="141"/>
        <v>0</v>
      </c>
      <c r="DH96" s="6">
        <v>0</v>
      </c>
      <c r="DI96" s="6">
        <f t="shared" si="142"/>
        <v>0</v>
      </c>
      <c r="DJ96" s="6">
        <f t="shared" si="143"/>
        <v>0</v>
      </c>
      <c r="DK96" s="6">
        <v>0</v>
      </c>
      <c r="DL96" s="6">
        <f t="shared" si="144"/>
        <v>0</v>
      </c>
      <c r="DM96" s="6">
        <f t="shared" si="145"/>
        <v>0</v>
      </c>
      <c r="DN96" s="6">
        <v>0</v>
      </c>
      <c r="DO96" s="6">
        <f t="shared" si="146"/>
        <v>0</v>
      </c>
      <c r="DP96" s="6">
        <f t="shared" si="147"/>
        <v>0</v>
      </c>
    </row>
    <row r="97" spans="1:120" x14ac:dyDescent="0.2">
      <c r="A97" s="21">
        <v>50</v>
      </c>
      <c r="B97" s="21" t="s">
        <v>675</v>
      </c>
      <c r="C97" s="21">
        <v>50124</v>
      </c>
      <c r="D97" s="21" t="s">
        <v>704</v>
      </c>
      <c r="E97" s="21" t="s">
        <v>542</v>
      </c>
      <c r="F97" s="22" t="s">
        <v>693</v>
      </c>
      <c r="G97" s="4" t="s">
        <v>209</v>
      </c>
      <c r="H97" s="6">
        <v>34380.629999999997</v>
      </c>
      <c r="I97" s="6">
        <f t="shared" si="148"/>
        <v>94.193506849315057</v>
      </c>
      <c r="J97" s="6">
        <v>28437</v>
      </c>
      <c r="K97" s="6">
        <v>6933.63</v>
      </c>
      <c r="L97" s="6">
        <f t="shared" si="149"/>
        <v>18.944344262295083</v>
      </c>
      <c r="M97" s="6">
        <v>23253</v>
      </c>
      <c r="N97" s="6"/>
      <c r="O97" s="6"/>
      <c r="P97" s="6">
        <v>19070</v>
      </c>
      <c r="Q97" s="6"/>
      <c r="R97" s="6"/>
      <c r="S97" s="6">
        <v>0</v>
      </c>
      <c r="T97" s="6">
        <f t="shared" si="80"/>
        <v>0</v>
      </c>
      <c r="U97" s="6">
        <f t="shared" si="81"/>
        <v>0</v>
      </c>
      <c r="V97" s="6">
        <v>0</v>
      </c>
      <c r="W97" s="6">
        <f t="shared" si="82"/>
        <v>0</v>
      </c>
      <c r="X97" s="6">
        <f t="shared" si="83"/>
        <v>0</v>
      </c>
      <c r="Y97" s="6">
        <v>0</v>
      </c>
      <c r="Z97" s="6">
        <f t="shared" si="84"/>
        <v>0</v>
      </c>
      <c r="AA97" s="6">
        <f t="shared" si="85"/>
        <v>0</v>
      </c>
      <c r="AB97" s="6">
        <v>0</v>
      </c>
      <c r="AC97" s="6">
        <f t="shared" si="86"/>
        <v>0</v>
      </c>
      <c r="AD97" s="6">
        <f t="shared" si="87"/>
        <v>0</v>
      </c>
      <c r="AE97" s="6">
        <v>0</v>
      </c>
      <c r="AF97" s="6">
        <f t="shared" si="88"/>
        <v>0</v>
      </c>
      <c r="AG97" s="6">
        <f t="shared" si="89"/>
        <v>0</v>
      </c>
      <c r="AH97" s="6">
        <v>0</v>
      </c>
      <c r="AI97" s="6">
        <f t="shared" si="90"/>
        <v>0</v>
      </c>
      <c r="AJ97" s="6">
        <f t="shared" si="91"/>
        <v>0</v>
      </c>
      <c r="AK97" s="6">
        <v>0</v>
      </c>
      <c r="AL97" s="6">
        <f t="shared" si="92"/>
        <v>0</v>
      </c>
      <c r="AM97" s="6">
        <f t="shared" si="93"/>
        <v>0</v>
      </c>
      <c r="AN97" s="6">
        <v>0</v>
      </c>
      <c r="AO97" s="6">
        <f t="shared" si="94"/>
        <v>0</v>
      </c>
      <c r="AP97" s="6">
        <f t="shared" si="95"/>
        <v>0</v>
      </c>
      <c r="AQ97" s="6">
        <v>0</v>
      </c>
      <c r="AR97" s="6">
        <f t="shared" si="96"/>
        <v>0</v>
      </c>
      <c r="AS97" s="6">
        <f t="shared" si="97"/>
        <v>0</v>
      </c>
      <c r="AT97" s="6">
        <v>0</v>
      </c>
      <c r="AU97" s="6">
        <f t="shared" si="98"/>
        <v>0</v>
      </c>
      <c r="AV97" s="6">
        <f t="shared" si="99"/>
        <v>0</v>
      </c>
      <c r="AW97" s="6">
        <v>0</v>
      </c>
      <c r="AX97" s="6">
        <f t="shared" si="100"/>
        <v>0</v>
      </c>
      <c r="AY97" s="6">
        <f t="shared" si="101"/>
        <v>0</v>
      </c>
      <c r="AZ97" s="6">
        <v>0</v>
      </c>
      <c r="BA97" s="6">
        <f t="shared" si="102"/>
        <v>0</v>
      </c>
      <c r="BB97" s="6">
        <f t="shared" si="103"/>
        <v>0</v>
      </c>
      <c r="BC97" s="6">
        <v>0</v>
      </c>
      <c r="BD97" s="6">
        <f t="shared" si="104"/>
        <v>0</v>
      </c>
      <c r="BE97" s="6">
        <f t="shared" si="105"/>
        <v>0</v>
      </c>
      <c r="BF97" s="6">
        <v>0</v>
      </c>
      <c r="BG97" s="6">
        <f t="shared" si="106"/>
        <v>0</v>
      </c>
      <c r="BH97" s="6">
        <f t="shared" si="107"/>
        <v>0</v>
      </c>
      <c r="BI97" s="6">
        <v>0</v>
      </c>
      <c r="BJ97" s="6">
        <f t="shared" si="108"/>
        <v>0</v>
      </c>
      <c r="BK97" s="6">
        <f t="shared" si="109"/>
        <v>0</v>
      </c>
      <c r="BL97" s="6">
        <v>0</v>
      </c>
      <c r="BM97" s="6">
        <f t="shared" si="110"/>
        <v>0</v>
      </c>
      <c r="BN97" s="6">
        <f t="shared" si="111"/>
        <v>0</v>
      </c>
      <c r="BO97" s="6">
        <v>0</v>
      </c>
      <c r="BP97" s="6">
        <f t="shared" si="112"/>
        <v>0</v>
      </c>
      <c r="BQ97" s="6">
        <f t="shared" si="113"/>
        <v>0</v>
      </c>
      <c r="BR97" s="6">
        <v>0</v>
      </c>
      <c r="BS97" s="6">
        <f t="shared" si="114"/>
        <v>0</v>
      </c>
      <c r="BT97" s="6">
        <f t="shared" si="115"/>
        <v>0</v>
      </c>
      <c r="BU97" s="6">
        <v>0</v>
      </c>
      <c r="BV97" s="6">
        <f t="shared" si="116"/>
        <v>0</v>
      </c>
      <c r="BW97" s="6">
        <f t="shared" si="117"/>
        <v>0</v>
      </c>
      <c r="BX97" s="6">
        <v>0</v>
      </c>
      <c r="BY97" s="6">
        <f t="shared" si="118"/>
        <v>0</v>
      </c>
      <c r="BZ97" s="6">
        <f t="shared" si="119"/>
        <v>0</v>
      </c>
      <c r="CA97" s="6">
        <v>0</v>
      </c>
      <c r="CB97" s="6">
        <f t="shared" si="120"/>
        <v>0</v>
      </c>
      <c r="CC97" s="6">
        <f t="shared" si="121"/>
        <v>0</v>
      </c>
      <c r="CD97" s="6">
        <v>0</v>
      </c>
      <c r="CE97" s="6">
        <f t="shared" si="122"/>
        <v>0</v>
      </c>
      <c r="CF97" s="6">
        <f t="shared" si="123"/>
        <v>0</v>
      </c>
      <c r="CG97" s="6">
        <v>0</v>
      </c>
      <c r="CH97" s="6">
        <f t="shared" si="124"/>
        <v>0</v>
      </c>
      <c r="CI97" s="6">
        <f t="shared" si="125"/>
        <v>0</v>
      </c>
      <c r="CJ97" s="6">
        <v>0</v>
      </c>
      <c r="CK97" s="6">
        <f t="shared" si="126"/>
        <v>0</v>
      </c>
      <c r="CL97" s="6">
        <f t="shared" si="127"/>
        <v>0</v>
      </c>
      <c r="CM97" s="6">
        <v>0</v>
      </c>
      <c r="CN97" s="6">
        <f t="shared" si="128"/>
        <v>0</v>
      </c>
      <c r="CO97" s="6">
        <f t="shared" si="129"/>
        <v>0</v>
      </c>
      <c r="CP97" s="6">
        <v>0</v>
      </c>
      <c r="CQ97" s="6">
        <f t="shared" si="130"/>
        <v>0</v>
      </c>
      <c r="CR97" s="6">
        <f t="shared" si="131"/>
        <v>0</v>
      </c>
      <c r="CS97" s="6">
        <v>0</v>
      </c>
      <c r="CT97" s="6">
        <f t="shared" si="132"/>
        <v>0</v>
      </c>
      <c r="CU97" s="6">
        <f t="shared" si="133"/>
        <v>0</v>
      </c>
      <c r="CV97" s="6">
        <v>0</v>
      </c>
      <c r="CW97" s="6">
        <f t="shared" si="134"/>
        <v>0</v>
      </c>
      <c r="CX97" s="6">
        <f t="shared" si="135"/>
        <v>0</v>
      </c>
      <c r="CY97" s="6">
        <v>0</v>
      </c>
      <c r="CZ97" s="6">
        <f t="shared" si="136"/>
        <v>0</v>
      </c>
      <c r="DA97" s="6">
        <f t="shared" si="137"/>
        <v>0</v>
      </c>
      <c r="DB97" s="6">
        <v>0</v>
      </c>
      <c r="DC97" s="6">
        <f t="shared" si="138"/>
        <v>0</v>
      </c>
      <c r="DD97" s="6">
        <f t="shared" si="139"/>
        <v>0</v>
      </c>
      <c r="DE97" s="6">
        <v>0</v>
      </c>
      <c r="DF97" s="6">
        <f t="shared" si="140"/>
        <v>0</v>
      </c>
      <c r="DG97" s="6">
        <f t="shared" si="141"/>
        <v>0</v>
      </c>
      <c r="DH97" s="6">
        <v>0</v>
      </c>
      <c r="DI97" s="6">
        <f t="shared" si="142"/>
        <v>0</v>
      </c>
      <c r="DJ97" s="6">
        <f t="shared" si="143"/>
        <v>0</v>
      </c>
      <c r="DK97" s="6">
        <v>0</v>
      </c>
      <c r="DL97" s="6">
        <f t="shared" si="144"/>
        <v>0</v>
      </c>
      <c r="DM97" s="6">
        <f t="shared" si="145"/>
        <v>0</v>
      </c>
      <c r="DN97" s="6">
        <v>0</v>
      </c>
      <c r="DO97" s="6">
        <f t="shared" si="146"/>
        <v>0</v>
      </c>
      <c r="DP97" s="6">
        <f t="shared" si="147"/>
        <v>0</v>
      </c>
    </row>
    <row r="98" spans="1:120" x14ac:dyDescent="0.2">
      <c r="A98" s="21">
        <v>85</v>
      </c>
      <c r="B98" s="21" t="s">
        <v>612</v>
      </c>
      <c r="C98" s="21">
        <v>85430</v>
      </c>
      <c r="D98" s="21" t="s">
        <v>672</v>
      </c>
      <c r="E98" s="21" t="s">
        <v>611</v>
      </c>
      <c r="F98" s="22" t="s">
        <v>662</v>
      </c>
      <c r="G98" s="4" t="s">
        <v>210</v>
      </c>
      <c r="H98" s="6">
        <v>229369.64</v>
      </c>
      <c r="I98" s="6">
        <f t="shared" si="148"/>
        <v>628.4099726027398</v>
      </c>
      <c r="J98" s="6">
        <v>371526.93430000002</v>
      </c>
      <c r="K98" s="6">
        <v>214047.23</v>
      </c>
      <c r="L98" s="6">
        <f t="shared" si="149"/>
        <v>584.82849726775964</v>
      </c>
      <c r="M98" s="6">
        <v>265124.5834</v>
      </c>
      <c r="N98" s="6">
        <v>252930.09</v>
      </c>
      <c r="O98" s="6">
        <f>N98/365</f>
        <v>692.9591506849315</v>
      </c>
      <c r="P98" s="6">
        <v>189734.7267</v>
      </c>
      <c r="Q98" s="6">
        <v>118161.38</v>
      </c>
      <c r="R98" s="6">
        <f>Q98/181</f>
        <v>652.82530386740336</v>
      </c>
      <c r="S98" s="6">
        <v>137772.08979999999</v>
      </c>
      <c r="T98" s="6">
        <f t="shared" si="80"/>
        <v>137772.08979999999</v>
      </c>
      <c r="U98" s="6">
        <f t="shared" si="81"/>
        <v>377.45778027397256</v>
      </c>
      <c r="V98" s="6">
        <v>101328.9855</v>
      </c>
      <c r="W98" s="6">
        <f t="shared" si="82"/>
        <v>101328.9855</v>
      </c>
      <c r="X98" s="6">
        <f t="shared" si="83"/>
        <v>277.61365890410957</v>
      </c>
      <c r="Y98" s="6">
        <v>77721.852299999999</v>
      </c>
      <c r="Z98" s="6">
        <f t="shared" si="84"/>
        <v>77721.852299999999</v>
      </c>
      <c r="AA98" s="6">
        <f t="shared" si="85"/>
        <v>212.93658164383561</v>
      </c>
      <c r="AB98" s="6">
        <v>60254.5268</v>
      </c>
      <c r="AC98" s="6">
        <f t="shared" si="86"/>
        <v>60254.5268</v>
      </c>
      <c r="AD98" s="6">
        <f t="shared" si="87"/>
        <v>165.08089534246577</v>
      </c>
      <c r="AE98" s="6">
        <v>4377.7789000000002</v>
      </c>
      <c r="AF98" s="6">
        <f t="shared" si="88"/>
        <v>4377.7789000000002</v>
      </c>
      <c r="AG98" s="6">
        <f t="shared" si="89"/>
        <v>11.993914794520549</v>
      </c>
      <c r="AH98" s="6">
        <v>0</v>
      </c>
      <c r="AI98" s="6">
        <f t="shared" si="90"/>
        <v>0</v>
      </c>
      <c r="AJ98" s="6">
        <f t="shared" si="91"/>
        <v>0</v>
      </c>
      <c r="AK98" s="6">
        <v>0</v>
      </c>
      <c r="AL98" s="6">
        <f t="shared" si="92"/>
        <v>0</v>
      </c>
      <c r="AM98" s="6">
        <f t="shared" si="93"/>
        <v>0</v>
      </c>
      <c r="AN98" s="6">
        <v>0</v>
      </c>
      <c r="AO98" s="6">
        <f t="shared" si="94"/>
        <v>0</v>
      </c>
      <c r="AP98" s="6">
        <f t="shared" si="95"/>
        <v>0</v>
      </c>
      <c r="AQ98" s="6">
        <v>0</v>
      </c>
      <c r="AR98" s="6">
        <f t="shared" si="96"/>
        <v>0</v>
      </c>
      <c r="AS98" s="6">
        <f t="shared" si="97"/>
        <v>0</v>
      </c>
      <c r="AT98" s="6">
        <v>0</v>
      </c>
      <c r="AU98" s="6">
        <f t="shared" si="98"/>
        <v>0</v>
      </c>
      <c r="AV98" s="6">
        <f t="shared" si="99"/>
        <v>0</v>
      </c>
      <c r="AW98" s="6">
        <v>0</v>
      </c>
      <c r="AX98" s="6">
        <f t="shared" si="100"/>
        <v>0</v>
      </c>
      <c r="AY98" s="6">
        <f t="shared" si="101"/>
        <v>0</v>
      </c>
      <c r="AZ98" s="6">
        <v>0</v>
      </c>
      <c r="BA98" s="6">
        <f t="shared" si="102"/>
        <v>0</v>
      </c>
      <c r="BB98" s="6">
        <f t="shared" si="103"/>
        <v>0</v>
      </c>
      <c r="BC98" s="6">
        <v>0</v>
      </c>
      <c r="BD98" s="6">
        <f t="shared" si="104"/>
        <v>0</v>
      </c>
      <c r="BE98" s="6">
        <f t="shared" si="105"/>
        <v>0</v>
      </c>
      <c r="BF98" s="6">
        <v>0</v>
      </c>
      <c r="BG98" s="6">
        <f t="shared" si="106"/>
        <v>0</v>
      </c>
      <c r="BH98" s="6">
        <f t="shared" si="107"/>
        <v>0</v>
      </c>
      <c r="BI98" s="6">
        <v>0</v>
      </c>
      <c r="BJ98" s="6">
        <f t="shared" si="108"/>
        <v>0</v>
      </c>
      <c r="BK98" s="6">
        <f t="shared" si="109"/>
        <v>0</v>
      </c>
      <c r="BL98" s="6">
        <v>0</v>
      </c>
      <c r="BM98" s="6">
        <f t="shared" si="110"/>
        <v>0</v>
      </c>
      <c r="BN98" s="6">
        <f t="shared" si="111"/>
        <v>0</v>
      </c>
      <c r="BO98" s="6">
        <v>0</v>
      </c>
      <c r="BP98" s="6">
        <f t="shared" si="112"/>
        <v>0</v>
      </c>
      <c r="BQ98" s="6">
        <f t="shared" si="113"/>
        <v>0</v>
      </c>
      <c r="BR98" s="6">
        <v>0</v>
      </c>
      <c r="BS98" s="6">
        <f t="shared" si="114"/>
        <v>0</v>
      </c>
      <c r="BT98" s="6">
        <f t="shared" si="115"/>
        <v>0</v>
      </c>
      <c r="BU98" s="6">
        <v>0</v>
      </c>
      <c r="BV98" s="6">
        <f t="shared" si="116"/>
        <v>0</v>
      </c>
      <c r="BW98" s="6">
        <f t="shared" si="117"/>
        <v>0</v>
      </c>
      <c r="BX98" s="6">
        <v>0</v>
      </c>
      <c r="BY98" s="6">
        <f t="shared" si="118"/>
        <v>0</v>
      </c>
      <c r="BZ98" s="6">
        <f t="shared" si="119"/>
        <v>0</v>
      </c>
      <c r="CA98" s="6">
        <v>0</v>
      </c>
      <c r="CB98" s="6">
        <f t="shared" si="120"/>
        <v>0</v>
      </c>
      <c r="CC98" s="6">
        <f t="shared" si="121"/>
        <v>0</v>
      </c>
      <c r="CD98" s="6">
        <v>0</v>
      </c>
      <c r="CE98" s="6">
        <f t="shared" si="122"/>
        <v>0</v>
      </c>
      <c r="CF98" s="6">
        <f t="shared" si="123"/>
        <v>0</v>
      </c>
      <c r="CG98" s="6">
        <v>0</v>
      </c>
      <c r="CH98" s="6">
        <f t="shared" si="124"/>
        <v>0</v>
      </c>
      <c r="CI98" s="6">
        <f t="shared" si="125"/>
        <v>0</v>
      </c>
      <c r="CJ98" s="6">
        <v>0</v>
      </c>
      <c r="CK98" s="6">
        <f t="shared" si="126"/>
        <v>0</v>
      </c>
      <c r="CL98" s="6">
        <f t="shared" si="127"/>
        <v>0</v>
      </c>
      <c r="CM98" s="6">
        <v>0</v>
      </c>
      <c r="CN98" s="6">
        <f t="shared" si="128"/>
        <v>0</v>
      </c>
      <c r="CO98" s="6">
        <f t="shared" si="129"/>
        <v>0</v>
      </c>
      <c r="CP98" s="6">
        <v>0</v>
      </c>
      <c r="CQ98" s="6">
        <f t="shared" si="130"/>
        <v>0</v>
      </c>
      <c r="CR98" s="6">
        <f t="shared" si="131"/>
        <v>0</v>
      </c>
      <c r="CS98" s="6">
        <v>0</v>
      </c>
      <c r="CT98" s="6">
        <f t="shared" si="132"/>
        <v>0</v>
      </c>
      <c r="CU98" s="6">
        <f t="shared" si="133"/>
        <v>0</v>
      </c>
      <c r="CV98" s="6">
        <v>0</v>
      </c>
      <c r="CW98" s="6">
        <f t="shared" si="134"/>
        <v>0</v>
      </c>
      <c r="CX98" s="6">
        <f t="shared" si="135"/>
        <v>0</v>
      </c>
      <c r="CY98" s="6">
        <v>0</v>
      </c>
      <c r="CZ98" s="6">
        <f t="shared" si="136"/>
        <v>0</v>
      </c>
      <c r="DA98" s="6">
        <f t="shared" si="137"/>
        <v>0</v>
      </c>
      <c r="DB98" s="6">
        <v>0</v>
      </c>
      <c r="DC98" s="6">
        <f t="shared" si="138"/>
        <v>0</v>
      </c>
      <c r="DD98" s="6">
        <f t="shared" si="139"/>
        <v>0</v>
      </c>
      <c r="DE98" s="6">
        <v>0</v>
      </c>
      <c r="DF98" s="6">
        <f t="shared" si="140"/>
        <v>0</v>
      </c>
      <c r="DG98" s="6">
        <f t="shared" si="141"/>
        <v>0</v>
      </c>
      <c r="DH98" s="6">
        <v>0</v>
      </c>
      <c r="DI98" s="6">
        <f t="shared" si="142"/>
        <v>0</v>
      </c>
      <c r="DJ98" s="6">
        <f t="shared" si="143"/>
        <v>0</v>
      </c>
      <c r="DK98" s="6">
        <v>0</v>
      </c>
      <c r="DL98" s="6">
        <f t="shared" si="144"/>
        <v>0</v>
      </c>
      <c r="DM98" s="6">
        <f t="shared" si="145"/>
        <v>0</v>
      </c>
      <c r="DN98" s="6">
        <v>0</v>
      </c>
      <c r="DO98" s="6">
        <f t="shared" si="146"/>
        <v>0</v>
      </c>
      <c r="DP98" s="6">
        <f t="shared" si="147"/>
        <v>0</v>
      </c>
    </row>
    <row r="99" spans="1:120" x14ac:dyDescent="0.2">
      <c r="A99" s="21">
        <v>85</v>
      </c>
      <c r="B99" s="21" t="s">
        <v>612</v>
      </c>
      <c r="C99" s="21">
        <v>85430</v>
      </c>
      <c r="D99" s="21" t="s">
        <v>672</v>
      </c>
      <c r="E99" s="21" t="s">
        <v>611</v>
      </c>
      <c r="F99" s="22" t="s">
        <v>662</v>
      </c>
      <c r="G99" s="4" t="s">
        <v>211</v>
      </c>
      <c r="H99" s="6">
        <v>116692.58</v>
      </c>
      <c r="I99" s="6">
        <f t="shared" si="148"/>
        <v>319.70569863013696</v>
      </c>
      <c r="J99" s="6">
        <v>73892.513600000006</v>
      </c>
      <c r="K99" s="6">
        <v>101541.13</v>
      </c>
      <c r="L99" s="6">
        <f t="shared" si="149"/>
        <v>277.43478142076503</v>
      </c>
      <c r="M99" s="6">
        <v>101029.6059</v>
      </c>
      <c r="N99" s="6">
        <v>118538.62</v>
      </c>
      <c r="O99" s="6">
        <f>N99/365</f>
        <v>324.7633424657534</v>
      </c>
      <c r="P99" s="6">
        <v>92099.352100000004</v>
      </c>
      <c r="Q99" s="6">
        <v>46362.31</v>
      </c>
      <c r="R99" s="6">
        <f>Q99/181</f>
        <v>256.14535911602206</v>
      </c>
      <c r="S99" s="6">
        <v>63736.602200000001</v>
      </c>
      <c r="T99" s="6">
        <f t="shared" si="80"/>
        <v>63736.602200000001</v>
      </c>
      <c r="U99" s="6">
        <f t="shared" si="81"/>
        <v>174.62082794520549</v>
      </c>
      <c r="V99" s="6">
        <v>42968.579400000002</v>
      </c>
      <c r="W99" s="6">
        <f t="shared" si="82"/>
        <v>42968.579400000002</v>
      </c>
      <c r="X99" s="6">
        <f t="shared" si="83"/>
        <v>117.72213534246576</v>
      </c>
      <c r="Y99" s="6">
        <v>31641.709900000002</v>
      </c>
      <c r="Z99" s="6">
        <f t="shared" si="84"/>
        <v>31641.709900000002</v>
      </c>
      <c r="AA99" s="6">
        <f t="shared" si="85"/>
        <v>86.689616164383565</v>
      </c>
      <c r="AB99" s="6">
        <v>24062.0746</v>
      </c>
      <c r="AC99" s="6">
        <f t="shared" si="86"/>
        <v>24062.0746</v>
      </c>
      <c r="AD99" s="6">
        <f t="shared" si="87"/>
        <v>65.923492054794522</v>
      </c>
      <c r="AE99" s="6">
        <v>1724.3501000000001</v>
      </c>
      <c r="AF99" s="6">
        <f t="shared" si="88"/>
        <v>1724.3501000000001</v>
      </c>
      <c r="AG99" s="6">
        <f t="shared" si="89"/>
        <v>4.7242468493150689</v>
      </c>
      <c r="AH99" s="6">
        <v>0</v>
      </c>
      <c r="AI99" s="6">
        <f t="shared" si="90"/>
        <v>0</v>
      </c>
      <c r="AJ99" s="6">
        <f t="shared" si="91"/>
        <v>0</v>
      </c>
      <c r="AK99" s="6">
        <v>0</v>
      </c>
      <c r="AL99" s="6">
        <f t="shared" si="92"/>
        <v>0</v>
      </c>
      <c r="AM99" s="6">
        <f t="shared" si="93"/>
        <v>0</v>
      </c>
      <c r="AN99" s="6">
        <v>0</v>
      </c>
      <c r="AO99" s="6">
        <f t="shared" si="94"/>
        <v>0</v>
      </c>
      <c r="AP99" s="6">
        <f t="shared" si="95"/>
        <v>0</v>
      </c>
      <c r="AQ99" s="6">
        <v>0</v>
      </c>
      <c r="AR99" s="6">
        <f t="shared" si="96"/>
        <v>0</v>
      </c>
      <c r="AS99" s="6">
        <f t="shared" si="97"/>
        <v>0</v>
      </c>
      <c r="AT99" s="6">
        <v>0</v>
      </c>
      <c r="AU99" s="6">
        <f t="shared" si="98"/>
        <v>0</v>
      </c>
      <c r="AV99" s="6">
        <f t="shared" si="99"/>
        <v>0</v>
      </c>
      <c r="AW99" s="6">
        <v>0</v>
      </c>
      <c r="AX99" s="6">
        <f t="shared" si="100"/>
        <v>0</v>
      </c>
      <c r="AY99" s="6">
        <f t="shared" si="101"/>
        <v>0</v>
      </c>
      <c r="AZ99" s="6">
        <v>0</v>
      </c>
      <c r="BA99" s="6">
        <f t="shared" si="102"/>
        <v>0</v>
      </c>
      <c r="BB99" s="6">
        <f t="shared" si="103"/>
        <v>0</v>
      </c>
      <c r="BC99" s="6">
        <v>0</v>
      </c>
      <c r="BD99" s="6">
        <f t="shared" si="104"/>
        <v>0</v>
      </c>
      <c r="BE99" s="6">
        <f t="shared" si="105"/>
        <v>0</v>
      </c>
      <c r="BF99" s="6">
        <v>0</v>
      </c>
      <c r="BG99" s="6">
        <f t="shared" si="106"/>
        <v>0</v>
      </c>
      <c r="BH99" s="6">
        <f t="shared" si="107"/>
        <v>0</v>
      </c>
      <c r="BI99" s="6">
        <v>0</v>
      </c>
      <c r="BJ99" s="6">
        <f t="shared" si="108"/>
        <v>0</v>
      </c>
      <c r="BK99" s="6">
        <f t="shared" si="109"/>
        <v>0</v>
      </c>
      <c r="BL99" s="6">
        <v>0</v>
      </c>
      <c r="BM99" s="6">
        <f t="shared" si="110"/>
        <v>0</v>
      </c>
      <c r="BN99" s="6">
        <f t="shared" si="111"/>
        <v>0</v>
      </c>
      <c r="BO99" s="6">
        <v>0</v>
      </c>
      <c r="BP99" s="6">
        <f t="shared" si="112"/>
        <v>0</v>
      </c>
      <c r="BQ99" s="6">
        <f t="shared" si="113"/>
        <v>0</v>
      </c>
      <c r="BR99" s="6">
        <v>0</v>
      </c>
      <c r="BS99" s="6">
        <f t="shared" si="114"/>
        <v>0</v>
      </c>
      <c r="BT99" s="6">
        <f t="shared" si="115"/>
        <v>0</v>
      </c>
      <c r="BU99" s="6">
        <v>0</v>
      </c>
      <c r="BV99" s="6">
        <f t="shared" si="116"/>
        <v>0</v>
      </c>
      <c r="BW99" s="6">
        <f t="shared" si="117"/>
        <v>0</v>
      </c>
      <c r="BX99" s="6">
        <v>0</v>
      </c>
      <c r="BY99" s="6">
        <f t="shared" si="118"/>
        <v>0</v>
      </c>
      <c r="BZ99" s="6">
        <f t="shared" si="119"/>
        <v>0</v>
      </c>
      <c r="CA99" s="6">
        <v>0</v>
      </c>
      <c r="CB99" s="6">
        <f t="shared" si="120"/>
        <v>0</v>
      </c>
      <c r="CC99" s="6">
        <f t="shared" si="121"/>
        <v>0</v>
      </c>
      <c r="CD99" s="6">
        <v>0</v>
      </c>
      <c r="CE99" s="6">
        <f t="shared" si="122"/>
        <v>0</v>
      </c>
      <c r="CF99" s="6">
        <f t="shared" si="123"/>
        <v>0</v>
      </c>
      <c r="CG99" s="6">
        <v>0</v>
      </c>
      <c r="CH99" s="6">
        <f t="shared" si="124"/>
        <v>0</v>
      </c>
      <c r="CI99" s="6">
        <f t="shared" si="125"/>
        <v>0</v>
      </c>
      <c r="CJ99" s="6">
        <v>0</v>
      </c>
      <c r="CK99" s="6">
        <f t="shared" si="126"/>
        <v>0</v>
      </c>
      <c r="CL99" s="6">
        <f t="shared" si="127"/>
        <v>0</v>
      </c>
      <c r="CM99" s="6">
        <v>0</v>
      </c>
      <c r="CN99" s="6">
        <f t="shared" si="128"/>
        <v>0</v>
      </c>
      <c r="CO99" s="6">
        <f t="shared" si="129"/>
        <v>0</v>
      </c>
      <c r="CP99" s="6">
        <v>0</v>
      </c>
      <c r="CQ99" s="6">
        <f t="shared" si="130"/>
        <v>0</v>
      </c>
      <c r="CR99" s="6">
        <f t="shared" si="131"/>
        <v>0</v>
      </c>
      <c r="CS99" s="6">
        <v>0</v>
      </c>
      <c r="CT99" s="6">
        <f t="shared" si="132"/>
        <v>0</v>
      </c>
      <c r="CU99" s="6">
        <f t="shared" si="133"/>
        <v>0</v>
      </c>
      <c r="CV99" s="6">
        <v>0</v>
      </c>
      <c r="CW99" s="6">
        <f t="shared" si="134"/>
        <v>0</v>
      </c>
      <c r="CX99" s="6">
        <f t="shared" si="135"/>
        <v>0</v>
      </c>
      <c r="CY99" s="6">
        <v>0</v>
      </c>
      <c r="CZ99" s="6">
        <f t="shared" si="136"/>
        <v>0</v>
      </c>
      <c r="DA99" s="6">
        <f t="shared" si="137"/>
        <v>0</v>
      </c>
      <c r="DB99" s="6">
        <v>0</v>
      </c>
      <c r="DC99" s="6">
        <f t="shared" si="138"/>
        <v>0</v>
      </c>
      <c r="DD99" s="6">
        <f t="shared" si="139"/>
        <v>0</v>
      </c>
      <c r="DE99" s="6">
        <v>0</v>
      </c>
      <c r="DF99" s="6">
        <f t="shared" si="140"/>
        <v>0</v>
      </c>
      <c r="DG99" s="6">
        <f t="shared" si="141"/>
        <v>0</v>
      </c>
      <c r="DH99" s="6">
        <v>0</v>
      </c>
      <c r="DI99" s="6">
        <f t="shared" si="142"/>
        <v>0</v>
      </c>
      <c r="DJ99" s="6">
        <f t="shared" si="143"/>
        <v>0</v>
      </c>
      <c r="DK99" s="6">
        <v>0</v>
      </c>
      <c r="DL99" s="6">
        <f t="shared" si="144"/>
        <v>0</v>
      </c>
      <c r="DM99" s="6">
        <f t="shared" si="145"/>
        <v>0</v>
      </c>
      <c r="DN99" s="6">
        <v>0</v>
      </c>
      <c r="DO99" s="6">
        <f t="shared" si="146"/>
        <v>0</v>
      </c>
      <c r="DP99" s="6">
        <f t="shared" si="147"/>
        <v>0</v>
      </c>
    </row>
    <row r="100" spans="1:120" x14ac:dyDescent="0.2">
      <c r="A100" s="23"/>
      <c r="B100" s="23"/>
      <c r="C100" s="23"/>
      <c r="D100" s="23"/>
      <c r="E100" s="23"/>
      <c r="G100" s="4" t="s">
        <v>212</v>
      </c>
      <c r="H100" s="6"/>
      <c r="I100" s="6"/>
      <c r="J100" s="6">
        <v>42322.655899999998</v>
      </c>
      <c r="K100" s="6"/>
      <c r="L100" s="6"/>
      <c r="M100" s="6">
        <v>35127.804400000001</v>
      </c>
      <c r="N100" s="6"/>
      <c r="O100" s="6"/>
      <c r="P100" s="6">
        <v>29156.077600000001</v>
      </c>
      <c r="Q100" s="6"/>
      <c r="R100" s="6"/>
      <c r="S100" s="6">
        <v>24199.544399999999</v>
      </c>
      <c r="T100" s="6">
        <f t="shared" si="80"/>
        <v>24199.544399999999</v>
      </c>
      <c r="U100" s="6">
        <f t="shared" si="81"/>
        <v>66.30012164383561</v>
      </c>
      <c r="V100" s="6">
        <v>20085.621899999998</v>
      </c>
      <c r="W100" s="6">
        <f t="shared" si="82"/>
        <v>20085.621899999998</v>
      </c>
      <c r="X100" s="6">
        <f t="shared" si="83"/>
        <v>55.029101095890404</v>
      </c>
      <c r="Y100" s="6">
        <v>16671.066200000001</v>
      </c>
      <c r="Z100" s="6">
        <f t="shared" si="84"/>
        <v>16671.066200000001</v>
      </c>
      <c r="AA100" s="6">
        <f t="shared" si="85"/>
        <v>45.674153972602745</v>
      </c>
      <c r="AB100" s="6">
        <v>13836.984899999999</v>
      </c>
      <c r="AC100" s="6">
        <f t="shared" si="86"/>
        <v>13836.984899999999</v>
      </c>
      <c r="AD100" s="6">
        <f t="shared" si="87"/>
        <v>37.909547671232872</v>
      </c>
      <c r="AE100" s="6">
        <v>1040.8875</v>
      </c>
      <c r="AF100" s="6">
        <f t="shared" si="88"/>
        <v>1040.8875</v>
      </c>
      <c r="AG100" s="6">
        <f t="shared" si="89"/>
        <v>2.851746575342466</v>
      </c>
      <c r="AH100" s="6">
        <v>0</v>
      </c>
      <c r="AI100" s="6">
        <f t="shared" si="90"/>
        <v>0</v>
      </c>
      <c r="AJ100" s="6">
        <f t="shared" si="91"/>
        <v>0</v>
      </c>
      <c r="AK100" s="6">
        <v>0</v>
      </c>
      <c r="AL100" s="6">
        <f t="shared" si="92"/>
        <v>0</v>
      </c>
      <c r="AM100" s="6">
        <f t="shared" si="93"/>
        <v>0</v>
      </c>
      <c r="AN100" s="6">
        <v>0</v>
      </c>
      <c r="AO100" s="6">
        <f t="shared" si="94"/>
        <v>0</v>
      </c>
      <c r="AP100" s="6">
        <f t="shared" si="95"/>
        <v>0</v>
      </c>
      <c r="AQ100" s="6">
        <v>0</v>
      </c>
      <c r="AR100" s="6">
        <f t="shared" si="96"/>
        <v>0</v>
      </c>
      <c r="AS100" s="6">
        <f t="shared" si="97"/>
        <v>0</v>
      </c>
      <c r="AT100" s="6">
        <v>0</v>
      </c>
      <c r="AU100" s="6">
        <f t="shared" si="98"/>
        <v>0</v>
      </c>
      <c r="AV100" s="6">
        <f t="shared" si="99"/>
        <v>0</v>
      </c>
      <c r="AW100" s="6">
        <v>0</v>
      </c>
      <c r="AX100" s="6">
        <f t="shared" si="100"/>
        <v>0</v>
      </c>
      <c r="AY100" s="6">
        <f t="shared" si="101"/>
        <v>0</v>
      </c>
      <c r="AZ100" s="6">
        <v>0</v>
      </c>
      <c r="BA100" s="6">
        <f t="shared" si="102"/>
        <v>0</v>
      </c>
      <c r="BB100" s="6">
        <f t="shared" si="103"/>
        <v>0</v>
      </c>
      <c r="BC100" s="6">
        <v>0</v>
      </c>
      <c r="BD100" s="6">
        <f t="shared" si="104"/>
        <v>0</v>
      </c>
      <c r="BE100" s="6">
        <f t="shared" si="105"/>
        <v>0</v>
      </c>
      <c r="BF100" s="6">
        <v>0</v>
      </c>
      <c r="BG100" s="6">
        <f t="shared" si="106"/>
        <v>0</v>
      </c>
      <c r="BH100" s="6">
        <f t="shared" si="107"/>
        <v>0</v>
      </c>
      <c r="BI100" s="6">
        <v>0</v>
      </c>
      <c r="BJ100" s="6">
        <f t="shared" si="108"/>
        <v>0</v>
      </c>
      <c r="BK100" s="6">
        <f t="shared" si="109"/>
        <v>0</v>
      </c>
      <c r="BL100" s="6">
        <v>0</v>
      </c>
      <c r="BM100" s="6">
        <f t="shared" si="110"/>
        <v>0</v>
      </c>
      <c r="BN100" s="6">
        <f t="shared" si="111"/>
        <v>0</v>
      </c>
      <c r="BO100" s="6">
        <v>0</v>
      </c>
      <c r="BP100" s="6">
        <f t="shared" si="112"/>
        <v>0</v>
      </c>
      <c r="BQ100" s="6">
        <f t="shared" si="113"/>
        <v>0</v>
      </c>
      <c r="BR100" s="6">
        <v>0</v>
      </c>
      <c r="BS100" s="6">
        <f t="shared" si="114"/>
        <v>0</v>
      </c>
      <c r="BT100" s="6">
        <f t="shared" si="115"/>
        <v>0</v>
      </c>
      <c r="BU100" s="6">
        <v>0</v>
      </c>
      <c r="BV100" s="6">
        <f t="shared" si="116"/>
        <v>0</v>
      </c>
      <c r="BW100" s="6">
        <f t="shared" si="117"/>
        <v>0</v>
      </c>
      <c r="BX100" s="6">
        <v>0</v>
      </c>
      <c r="BY100" s="6">
        <f t="shared" si="118"/>
        <v>0</v>
      </c>
      <c r="BZ100" s="6">
        <f t="shared" si="119"/>
        <v>0</v>
      </c>
      <c r="CA100" s="6">
        <v>0</v>
      </c>
      <c r="CB100" s="6">
        <f t="shared" si="120"/>
        <v>0</v>
      </c>
      <c r="CC100" s="6">
        <f t="shared" si="121"/>
        <v>0</v>
      </c>
      <c r="CD100" s="6">
        <v>0</v>
      </c>
      <c r="CE100" s="6">
        <f t="shared" si="122"/>
        <v>0</v>
      </c>
      <c r="CF100" s="6">
        <f t="shared" si="123"/>
        <v>0</v>
      </c>
      <c r="CG100" s="6">
        <v>0</v>
      </c>
      <c r="CH100" s="6">
        <f t="shared" si="124"/>
        <v>0</v>
      </c>
      <c r="CI100" s="6">
        <f t="shared" si="125"/>
        <v>0</v>
      </c>
      <c r="CJ100" s="6">
        <v>0</v>
      </c>
      <c r="CK100" s="6">
        <f t="shared" si="126"/>
        <v>0</v>
      </c>
      <c r="CL100" s="6">
        <f t="shared" si="127"/>
        <v>0</v>
      </c>
      <c r="CM100" s="6">
        <v>0</v>
      </c>
      <c r="CN100" s="6">
        <f t="shared" si="128"/>
        <v>0</v>
      </c>
      <c r="CO100" s="6">
        <f t="shared" si="129"/>
        <v>0</v>
      </c>
      <c r="CP100" s="6">
        <v>0</v>
      </c>
      <c r="CQ100" s="6">
        <f t="shared" si="130"/>
        <v>0</v>
      </c>
      <c r="CR100" s="6">
        <f t="shared" si="131"/>
        <v>0</v>
      </c>
      <c r="CS100" s="6">
        <v>0</v>
      </c>
      <c r="CT100" s="6">
        <f t="shared" si="132"/>
        <v>0</v>
      </c>
      <c r="CU100" s="6">
        <f t="shared" si="133"/>
        <v>0</v>
      </c>
      <c r="CV100" s="6">
        <v>0</v>
      </c>
      <c r="CW100" s="6">
        <f t="shared" si="134"/>
        <v>0</v>
      </c>
      <c r="CX100" s="6">
        <f t="shared" si="135"/>
        <v>0</v>
      </c>
      <c r="CY100" s="6">
        <v>0</v>
      </c>
      <c r="CZ100" s="6">
        <f t="shared" si="136"/>
        <v>0</v>
      </c>
      <c r="DA100" s="6">
        <f t="shared" si="137"/>
        <v>0</v>
      </c>
      <c r="DB100" s="6">
        <v>0</v>
      </c>
      <c r="DC100" s="6">
        <f t="shared" si="138"/>
        <v>0</v>
      </c>
      <c r="DD100" s="6">
        <f t="shared" si="139"/>
        <v>0</v>
      </c>
      <c r="DE100" s="6">
        <v>0</v>
      </c>
      <c r="DF100" s="6">
        <f t="shared" si="140"/>
        <v>0</v>
      </c>
      <c r="DG100" s="6">
        <f t="shared" si="141"/>
        <v>0</v>
      </c>
      <c r="DH100" s="6">
        <v>0</v>
      </c>
      <c r="DI100" s="6">
        <f t="shared" si="142"/>
        <v>0</v>
      </c>
      <c r="DJ100" s="6">
        <f t="shared" si="143"/>
        <v>0</v>
      </c>
      <c r="DK100" s="6">
        <v>0</v>
      </c>
      <c r="DL100" s="6">
        <f t="shared" si="144"/>
        <v>0</v>
      </c>
      <c r="DM100" s="6">
        <f t="shared" si="145"/>
        <v>0</v>
      </c>
      <c r="DN100" s="6">
        <v>0</v>
      </c>
      <c r="DO100" s="6">
        <f t="shared" si="146"/>
        <v>0</v>
      </c>
      <c r="DP100" s="6">
        <f t="shared" si="147"/>
        <v>0</v>
      </c>
    </row>
    <row r="101" spans="1:120" x14ac:dyDescent="0.2">
      <c r="A101" s="21">
        <v>15</v>
      </c>
      <c r="B101" s="21" t="s">
        <v>660</v>
      </c>
      <c r="C101" s="21">
        <v>15215</v>
      </c>
      <c r="D101" s="21" t="s">
        <v>213</v>
      </c>
      <c r="E101" s="21" t="s">
        <v>636</v>
      </c>
      <c r="F101" s="22" t="s">
        <v>693</v>
      </c>
      <c r="G101" s="4" t="s">
        <v>213</v>
      </c>
      <c r="H101" s="6">
        <v>47164</v>
      </c>
      <c r="I101" s="6">
        <f t="shared" ref="I101:I109" si="152">H101/365</f>
        <v>129.21643835616439</v>
      </c>
      <c r="J101" s="6">
        <v>101617</v>
      </c>
      <c r="K101" s="6">
        <v>36577.35</v>
      </c>
      <c r="L101" s="6">
        <f t="shared" ref="L101:L109" si="153">K101/366</f>
        <v>99.938114754098351</v>
      </c>
      <c r="M101" s="6">
        <v>492206</v>
      </c>
      <c r="N101" s="6">
        <v>26452.33</v>
      </c>
      <c r="O101" s="6">
        <f t="shared" ref="O101:O109" si="154">N101/365</f>
        <v>72.472136986301379</v>
      </c>
      <c r="P101" s="6">
        <v>596515</v>
      </c>
      <c r="Q101" s="6">
        <v>11708</v>
      </c>
      <c r="R101" s="6">
        <f>Q101/181</f>
        <v>64.685082872928177</v>
      </c>
      <c r="S101" s="6">
        <v>448667</v>
      </c>
      <c r="T101" s="6">
        <f t="shared" si="80"/>
        <v>448667</v>
      </c>
      <c r="U101" s="6">
        <f t="shared" si="81"/>
        <v>1229.2246575342465</v>
      </c>
      <c r="V101" s="6">
        <v>196568</v>
      </c>
      <c r="W101" s="6">
        <f t="shared" si="82"/>
        <v>196568</v>
      </c>
      <c r="X101" s="6">
        <f t="shared" si="83"/>
        <v>538.54246575342461</v>
      </c>
      <c r="Y101" s="6">
        <v>126316</v>
      </c>
      <c r="Z101" s="6">
        <f t="shared" si="84"/>
        <v>126316</v>
      </c>
      <c r="AA101" s="6">
        <f t="shared" si="85"/>
        <v>346.07123287671232</v>
      </c>
      <c r="AB101" s="6">
        <v>90739</v>
      </c>
      <c r="AC101" s="6">
        <f t="shared" si="86"/>
        <v>90739</v>
      </c>
      <c r="AD101" s="6">
        <f t="shared" si="87"/>
        <v>248.6</v>
      </c>
      <c r="AE101" s="6">
        <v>65725</v>
      </c>
      <c r="AF101" s="6">
        <f t="shared" si="88"/>
        <v>65725</v>
      </c>
      <c r="AG101" s="6">
        <f t="shared" si="89"/>
        <v>180.06849315068493</v>
      </c>
      <c r="AH101" s="6">
        <v>32784</v>
      </c>
      <c r="AI101" s="6">
        <f t="shared" si="90"/>
        <v>32784</v>
      </c>
      <c r="AJ101" s="6">
        <f t="shared" si="91"/>
        <v>89.819178082191783</v>
      </c>
      <c r="AK101" s="6">
        <v>11986</v>
      </c>
      <c r="AL101" s="6">
        <f t="shared" si="92"/>
        <v>11986</v>
      </c>
      <c r="AM101" s="6">
        <f t="shared" si="93"/>
        <v>32.838356164383562</v>
      </c>
      <c r="AN101" s="6">
        <v>10239</v>
      </c>
      <c r="AO101" s="6">
        <f t="shared" si="94"/>
        <v>10239</v>
      </c>
      <c r="AP101" s="6">
        <f t="shared" si="95"/>
        <v>28.052054794520547</v>
      </c>
      <c r="AQ101" s="6">
        <v>8812</v>
      </c>
      <c r="AR101" s="6">
        <f t="shared" si="96"/>
        <v>8812</v>
      </c>
      <c r="AS101" s="6">
        <f t="shared" si="97"/>
        <v>24.142465753424659</v>
      </c>
      <c r="AT101" s="6">
        <v>7637</v>
      </c>
      <c r="AU101" s="6">
        <f t="shared" si="98"/>
        <v>7637</v>
      </c>
      <c r="AV101" s="6">
        <f t="shared" si="99"/>
        <v>20.923287671232877</v>
      </c>
      <c r="AW101" s="6">
        <v>1173</v>
      </c>
      <c r="AX101" s="6">
        <f t="shared" si="100"/>
        <v>1173</v>
      </c>
      <c r="AY101" s="6">
        <f t="shared" si="101"/>
        <v>3.2136986301369861</v>
      </c>
      <c r="AZ101" s="6">
        <v>0</v>
      </c>
      <c r="BA101" s="6">
        <f t="shared" si="102"/>
        <v>0</v>
      </c>
      <c r="BB101" s="6">
        <f t="shared" si="103"/>
        <v>0</v>
      </c>
      <c r="BC101" s="6">
        <v>0</v>
      </c>
      <c r="BD101" s="6">
        <f t="shared" si="104"/>
        <v>0</v>
      </c>
      <c r="BE101" s="6">
        <f t="shared" si="105"/>
        <v>0</v>
      </c>
      <c r="BF101" s="6">
        <v>0</v>
      </c>
      <c r="BG101" s="6">
        <f t="shared" si="106"/>
        <v>0</v>
      </c>
      <c r="BH101" s="6">
        <f t="shared" si="107"/>
        <v>0</v>
      </c>
      <c r="BI101" s="6">
        <v>0</v>
      </c>
      <c r="BJ101" s="6">
        <f t="shared" si="108"/>
        <v>0</v>
      </c>
      <c r="BK101" s="6">
        <f t="shared" si="109"/>
        <v>0</v>
      </c>
      <c r="BL101" s="6">
        <v>0</v>
      </c>
      <c r="BM101" s="6">
        <f t="shared" si="110"/>
        <v>0</v>
      </c>
      <c r="BN101" s="6">
        <f t="shared" si="111"/>
        <v>0</v>
      </c>
      <c r="BO101" s="6">
        <v>0</v>
      </c>
      <c r="BP101" s="6">
        <f t="shared" si="112"/>
        <v>0</v>
      </c>
      <c r="BQ101" s="6">
        <f t="shared" si="113"/>
        <v>0</v>
      </c>
      <c r="BR101" s="6">
        <v>0</v>
      </c>
      <c r="BS101" s="6">
        <f t="shared" si="114"/>
        <v>0</v>
      </c>
      <c r="BT101" s="6">
        <f t="shared" si="115"/>
        <v>0</v>
      </c>
      <c r="BU101" s="6">
        <v>0</v>
      </c>
      <c r="BV101" s="6">
        <f t="shared" si="116"/>
        <v>0</v>
      </c>
      <c r="BW101" s="6">
        <f t="shared" si="117"/>
        <v>0</v>
      </c>
      <c r="BX101" s="6">
        <v>0</v>
      </c>
      <c r="BY101" s="6">
        <f t="shared" si="118"/>
        <v>0</v>
      </c>
      <c r="BZ101" s="6">
        <f t="shared" si="119"/>
        <v>0</v>
      </c>
      <c r="CA101" s="6">
        <v>0</v>
      </c>
      <c r="CB101" s="6">
        <f t="shared" si="120"/>
        <v>0</v>
      </c>
      <c r="CC101" s="6">
        <f t="shared" si="121"/>
        <v>0</v>
      </c>
      <c r="CD101" s="6">
        <v>0</v>
      </c>
      <c r="CE101" s="6">
        <f t="shared" si="122"/>
        <v>0</v>
      </c>
      <c r="CF101" s="6">
        <f t="shared" si="123"/>
        <v>0</v>
      </c>
      <c r="CG101" s="6">
        <v>0</v>
      </c>
      <c r="CH101" s="6">
        <f t="shared" si="124"/>
        <v>0</v>
      </c>
      <c r="CI101" s="6">
        <f t="shared" si="125"/>
        <v>0</v>
      </c>
      <c r="CJ101" s="6">
        <v>0</v>
      </c>
      <c r="CK101" s="6">
        <f t="shared" si="126"/>
        <v>0</v>
      </c>
      <c r="CL101" s="6">
        <f t="shared" si="127"/>
        <v>0</v>
      </c>
      <c r="CM101" s="6">
        <v>0</v>
      </c>
      <c r="CN101" s="6">
        <f t="shared" si="128"/>
        <v>0</v>
      </c>
      <c r="CO101" s="6">
        <f t="shared" si="129"/>
        <v>0</v>
      </c>
      <c r="CP101" s="6">
        <v>0</v>
      </c>
      <c r="CQ101" s="6">
        <f t="shared" si="130"/>
        <v>0</v>
      </c>
      <c r="CR101" s="6">
        <f t="shared" si="131"/>
        <v>0</v>
      </c>
      <c r="CS101" s="6">
        <v>0</v>
      </c>
      <c r="CT101" s="6">
        <f t="shared" si="132"/>
        <v>0</v>
      </c>
      <c r="CU101" s="6">
        <f t="shared" si="133"/>
        <v>0</v>
      </c>
      <c r="CV101" s="6">
        <v>0</v>
      </c>
      <c r="CW101" s="6">
        <f t="shared" si="134"/>
        <v>0</v>
      </c>
      <c r="CX101" s="6">
        <f t="shared" si="135"/>
        <v>0</v>
      </c>
      <c r="CY101" s="6">
        <v>0</v>
      </c>
      <c r="CZ101" s="6">
        <f t="shared" si="136"/>
        <v>0</v>
      </c>
      <c r="DA101" s="6">
        <f t="shared" si="137"/>
        <v>0</v>
      </c>
      <c r="DB101" s="6">
        <v>0</v>
      </c>
      <c r="DC101" s="6">
        <f t="shared" si="138"/>
        <v>0</v>
      </c>
      <c r="DD101" s="6">
        <f t="shared" si="139"/>
        <v>0</v>
      </c>
      <c r="DE101" s="6">
        <v>0</v>
      </c>
      <c r="DF101" s="6">
        <f t="shared" si="140"/>
        <v>0</v>
      </c>
      <c r="DG101" s="6">
        <f t="shared" si="141"/>
        <v>0</v>
      </c>
      <c r="DH101" s="6">
        <v>0</v>
      </c>
      <c r="DI101" s="6">
        <f t="shared" si="142"/>
        <v>0</v>
      </c>
      <c r="DJ101" s="6">
        <f t="shared" si="143"/>
        <v>0</v>
      </c>
      <c r="DK101" s="6">
        <v>0</v>
      </c>
      <c r="DL101" s="6">
        <f t="shared" si="144"/>
        <v>0</v>
      </c>
      <c r="DM101" s="6">
        <f t="shared" si="145"/>
        <v>0</v>
      </c>
      <c r="DN101" s="6">
        <v>0</v>
      </c>
      <c r="DO101" s="6">
        <f t="shared" si="146"/>
        <v>0</v>
      </c>
      <c r="DP101" s="6">
        <f t="shared" si="147"/>
        <v>0</v>
      </c>
    </row>
    <row r="102" spans="1:120" x14ac:dyDescent="0.2">
      <c r="A102" s="21">
        <v>86</v>
      </c>
      <c r="B102" s="21" t="s">
        <v>664</v>
      </c>
      <c r="C102" s="21">
        <v>86885</v>
      </c>
      <c r="D102" s="21" t="s">
        <v>715</v>
      </c>
      <c r="E102" s="21" t="s">
        <v>564</v>
      </c>
      <c r="F102" s="22" t="s">
        <v>693</v>
      </c>
      <c r="G102" s="4" t="s">
        <v>214</v>
      </c>
      <c r="H102" s="6">
        <v>2221223.04</v>
      </c>
      <c r="I102" s="6">
        <f t="shared" si="152"/>
        <v>6085.5425753424661</v>
      </c>
      <c r="J102" s="6">
        <v>3084990.9087</v>
      </c>
      <c r="K102" s="6">
        <v>2829220.02</v>
      </c>
      <c r="L102" s="6">
        <f t="shared" si="153"/>
        <v>7730.1093442622951</v>
      </c>
      <c r="M102" s="6">
        <v>2699187.3243</v>
      </c>
      <c r="N102" s="6">
        <v>2046567.63</v>
      </c>
      <c r="O102" s="6">
        <f t="shared" si="154"/>
        <v>5607.0346027397254</v>
      </c>
      <c r="P102" s="6">
        <v>2981771.0175000001</v>
      </c>
      <c r="Q102" s="6">
        <v>861435.56</v>
      </c>
      <c r="R102" s="6">
        <f>Q102/181</f>
        <v>4759.3124861878459</v>
      </c>
      <c r="S102" s="6">
        <v>3144804.7570000002</v>
      </c>
      <c r="T102" s="6">
        <f t="shared" si="80"/>
        <v>3144804.7570000002</v>
      </c>
      <c r="U102" s="6">
        <f t="shared" si="81"/>
        <v>8615.9034438356175</v>
      </c>
      <c r="V102" s="6">
        <v>2441582.3703999999</v>
      </c>
      <c r="W102" s="6">
        <f t="shared" si="82"/>
        <v>2441582.3703999999</v>
      </c>
      <c r="X102" s="6">
        <f t="shared" si="83"/>
        <v>6689.2667682191777</v>
      </c>
      <c r="Y102" s="6">
        <v>1643027.4589</v>
      </c>
      <c r="Z102" s="6">
        <f t="shared" si="84"/>
        <v>1643027.4589</v>
      </c>
      <c r="AA102" s="6">
        <f t="shared" si="85"/>
        <v>4501.4450928767119</v>
      </c>
      <c r="AB102" s="6">
        <v>1126424.5645999999</v>
      </c>
      <c r="AC102" s="6">
        <f t="shared" si="86"/>
        <v>1126424.5645999999</v>
      </c>
      <c r="AD102" s="6">
        <f t="shared" si="87"/>
        <v>3086.0946975342463</v>
      </c>
      <c r="AE102" s="6">
        <v>813235.41740000003</v>
      </c>
      <c r="AF102" s="6">
        <f t="shared" si="88"/>
        <v>813235.41740000003</v>
      </c>
      <c r="AG102" s="6">
        <f t="shared" si="89"/>
        <v>2228.0422394520547</v>
      </c>
      <c r="AH102" s="6">
        <v>531355.0429</v>
      </c>
      <c r="AI102" s="6">
        <f t="shared" si="90"/>
        <v>531355.0429</v>
      </c>
      <c r="AJ102" s="6">
        <f t="shared" si="91"/>
        <v>1455.7672408219178</v>
      </c>
      <c r="AK102" s="6">
        <v>136318.356</v>
      </c>
      <c r="AL102" s="6">
        <f t="shared" si="92"/>
        <v>136318.356</v>
      </c>
      <c r="AM102" s="6">
        <f t="shared" si="93"/>
        <v>373.47494794520549</v>
      </c>
      <c r="AN102" s="6">
        <v>0</v>
      </c>
      <c r="AO102" s="6">
        <f t="shared" si="94"/>
        <v>0</v>
      </c>
      <c r="AP102" s="6">
        <f t="shared" si="95"/>
        <v>0</v>
      </c>
      <c r="AQ102" s="6">
        <v>0</v>
      </c>
      <c r="AR102" s="6">
        <f t="shared" si="96"/>
        <v>0</v>
      </c>
      <c r="AS102" s="6">
        <f t="shared" si="97"/>
        <v>0</v>
      </c>
      <c r="AT102" s="6">
        <v>0</v>
      </c>
      <c r="AU102" s="6">
        <f t="shared" si="98"/>
        <v>0</v>
      </c>
      <c r="AV102" s="6">
        <f t="shared" si="99"/>
        <v>0</v>
      </c>
      <c r="AW102" s="6">
        <v>0</v>
      </c>
      <c r="AX102" s="6">
        <f t="shared" si="100"/>
        <v>0</v>
      </c>
      <c r="AY102" s="6">
        <f t="shared" si="101"/>
        <v>0</v>
      </c>
      <c r="AZ102" s="6">
        <v>0</v>
      </c>
      <c r="BA102" s="6">
        <f t="shared" si="102"/>
        <v>0</v>
      </c>
      <c r="BB102" s="6">
        <f t="shared" si="103"/>
        <v>0</v>
      </c>
      <c r="BC102" s="6">
        <v>0</v>
      </c>
      <c r="BD102" s="6">
        <f t="shared" si="104"/>
        <v>0</v>
      </c>
      <c r="BE102" s="6">
        <f t="shared" si="105"/>
        <v>0</v>
      </c>
      <c r="BF102" s="6">
        <v>0</v>
      </c>
      <c r="BG102" s="6">
        <f t="shared" si="106"/>
        <v>0</v>
      </c>
      <c r="BH102" s="6">
        <f t="shared" si="107"/>
        <v>0</v>
      </c>
      <c r="BI102" s="6">
        <v>0</v>
      </c>
      <c r="BJ102" s="6">
        <f t="shared" si="108"/>
        <v>0</v>
      </c>
      <c r="BK102" s="6">
        <f t="shared" si="109"/>
        <v>0</v>
      </c>
      <c r="BL102" s="6">
        <v>0</v>
      </c>
      <c r="BM102" s="6">
        <f t="shared" si="110"/>
        <v>0</v>
      </c>
      <c r="BN102" s="6">
        <f t="shared" si="111"/>
        <v>0</v>
      </c>
      <c r="BO102" s="6">
        <v>0</v>
      </c>
      <c r="BP102" s="6">
        <f t="shared" si="112"/>
        <v>0</v>
      </c>
      <c r="BQ102" s="6">
        <f t="shared" si="113"/>
        <v>0</v>
      </c>
      <c r="BR102" s="6">
        <v>0</v>
      </c>
      <c r="BS102" s="6">
        <f t="shared" si="114"/>
        <v>0</v>
      </c>
      <c r="BT102" s="6">
        <f t="shared" si="115"/>
        <v>0</v>
      </c>
      <c r="BU102" s="6">
        <v>0</v>
      </c>
      <c r="BV102" s="6">
        <f t="shared" si="116"/>
        <v>0</v>
      </c>
      <c r="BW102" s="6">
        <f t="shared" si="117"/>
        <v>0</v>
      </c>
      <c r="BX102" s="6">
        <v>0</v>
      </c>
      <c r="BY102" s="6">
        <f t="shared" si="118"/>
        <v>0</v>
      </c>
      <c r="BZ102" s="6">
        <f t="shared" si="119"/>
        <v>0</v>
      </c>
      <c r="CA102" s="6">
        <v>0</v>
      </c>
      <c r="CB102" s="6">
        <f t="shared" si="120"/>
        <v>0</v>
      </c>
      <c r="CC102" s="6">
        <f t="shared" si="121"/>
        <v>0</v>
      </c>
      <c r="CD102" s="6">
        <v>0</v>
      </c>
      <c r="CE102" s="6">
        <f t="shared" si="122"/>
        <v>0</v>
      </c>
      <c r="CF102" s="6">
        <f t="shared" si="123"/>
        <v>0</v>
      </c>
      <c r="CG102" s="6">
        <v>0</v>
      </c>
      <c r="CH102" s="6">
        <f t="shared" si="124"/>
        <v>0</v>
      </c>
      <c r="CI102" s="6">
        <f t="shared" si="125"/>
        <v>0</v>
      </c>
      <c r="CJ102" s="6">
        <v>0</v>
      </c>
      <c r="CK102" s="6">
        <f t="shared" si="126"/>
        <v>0</v>
      </c>
      <c r="CL102" s="6">
        <f t="shared" si="127"/>
        <v>0</v>
      </c>
      <c r="CM102" s="6">
        <v>0</v>
      </c>
      <c r="CN102" s="6">
        <f t="shared" si="128"/>
        <v>0</v>
      </c>
      <c r="CO102" s="6">
        <f t="shared" si="129"/>
        <v>0</v>
      </c>
      <c r="CP102" s="6">
        <v>0</v>
      </c>
      <c r="CQ102" s="6">
        <f t="shared" si="130"/>
        <v>0</v>
      </c>
      <c r="CR102" s="6">
        <f t="shared" si="131"/>
        <v>0</v>
      </c>
      <c r="CS102" s="6">
        <v>0</v>
      </c>
      <c r="CT102" s="6">
        <f t="shared" si="132"/>
        <v>0</v>
      </c>
      <c r="CU102" s="6">
        <f t="shared" si="133"/>
        <v>0</v>
      </c>
      <c r="CV102" s="6">
        <v>0</v>
      </c>
      <c r="CW102" s="6">
        <f t="shared" si="134"/>
        <v>0</v>
      </c>
      <c r="CX102" s="6">
        <f t="shared" si="135"/>
        <v>0</v>
      </c>
      <c r="CY102" s="6">
        <v>0</v>
      </c>
      <c r="CZ102" s="6">
        <f t="shared" si="136"/>
        <v>0</v>
      </c>
      <c r="DA102" s="6">
        <f t="shared" si="137"/>
        <v>0</v>
      </c>
      <c r="DB102" s="6">
        <v>0</v>
      </c>
      <c r="DC102" s="6">
        <f t="shared" si="138"/>
        <v>0</v>
      </c>
      <c r="DD102" s="6">
        <f t="shared" si="139"/>
        <v>0</v>
      </c>
      <c r="DE102" s="6">
        <v>0</v>
      </c>
      <c r="DF102" s="6">
        <f t="shared" si="140"/>
        <v>0</v>
      </c>
      <c r="DG102" s="6">
        <f t="shared" si="141"/>
        <v>0</v>
      </c>
      <c r="DH102" s="6">
        <v>0</v>
      </c>
      <c r="DI102" s="6">
        <f t="shared" si="142"/>
        <v>0</v>
      </c>
      <c r="DJ102" s="6">
        <f t="shared" si="143"/>
        <v>0</v>
      </c>
      <c r="DK102" s="6">
        <v>0</v>
      </c>
      <c r="DL102" s="6">
        <f t="shared" si="144"/>
        <v>0</v>
      </c>
      <c r="DM102" s="6">
        <f t="shared" si="145"/>
        <v>0</v>
      </c>
      <c r="DN102" s="6">
        <v>0</v>
      </c>
      <c r="DO102" s="6">
        <f t="shared" si="146"/>
        <v>0</v>
      </c>
      <c r="DP102" s="6">
        <f t="shared" si="147"/>
        <v>0</v>
      </c>
    </row>
    <row r="103" spans="1:120" x14ac:dyDescent="0.2">
      <c r="A103" s="21">
        <v>85</v>
      </c>
      <c r="B103" s="21" t="s">
        <v>612</v>
      </c>
      <c r="C103" s="21">
        <v>85325</v>
      </c>
      <c r="D103" s="21" t="s">
        <v>670</v>
      </c>
      <c r="E103" s="21" t="s">
        <v>611</v>
      </c>
      <c r="F103" s="22" t="s">
        <v>662</v>
      </c>
      <c r="G103" s="4" t="s">
        <v>215</v>
      </c>
      <c r="H103" s="6">
        <v>48808.44</v>
      </c>
      <c r="I103" s="6">
        <f t="shared" si="152"/>
        <v>133.72175342465755</v>
      </c>
      <c r="J103" s="6">
        <v>71146.827499999999</v>
      </c>
      <c r="K103" s="6">
        <v>72475.850000000006</v>
      </c>
      <c r="L103" s="6">
        <f t="shared" si="153"/>
        <v>198.02144808743171</v>
      </c>
      <c r="M103" s="6">
        <v>57984.664400000001</v>
      </c>
      <c r="N103" s="6">
        <v>60345.07</v>
      </c>
      <c r="O103" s="6">
        <f t="shared" si="154"/>
        <v>165.32895890410958</v>
      </c>
      <c r="P103" s="6">
        <v>47257.501499999998</v>
      </c>
      <c r="Q103" s="6">
        <v>26296.28</v>
      </c>
      <c r="R103" s="6">
        <f>Q103/181</f>
        <v>145.28331491712706</v>
      </c>
      <c r="S103" s="6">
        <v>38514.863700000002</v>
      </c>
      <c r="T103" s="6">
        <f t="shared" si="80"/>
        <v>38514.863700000002</v>
      </c>
      <c r="U103" s="6">
        <f t="shared" si="81"/>
        <v>105.52017452054795</v>
      </c>
      <c r="V103" s="6">
        <v>31389.6139</v>
      </c>
      <c r="W103" s="6">
        <f t="shared" si="82"/>
        <v>31389.6139</v>
      </c>
      <c r="X103" s="6">
        <f t="shared" si="83"/>
        <v>85.998942191780827</v>
      </c>
      <c r="Y103" s="6">
        <v>11298.457899999999</v>
      </c>
      <c r="Z103" s="6">
        <f t="shared" si="84"/>
        <v>11298.457899999999</v>
      </c>
      <c r="AA103" s="6">
        <f t="shared" si="85"/>
        <v>30.954679178082191</v>
      </c>
      <c r="AB103" s="6">
        <v>0</v>
      </c>
      <c r="AC103" s="6">
        <f t="shared" si="86"/>
        <v>0</v>
      </c>
      <c r="AD103" s="6">
        <f t="shared" si="87"/>
        <v>0</v>
      </c>
      <c r="AE103" s="6">
        <v>0</v>
      </c>
      <c r="AF103" s="6">
        <f t="shared" si="88"/>
        <v>0</v>
      </c>
      <c r="AG103" s="6">
        <f t="shared" si="89"/>
        <v>0</v>
      </c>
      <c r="AH103" s="6">
        <v>0</v>
      </c>
      <c r="AI103" s="6">
        <f t="shared" si="90"/>
        <v>0</v>
      </c>
      <c r="AJ103" s="6">
        <f t="shared" si="91"/>
        <v>0</v>
      </c>
      <c r="AK103" s="6">
        <v>0</v>
      </c>
      <c r="AL103" s="6">
        <f t="shared" si="92"/>
        <v>0</v>
      </c>
      <c r="AM103" s="6">
        <f t="shared" si="93"/>
        <v>0</v>
      </c>
      <c r="AN103" s="6">
        <v>0</v>
      </c>
      <c r="AO103" s="6">
        <f t="shared" si="94"/>
        <v>0</v>
      </c>
      <c r="AP103" s="6">
        <f t="shared" si="95"/>
        <v>0</v>
      </c>
      <c r="AQ103" s="6">
        <v>0</v>
      </c>
      <c r="AR103" s="6">
        <f t="shared" si="96"/>
        <v>0</v>
      </c>
      <c r="AS103" s="6">
        <f t="shared" si="97"/>
        <v>0</v>
      </c>
      <c r="AT103" s="6">
        <v>0</v>
      </c>
      <c r="AU103" s="6">
        <f t="shared" si="98"/>
        <v>0</v>
      </c>
      <c r="AV103" s="6">
        <f t="shared" si="99"/>
        <v>0</v>
      </c>
      <c r="AW103" s="6">
        <v>0</v>
      </c>
      <c r="AX103" s="6">
        <f t="shared" si="100"/>
        <v>0</v>
      </c>
      <c r="AY103" s="6">
        <f t="shared" si="101"/>
        <v>0</v>
      </c>
      <c r="AZ103" s="6">
        <v>0</v>
      </c>
      <c r="BA103" s="6">
        <f t="shared" si="102"/>
        <v>0</v>
      </c>
      <c r="BB103" s="6">
        <f t="shared" si="103"/>
        <v>0</v>
      </c>
      <c r="BC103" s="6">
        <v>0</v>
      </c>
      <c r="BD103" s="6">
        <f t="shared" si="104"/>
        <v>0</v>
      </c>
      <c r="BE103" s="6">
        <f t="shared" si="105"/>
        <v>0</v>
      </c>
      <c r="BF103" s="6">
        <v>0</v>
      </c>
      <c r="BG103" s="6">
        <f t="shared" si="106"/>
        <v>0</v>
      </c>
      <c r="BH103" s="6">
        <f t="shared" si="107"/>
        <v>0</v>
      </c>
      <c r="BI103" s="6">
        <v>0</v>
      </c>
      <c r="BJ103" s="6">
        <f t="shared" si="108"/>
        <v>0</v>
      </c>
      <c r="BK103" s="6">
        <f t="shared" si="109"/>
        <v>0</v>
      </c>
      <c r="BL103" s="6">
        <v>0</v>
      </c>
      <c r="BM103" s="6">
        <f t="shared" si="110"/>
        <v>0</v>
      </c>
      <c r="BN103" s="6">
        <f t="shared" si="111"/>
        <v>0</v>
      </c>
      <c r="BO103" s="6">
        <v>0</v>
      </c>
      <c r="BP103" s="6">
        <f t="shared" si="112"/>
        <v>0</v>
      </c>
      <c r="BQ103" s="6">
        <f t="shared" si="113"/>
        <v>0</v>
      </c>
      <c r="BR103" s="6">
        <v>0</v>
      </c>
      <c r="BS103" s="6">
        <f t="shared" si="114"/>
        <v>0</v>
      </c>
      <c r="BT103" s="6">
        <f t="shared" si="115"/>
        <v>0</v>
      </c>
      <c r="BU103" s="6">
        <v>0</v>
      </c>
      <c r="BV103" s="6">
        <f t="shared" si="116"/>
        <v>0</v>
      </c>
      <c r="BW103" s="6">
        <f t="shared" si="117"/>
        <v>0</v>
      </c>
      <c r="BX103" s="6">
        <v>0</v>
      </c>
      <c r="BY103" s="6">
        <f t="shared" si="118"/>
        <v>0</v>
      </c>
      <c r="BZ103" s="6">
        <f t="shared" si="119"/>
        <v>0</v>
      </c>
      <c r="CA103" s="6">
        <v>0</v>
      </c>
      <c r="CB103" s="6">
        <f t="shared" si="120"/>
        <v>0</v>
      </c>
      <c r="CC103" s="6">
        <f t="shared" si="121"/>
        <v>0</v>
      </c>
      <c r="CD103" s="6">
        <v>0</v>
      </c>
      <c r="CE103" s="6">
        <f t="shared" si="122"/>
        <v>0</v>
      </c>
      <c r="CF103" s="6">
        <f t="shared" si="123"/>
        <v>0</v>
      </c>
      <c r="CG103" s="6">
        <v>0</v>
      </c>
      <c r="CH103" s="6">
        <f t="shared" si="124"/>
        <v>0</v>
      </c>
      <c r="CI103" s="6">
        <f t="shared" si="125"/>
        <v>0</v>
      </c>
      <c r="CJ103" s="6">
        <v>0</v>
      </c>
      <c r="CK103" s="6">
        <f t="shared" si="126"/>
        <v>0</v>
      </c>
      <c r="CL103" s="6">
        <f t="shared" si="127"/>
        <v>0</v>
      </c>
      <c r="CM103" s="6">
        <v>0</v>
      </c>
      <c r="CN103" s="6">
        <f t="shared" si="128"/>
        <v>0</v>
      </c>
      <c r="CO103" s="6">
        <f t="shared" si="129"/>
        <v>0</v>
      </c>
      <c r="CP103" s="6">
        <v>0</v>
      </c>
      <c r="CQ103" s="6">
        <f t="shared" si="130"/>
        <v>0</v>
      </c>
      <c r="CR103" s="6">
        <f t="shared" si="131"/>
        <v>0</v>
      </c>
      <c r="CS103" s="6">
        <v>0</v>
      </c>
      <c r="CT103" s="6">
        <f t="shared" si="132"/>
        <v>0</v>
      </c>
      <c r="CU103" s="6">
        <f t="shared" si="133"/>
        <v>0</v>
      </c>
      <c r="CV103" s="6">
        <v>0</v>
      </c>
      <c r="CW103" s="6">
        <f t="shared" si="134"/>
        <v>0</v>
      </c>
      <c r="CX103" s="6">
        <f t="shared" si="135"/>
        <v>0</v>
      </c>
      <c r="CY103" s="6">
        <v>0</v>
      </c>
      <c r="CZ103" s="6">
        <f t="shared" si="136"/>
        <v>0</v>
      </c>
      <c r="DA103" s="6">
        <f t="shared" si="137"/>
        <v>0</v>
      </c>
      <c r="DB103" s="6">
        <v>0</v>
      </c>
      <c r="DC103" s="6">
        <f t="shared" si="138"/>
        <v>0</v>
      </c>
      <c r="DD103" s="6">
        <f t="shared" si="139"/>
        <v>0</v>
      </c>
      <c r="DE103" s="6">
        <v>0</v>
      </c>
      <c r="DF103" s="6">
        <f t="shared" si="140"/>
        <v>0</v>
      </c>
      <c r="DG103" s="6">
        <f t="shared" si="141"/>
        <v>0</v>
      </c>
      <c r="DH103" s="6">
        <v>0</v>
      </c>
      <c r="DI103" s="6">
        <f t="shared" si="142"/>
        <v>0</v>
      </c>
      <c r="DJ103" s="6">
        <f t="shared" si="143"/>
        <v>0</v>
      </c>
      <c r="DK103" s="6">
        <v>0</v>
      </c>
      <c r="DL103" s="6">
        <f t="shared" si="144"/>
        <v>0</v>
      </c>
      <c r="DM103" s="6">
        <f t="shared" si="145"/>
        <v>0</v>
      </c>
      <c r="DN103" s="6">
        <v>0</v>
      </c>
      <c r="DO103" s="6">
        <f t="shared" si="146"/>
        <v>0</v>
      </c>
      <c r="DP103" s="6">
        <f t="shared" si="147"/>
        <v>0</v>
      </c>
    </row>
    <row r="104" spans="1:120" x14ac:dyDescent="0.2">
      <c r="A104" s="21">
        <v>68</v>
      </c>
      <c r="B104" s="21" t="s">
        <v>673</v>
      </c>
      <c r="C104" s="21">
        <v>68655</v>
      </c>
      <c r="D104" s="21" t="s">
        <v>689</v>
      </c>
      <c r="E104" s="21" t="s">
        <v>522</v>
      </c>
      <c r="F104" s="22" t="s">
        <v>666</v>
      </c>
      <c r="G104" s="4" t="s">
        <v>216</v>
      </c>
      <c r="H104" s="6">
        <v>59638.94</v>
      </c>
      <c r="I104" s="6">
        <f t="shared" si="152"/>
        <v>163.39435616438357</v>
      </c>
      <c r="J104" s="6">
        <v>57737</v>
      </c>
      <c r="K104" s="6">
        <v>58891.64</v>
      </c>
      <c r="L104" s="6">
        <f t="shared" si="153"/>
        <v>160.90612021857925</v>
      </c>
      <c r="M104" s="6">
        <v>51692</v>
      </c>
      <c r="N104" s="6">
        <v>63257.74</v>
      </c>
      <c r="O104" s="6">
        <f t="shared" si="154"/>
        <v>173.30887671232875</v>
      </c>
      <c r="P104" s="6">
        <v>46767</v>
      </c>
      <c r="Q104" s="6">
        <v>28920.66</v>
      </c>
      <c r="R104" s="6">
        <f>Q104/181</f>
        <v>159.78265193370166</v>
      </c>
      <c r="S104" s="6">
        <v>42588</v>
      </c>
      <c r="T104" s="6">
        <f t="shared" si="80"/>
        <v>42588</v>
      </c>
      <c r="U104" s="6">
        <f t="shared" si="81"/>
        <v>116.67945205479452</v>
      </c>
      <c r="V104" s="6">
        <v>39110</v>
      </c>
      <c r="W104" s="6">
        <f t="shared" si="82"/>
        <v>39110</v>
      </c>
      <c r="X104" s="6">
        <f t="shared" si="83"/>
        <v>107.15068493150685</v>
      </c>
      <c r="Y104" s="6">
        <v>35901</v>
      </c>
      <c r="Z104" s="6">
        <f t="shared" si="84"/>
        <v>35901</v>
      </c>
      <c r="AA104" s="6">
        <f t="shared" si="85"/>
        <v>98.358904109589048</v>
      </c>
      <c r="AB104" s="6">
        <v>33203</v>
      </c>
      <c r="AC104" s="6">
        <f t="shared" si="86"/>
        <v>33203</v>
      </c>
      <c r="AD104" s="6">
        <f t="shared" si="87"/>
        <v>90.967123287671228</v>
      </c>
      <c r="AE104" s="6">
        <v>30824</v>
      </c>
      <c r="AF104" s="6">
        <f t="shared" si="88"/>
        <v>30824</v>
      </c>
      <c r="AG104" s="6">
        <f t="shared" si="89"/>
        <v>84.449315068493149</v>
      </c>
      <c r="AH104" s="6">
        <v>28743</v>
      </c>
      <c r="AI104" s="6">
        <f t="shared" si="90"/>
        <v>28743</v>
      </c>
      <c r="AJ104" s="6">
        <f t="shared" si="91"/>
        <v>78.747945205479454</v>
      </c>
      <c r="AK104" s="6">
        <v>26658</v>
      </c>
      <c r="AL104" s="6">
        <f t="shared" si="92"/>
        <v>26658</v>
      </c>
      <c r="AM104" s="6">
        <f t="shared" si="93"/>
        <v>73.035616438356158</v>
      </c>
      <c r="AN104" s="6">
        <v>24793</v>
      </c>
      <c r="AO104" s="6">
        <f t="shared" si="94"/>
        <v>24793</v>
      </c>
      <c r="AP104" s="6">
        <f t="shared" si="95"/>
        <v>67.92602739726027</v>
      </c>
      <c r="AQ104" s="6">
        <v>23058</v>
      </c>
      <c r="AR104" s="6">
        <f t="shared" si="96"/>
        <v>23058</v>
      </c>
      <c r="AS104" s="6">
        <f t="shared" si="97"/>
        <v>63.172602739726024</v>
      </c>
      <c r="AT104" s="6">
        <v>21503</v>
      </c>
      <c r="AU104" s="6">
        <f t="shared" si="98"/>
        <v>21503</v>
      </c>
      <c r="AV104" s="6">
        <f t="shared" si="99"/>
        <v>58.912328767123284</v>
      </c>
      <c r="AW104" s="6">
        <v>0</v>
      </c>
      <c r="AX104" s="6">
        <f t="shared" si="100"/>
        <v>0</v>
      </c>
      <c r="AY104" s="6">
        <f t="shared" si="101"/>
        <v>0</v>
      </c>
      <c r="AZ104" s="6">
        <v>0</v>
      </c>
      <c r="BA104" s="6">
        <f t="shared" si="102"/>
        <v>0</v>
      </c>
      <c r="BB104" s="6">
        <f t="shared" si="103"/>
        <v>0</v>
      </c>
      <c r="BC104" s="6">
        <v>0</v>
      </c>
      <c r="BD104" s="6">
        <f t="shared" si="104"/>
        <v>0</v>
      </c>
      <c r="BE104" s="6">
        <f t="shared" si="105"/>
        <v>0</v>
      </c>
      <c r="BF104" s="6">
        <v>0</v>
      </c>
      <c r="BG104" s="6">
        <f t="shared" si="106"/>
        <v>0</v>
      </c>
      <c r="BH104" s="6">
        <f t="shared" si="107"/>
        <v>0</v>
      </c>
      <c r="BI104" s="6">
        <v>0</v>
      </c>
      <c r="BJ104" s="6">
        <f t="shared" si="108"/>
        <v>0</v>
      </c>
      <c r="BK104" s="6">
        <f t="shared" si="109"/>
        <v>0</v>
      </c>
      <c r="BL104" s="6">
        <v>0</v>
      </c>
      <c r="BM104" s="6">
        <f t="shared" si="110"/>
        <v>0</v>
      </c>
      <c r="BN104" s="6">
        <f t="shared" si="111"/>
        <v>0</v>
      </c>
      <c r="BO104" s="6">
        <v>0</v>
      </c>
      <c r="BP104" s="6">
        <f t="shared" si="112"/>
        <v>0</v>
      </c>
      <c r="BQ104" s="6">
        <f t="shared" si="113"/>
        <v>0</v>
      </c>
      <c r="BR104" s="6">
        <v>0</v>
      </c>
      <c r="BS104" s="6">
        <f t="shared" si="114"/>
        <v>0</v>
      </c>
      <c r="BT104" s="6">
        <f t="shared" si="115"/>
        <v>0</v>
      </c>
      <c r="BU104" s="6">
        <v>0</v>
      </c>
      <c r="BV104" s="6">
        <f t="shared" si="116"/>
        <v>0</v>
      </c>
      <c r="BW104" s="6">
        <f t="shared" si="117"/>
        <v>0</v>
      </c>
      <c r="BX104" s="6">
        <v>0</v>
      </c>
      <c r="BY104" s="6">
        <f t="shared" si="118"/>
        <v>0</v>
      </c>
      <c r="BZ104" s="6">
        <f t="shared" si="119"/>
        <v>0</v>
      </c>
      <c r="CA104" s="6">
        <v>0</v>
      </c>
      <c r="CB104" s="6">
        <f t="shared" si="120"/>
        <v>0</v>
      </c>
      <c r="CC104" s="6">
        <f t="shared" si="121"/>
        <v>0</v>
      </c>
      <c r="CD104" s="6">
        <v>0</v>
      </c>
      <c r="CE104" s="6">
        <f t="shared" si="122"/>
        <v>0</v>
      </c>
      <c r="CF104" s="6">
        <f t="shared" si="123"/>
        <v>0</v>
      </c>
      <c r="CG104" s="6">
        <v>0</v>
      </c>
      <c r="CH104" s="6">
        <f t="shared" si="124"/>
        <v>0</v>
      </c>
      <c r="CI104" s="6">
        <f t="shared" si="125"/>
        <v>0</v>
      </c>
      <c r="CJ104" s="6">
        <v>0</v>
      </c>
      <c r="CK104" s="6">
        <f t="shared" si="126"/>
        <v>0</v>
      </c>
      <c r="CL104" s="6">
        <f t="shared" si="127"/>
        <v>0</v>
      </c>
      <c r="CM104" s="6">
        <v>0</v>
      </c>
      <c r="CN104" s="6">
        <f t="shared" si="128"/>
        <v>0</v>
      </c>
      <c r="CO104" s="6">
        <f t="shared" si="129"/>
        <v>0</v>
      </c>
      <c r="CP104" s="6">
        <v>0</v>
      </c>
      <c r="CQ104" s="6">
        <f t="shared" si="130"/>
        <v>0</v>
      </c>
      <c r="CR104" s="6">
        <f t="shared" si="131"/>
        <v>0</v>
      </c>
      <c r="CS104" s="6">
        <v>0</v>
      </c>
      <c r="CT104" s="6">
        <f t="shared" si="132"/>
        <v>0</v>
      </c>
      <c r="CU104" s="6">
        <f t="shared" si="133"/>
        <v>0</v>
      </c>
      <c r="CV104" s="6">
        <v>0</v>
      </c>
      <c r="CW104" s="6">
        <f t="shared" si="134"/>
        <v>0</v>
      </c>
      <c r="CX104" s="6">
        <f t="shared" si="135"/>
        <v>0</v>
      </c>
      <c r="CY104" s="6">
        <v>0</v>
      </c>
      <c r="CZ104" s="6">
        <f t="shared" si="136"/>
        <v>0</v>
      </c>
      <c r="DA104" s="6">
        <f t="shared" si="137"/>
        <v>0</v>
      </c>
      <c r="DB104" s="6">
        <v>0</v>
      </c>
      <c r="DC104" s="6">
        <f t="shared" si="138"/>
        <v>0</v>
      </c>
      <c r="DD104" s="6">
        <f t="shared" si="139"/>
        <v>0</v>
      </c>
      <c r="DE104" s="6">
        <v>0</v>
      </c>
      <c r="DF104" s="6">
        <f t="shared" si="140"/>
        <v>0</v>
      </c>
      <c r="DG104" s="6">
        <f t="shared" si="141"/>
        <v>0</v>
      </c>
      <c r="DH104" s="6">
        <v>0</v>
      </c>
      <c r="DI104" s="6">
        <f t="shared" si="142"/>
        <v>0</v>
      </c>
      <c r="DJ104" s="6">
        <f t="shared" si="143"/>
        <v>0</v>
      </c>
      <c r="DK104" s="6">
        <v>0</v>
      </c>
      <c r="DL104" s="6">
        <f t="shared" si="144"/>
        <v>0</v>
      </c>
      <c r="DM104" s="6">
        <f t="shared" si="145"/>
        <v>0</v>
      </c>
      <c r="DN104" s="6">
        <v>0</v>
      </c>
      <c r="DO104" s="6">
        <f t="shared" si="146"/>
        <v>0</v>
      </c>
      <c r="DP104" s="6">
        <f t="shared" si="147"/>
        <v>0</v>
      </c>
    </row>
    <row r="105" spans="1:120" x14ac:dyDescent="0.2">
      <c r="A105" s="21">
        <v>85</v>
      </c>
      <c r="B105" s="21" t="s">
        <v>612</v>
      </c>
      <c r="C105" s="21">
        <v>85250</v>
      </c>
      <c r="D105" s="21" t="s">
        <v>663</v>
      </c>
      <c r="E105" s="21" t="s">
        <v>615</v>
      </c>
      <c r="F105" s="22" t="s">
        <v>669</v>
      </c>
      <c r="G105" s="4" t="s">
        <v>217</v>
      </c>
      <c r="H105" s="6">
        <v>10726.89</v>
      </c>
      <c r="I105" s="6">
        <f t="shared" si="152"/>
        <v>29.388739726027396</v>
      </c>
      <c r="J105" s="6">
        <v>10045.9316</v>
      </c>
      <c r="K105" s="6">
        <v>12510.15</v>
      </c>
      <c r="L105" s="6">
        <f t="shared" si="153"/>
        <v>34.18073770491803</v>
      </c>
      <c r="M105" s="6">
        <v>6834.3491000000004</v>
      </c>
      <c r="N105" s="6">
        <v>4635.37</v>
      </c>
      <c r="O105" s="6">
        <f t="shared" si="154"/>
        <v>12.699643835616438</v>
      </c>
      <c r="P105" s="6">
        <v>5186.1387999999997</v>
      </c>
      <c r="Q105" s="6"/>
      <c r="R105" s="6"/>
      <c r="S105" s="6">
        <v>4180.4265999999998</v>
      </c>
      <c r="T105" s="6">
        <f t="shared" si="80"/>
        <v>4180.4265999999998</v>
      </c>
      <c r="U105" s="6">
        <f t="shared" si="81"/>
        <v>11.453223561643835</v>
      </c>
      <c r="V105" s="6">
        <v>3502.1318999999999</v>
      </c>
      <c r="W105" s="6">
        <f t="shared" si="82"/>
        <v>3502.1318999999999</v>
      </c>
      <c r="X105" s="6">
        <f t="shared" si="83"/>
        <v>9.5948819178082196</v>
      </c>
      <c r="Y105" s="6">
        <v>3013.5275999999999</v>
      </c>
      <c r="Z105" s="6">
        <f t="shared" si="84"/>
        <v>3013.5275999999999</v>
      </c>
      <c r="AA105" s="6">
        <f t="shared" si="85"/>
        <v>8.25624</v>
      </c>
      <c r="AB105" s="6">
        <v>1581.7420999999999</v>
      </c>
      <c r="AC105" s="6">
        <f t="shared" si="86"/>
        <v>1581.7420999999999</v>
      </c>
      <c r="AD105" s="6">
        <f t="shared" si="87"/>
        <v>4.3335400000000002</v>
      </c>
      <c r="AE105" s="6">
        <v>0</v>
      </c>
      <c r="AF105" s="6">
        <f t="shared" si="88"/>
        <v>0</v>
      </c>
      <c r="AG105" s="6">
        <f t="shared" si="89"/>
        <v>0</v>
      </c>
      <c r="AH105" s="6">
        <v>0</v>
      </c>
      <c r="AI105" s="6">
        <f t="shared" si="90"/>
        <v>0</v>
      </c>
      <c r="AJ105" s="6">
        <f t="shared" si="91"/>
        <v>0</v>
      </c>
      <c r="AK105" s="6">
        <v>0</v>
      </c>
      <c r="AL105" s="6">
        <f t="shared" si="92"/>
        <v>0</v>
      </c>
      <c r="AM105" s="6">
        <f t="shared" si="93"/>
        <v>0</v>
      </c>
      <c r="AN105" s="6">
        <v>0</v>
      </c>
      <c r="AO105" s="6">
        <f t="shared" si="94"/>
        <v>0</v>
      </c>
      <c r="AP105" s="6">
        <f t="shared" si="95"/>
        <v>0</v>
      </c>
      <c r="AQ105" s="6">
        <v>0</v>
      </c>
      <c r="AR105" s="6">
        <f t="shared" si="96"/>
        <v>0</v>
      </c>
      <c r="AS105" s="6">
        <f t="shared" si="97"/>
        <v>0</v>
      </c>
      <c r="AT105" s="6">
        <v>0</v>
      </c>
      <c r="AU105" s="6">
        <f t="shared" si="98"/>
        <v>0</v>
      </c>
      <c r="AV105" s="6">
        <f t="shared" si="99"/>
        <v>0</v>
      </c>
      <c r="AW105" s="6">
        <v>0</v>
      </c>
      <c r="AX105" s="6">
        <f t="shared" si="100"/>
        <v>0</v>
      </c>
      <c r="AY105" s="6">
        <f t="shared" si="101"/>
        <v>0</v>
      </c>
      <c r="AZ105" s="6">
        <v>0</v>
      </c>
      <c r="BA105" s="6">
        <f t="shared" si="102"/>
        <v>0</v>
      </c>
      <c r="BB105" s="6">
        <f t="shared" si="103"/>
        <v>0</v>
      </c>
      <c r="BC105" s="6">
        <v>0</v>
      </c>
      <c r="BD105" s="6">
        <f t="shared" si="104"/>
        <v>0</v>
      </c>
      <c r="BE105" s="6">
        <f t="shared" si="105"/>
        <v>0</v>
      </c>
      <c r="BF105" s="6">
        <v>0</v>
      </c>
      <c r="BG105" s="6">
        <f t="shared" si="106"/>
        <v>0</v>
      </c>
      <c r="BH105" s="6">
        <f t="shared" si="107"/>
        <v>0</v>
      </c>
      <c r="BI105" s="6">
        <v>0</v>
      </c>
      <c r="BJ105" s="6">
        <f t="shared" si="108"/>
        <v>0</v>
      </c>
      <c r="BK105" s="6">
        <f t="shared" si="109"/>
        <v>0</v>
      </c>
      <c r="BL105" s="6">
        <v>0</v>
      </c>
      <c r="BM105" s="6">
        <f t="shared" si="110"/>
        <v>0</v>
      </c>
      <c r="BN105" s="6">
        <f t="shared" si="111"/>
        <v>0</v>
      </c>
      <c r="BO105" s="6">
        <v>0</v>
      </c>
      <c r="BP105" s="6">
        <f t="shared" si="112"/>
        <v>0</v>
      </c>
      <c r="BQ105" s="6">
        <f t="shared" si="113"/>
        <v>0</v>
      </c>
      <c r="BR105" s="6">
        <v>0</v>
      </c>
      <c r="BS105" s="6">
        <f t="shared" si="114"/>
        <v>0</v>
      </c>
      <c r="BT105" s="6">
        <f t="shared" si="115"/>
        <v>0</v>
      </c>
      <c r="BU105" s="6">
        <v>0</v>
      </c>
      <c r="BV105" s="6">
        <f t="shared" si="116"/>
        <v>0</v>
      </c>
      <c r="BW105" s="6">
        <f t="shared" si="117"/>
        <v>0</v>
      </c>
      <c r="BX105" s="6">
        <v>0</v>
      </c>
      <c r="BY105" s="6">
        <f t="shared" si="118"/>
        <v>0</v>
      </c>
      <c r="BZ105" s="6">
        <f t="shared" si="119"/>
        <v>0</v>
      </c>
      <c r="CA105" s="6">
        <v>0</v>
      </c>
      <c r="CB105" s="6">
        <f t="shared" si="120"/>
        <v>0</v>
      </c>
      <c r="CC105" s="6">
        <f t="shared" si="121"/>
        <v>0</v>
      </c>
      <c r="CD105" s="6">
        <v>0</v>
      </c>
      <c r="CE105" s="6">
        <f t="shared" si="122"/>
        <v>0</v>
      </c>
      <c r="CF105" s="6">
        <f t="shared" si="123"/>
        <v>0</v>
      </c>
      <c r="CG105" s="6">
        <v>0</v>
      </c>
      <c r="CH105" s="6">
        <f t="shared" si="124"/>
        <v>0</v>
      </c>
      <c r="CI105" s="6">
        <f t="shared" si="125"/>
        <v>0</v>
      </c>
      <c r="CJ105" s="6">
        <v>0</v>
      </c>
      <c r="CK105" s="6">
        <f t="shared" si="126"/>
        <v>0</v>
      </c>
      <c r="CL105" s="6">
        <f t="shared" si="127"/>
        <v>0</v>
      </c>
      <c r="CM105" s="6">
        <v>0</v>
      </c>
      <c r="CN105" s="6">
        <f t="shared" si="128"/>
        <v>0</v>
      </c>
      <c r="CO105" s="6">
        <f t="shared" si="129"/>
        <v>0</v>
      </c>
      <c r="CP105" s="6">
        <v>0</v>
      </c>
      <c r="CQ105" s="6">
        <f t="shared" si="130"/>
        <v>0</v>
      </c>
      <c r="CR105" s="6">
        <f t="shared" si="131"/>
        <v>0</v>
      </c>
      <c r="CS105" s="6">
        <v>0</v>
      </c>
      <c r="CT105" s="6">
        <f t="shared" si="132"/>
        <v>0</v>
      </c>
      <c r="CU105" s="6">
        <f t="shared" si="133"/>
        <v>0</v>
      </c>
      <c r="CV105" s="6">
        <v>0</v>
      </c>
      <c r="CW105" s="6">
        <f t="shared" si="134"/>
        <v>0</v>
      </c>
      <c r="CX105" s="6">
        <f t="shared" si="135"/>
        <v>0</v>
      </c>
      <c r="CY105" s="6">
        <v>0</v>
      </c>
      <c r="CZ105" s="6">
        <f t="shared" si="136"/>
        <v>0</v>
      </c>
      <c r="DA105" s="6">
        <f t="shared" si="137"/>
        <v>0</v>
      </c>
      <c r="DB105" s="6">
        <v>0</v>
      </c>
      <c r="DC105" s="6">
        <f t="shared" si="138"/>
        <v>0</v>
      </c>
      <c r="DD105" s="6">
        <f t="shared" si="139"/>
        <v>0</v>
      </c>
      <c r="DE105" s="6">
        <v>0</v>
      </c>
      <c r="DF105" s="6">
        <f t="shared" si="140"/>
        <v>0</v>
      </c>
      <c r="DG105" s="6">
        <f t="shared" si="141"/>
        <v>0</v>
      </c>
      <c r="DH105" s="6">
        <v>0</v>
      </c>
      <c r="DI105" s="6">
        <f t="shared" si="142"/>
        <v>0</v>
      </c>
      <c r="DJ105" s="6">
        <f t="shared" si="143"/>
        <v>0</v>
      </c>
      <c r="DK105" s="6">
        <v>0</v>
      </c>
      <c r="DL105" s="6">
        <f t="shared" si="144"/>
        <v>0</v>
      </c>
      <c r="DM105" s="6">
        <f t="shared" si="145"/>
        <v>0</v>
      </c>
      <c r="DN105" s="6">
        <v>0</v>
      </c>
      <c r="DO105" s="6">
        <f t="shared" si="146"/>
        <v>0</v>
      </c>
      <c r="DP105" s="6">
        <f t="shared" si="147"/>
        <v>0</v>
      </c>
    </row>
    <row r="106" spans="1:120" x14ac:dyDescent="0.2">
      <c r="A106" s="21">
        <v>85</v>
      </c>
      <c r="B106" s="21" t="s">
        <v>612</v>
      </c>
      <c r="C106" s="21">
        <v>85250</v>
      </c>
      <c r="D106" s="21" t="s">
        <v>663</v>
      </c>
      <c r="E106" s="21" t="s">
        <v>615</v>
      </c>
      <c r="F106" s="22" t="s">
        <v>669</v>
      </c>
      <c r="G106" s="4" t="s">
        <v>218</v>
      </c>
      <c r="H106" s="6">
        <v>89232.63</v>
      </c>
      <c r="I106" s="6">
        <f t="shared" si="152"/>
        <v>244.47295890410959</v>
      </c>
      <c r="J106" s="6">
        <v>76902.506500000003</v>
      </c>
      <c r="K106" s="6">
        <v>76236.09</v>
      </c>
      <c r="L106" s="6">
        <f t="shared" si="153"/>
        <v>208.29532786885244</v>
      </c>
      <c r="M106" s="6">
        <v>96567.810899999997</v>
      </c>
      <c r="N106" s="6">
        <v>143431.59</v>
      </c>
      <c r="O106" s="6">
        <f t="shared" si="154"/>
        <v>392.96326027397259</v>
      </c>
      <c r="P106" s="6">
        <v>82972.465400000001</v>
      </c>
      <c r="Q106" s="6">
        <v>60074.98</v>
      </c>
      <c r="R106" s="6">
        <f>Q106/181</f>
        <v>331.90596685082875</v>
      </c>
      <c r="S106" s="6">
        <v>74232.356599999999</v>
      </c>
      <c r="T106" s="6">
        <f t="shared" si="80"/>
        <v>74232.356599999999</v>
      </c>
      <c r="U106" s="6">
        <f t="shared" si="81"/>
        <v>203.37631945205479</v>
      </c>
      <c r="V106" s="6">
        <v>67233.713300000003</v>
      </c>
      <c r="W106" s="6">
        <f t="shared" si="82"/>
        <v>67233.713300000003</v>
      </c>
      <c r="X106" s="6">
        <f t="shared" si="83"/>
        <v>184.20195424657535</v>
      </c>
      <c r="Y106" s="6">
        <v>61479.4326</v>
      </c>
      <c r="Z106" s="6">
        <f t="shared" si="84"/>
        <v>61479.4326</v>
      </c>
      <c r="AA106" s="6">
        <f t="shared" si="85"/>
        <v>168.43680164383562</v>
      </c>
      <c r="AB106" s="6">
        <v>56626.249499999998</v>
      </c>
      <c r="AC106" s="6">
        <f t="shared" si="86"/>
        <v>56626.249499999998</v>
      </c>
      <c r="AD106" s="6">
        <f t="shared" si="87"/>
        <v>155.1404095890411</v>
      </c>
      <c r="AE106" s="6">
        <v>52450.457999999999</v>
      </c>
      <c r="AF106" s="6">
        <f t="shared" si="88"/>
        <v>52450.457999999999</v>
      </c>
      <c r="AG106" s="6">
        <f t="shared" si="89"/>
        <v>143.69988493150686</v>
      </c>
      <c r="AH106" s="6">
        <v>48798.4755</v>
      </c>
      <c r="AI106" s="6">
        <f t="shared" si="90"/>
        <v>48798.4755</v>
      </c>
      <c r="AJ106" s="6">
        <f t="shared" si="91"/>
        <v>133.69445342465752</v>
      </c>
      <c r="AK106" s="6">
        <v>45563.679100000001</v>
      </c>
      <c r="AL106" s="6">
        <f t="shared" si="92"/>
        <v>45563.679100000001</v>
      </c>
      <c r="AM106" s="6">
        <f t="shared" si="93"/>
        <v>124.83199753424658</v>
      </c>
      <c r="AN106" s="6">
        <v>32258.485799999999</v>
      </c>
      <c r="AO106" s="6">
        <f t="shared" si="94"/>
        <v>32258.485799999999</v>
      </c>
      <c r="AP106" s="6">
        <f t="shared" si="95"/>
        <v>88.379413150684925</v>
      </c>
      <c r="AQ106" s="6">
        <v>0</v>
      </c>
      <c r="AR106" s="6">
        <f t="shared" si="96"/>
        <v>0</v>
      </c>
      <c r="AS106" s="6">
        <f t="shared" si="97"/>
        <v>0</v>
      </c>
      <c r="AT106" s="6">
        <v>0</v>
      </c>
      <c r="AU106" s="6">
        <f t="shared" si="98"/>
        <v>0</v>
      </c>
      <c r="AV106" s="6">
        <f t="shared" si="99"/>
        <v>0</v>
      </c>
      <c r="AW106" s="6">
        <v>0</v>
      </c>
      <c r="AX106" s="6">
        <f t="shared" si="100"/>
        <v>0</v>
      </c>
      <c r="AY106" s="6">
        <f t="shared" si="101"/>
        <v>0</v>
      </c>
      <c r="AZ106" s="6">
        <v>0</v>
      </c>
      <c r="BA106" s="6">
        <f t="shared" si="102"/>
        <v>0</v>
      </c>
      <c r="BB106" s="6">
        <f t="shared" si="103"/>
        <v>0</v>
      </c>
      <c r="BC106" s="6">
        <v>0</v>
      </c>
      <c r="BD106" s="6">
        <f t="shared" si="104"/>
        <v>0</v>
      </c>
      <c r="BE106" s="6">
        <f t="shared" si="105"/>
        <v>0</v>
      </c>
      <c r="BF106" s="6">
        <v>0</v>
      </c>
      <c r="BG106" s="6">
        <f t="shared" si="106"/>
        <v>0</v>
      </c>
      <c r="BH106" s="6">
        <f t="shared" si="107"/>
        <v>0</v>
      </c>
      <c r="BI106" s="6">
        <v>0</v>
      </c>
      <c r="BJ106" s="6">
        <f t="shared" si="108"/>
        <v>0</v>
      </c>
      <c r="BK106" s="6">
        <f t="shared" si="109"/>
        <v>0</v>
      </c>
      <c r="BL106" s="6">
        <v>0</v>
      </c>
      <c r="BM106" s="6">
        <f t="shared" si="110"/>
        <v>0</v>
      </c>
      <c r="BN106" s="6">
        <f t="shared" si="111"/>
        <v>0</v>
      </c>
      <c r="BO106" s="6">
        <v>0</v>
      </c>
      <c r="BP106" s="6">
        <f t="shared" si="112"/>
        <v>0</v>
      </c>
      <c r="BQ106" s="6">
        <f t="shared" si="113"/>
        <v>0</v>
      </c>
      <c r="BR106" s="6">
        <v>0</v>
      </c>
      <c r="BS106" s="6">
        <f t="shared" si="114"/>
        <v>0</v>
      </c>
      <c r="BT106" s="6">
        <f t="shared" si="115"/>
        <v>0</v>
      </c>
      <c r="BU106" s="6">
        <v>0</v>
      </c>
      <c r="BV106" s="6">
        <f t="shared" si="116"/>
        <v>0</v>
      </c>
      <c r="BW106" s="6">
        <f t="shared" si="117"/>
        <v>0</v>
      </c>
      <c r="BX106" s="6">
        <v>0</v>
      </c>
      <c r="BY106" s="6">
        <f t="shared" si="118"/>
        <v>0</v>
      </c>
      <c r="BZ106" s="6">
        <f t="shared" si="119"/>
        <v>0</v>
      </c>
      <c r="CA106" s="6">
        <v>0</v>
      </c>
      <c r="CB106" s="6">
        <f t="shared" si="120"/>
        <v>0</v>
      </c>
      <c r="CC106" s="6">
        <f t="shared" si="121"/>
        <v>0</v>
      </c>
      <c r="CD106" s="6">
        <v>0</v>
      </c>
      <c r="CE106" s="6">
        <f t="shared" si="122"/>
        <v>0</v>
      </c>
      <c r="CF106" s="6">
        <f t="shared" si="123"/>
        <v>0</v>
      </c>
      <c r="CG106" s="6">
        <v>0</v>
      </c>
      <c r="CH106" s="6">
        <f t="shared" si="124"/>
        <v>0</v>
      </c>
      <c r="CI106" s="6">
        <f t="shared" si="125"/>
        <v>0</v>
      </c>
      <c r="CJ106" s="6">
        <v>0</v>
      </c>
      <c r="CK106" s="6">
        <f t="shared" si="126"/>
        <v>0</v>
      </c>
      <c r="CL106" s="6">
        <f t="shared" si="127"/>
        <v>0</v>
      </c>
      <c r="CM106" s="6">
        <v>0</v>
      </c>
      <c r="CN106" s="6">
        <f t="shared" si="128"/>
        <v>0</v>
      </c>
      <c r="CO106" s="6">
        <f t="shared" si="129"/>
        <v>0</v>
      </c>
      <c r="CP106" s="6">
        <v>0</v>
      </c>
      <c r="CQ106" s="6">
        <f t="shared" si="130"/>
        <v>0</v>
      </c>
      <c r="CR106" s="6">
        <f t="shared" si="131"/>
        <v>0</v>
      </c>
      <c r="CS106" s="6">
        <v>0</v>
      </c>
      <c r="CT106" s="6">
        <f t="shared" si="132"/>
        <v>0</v>
      </c>
      <c r="CU106" s="6">
        <f t="shared" si="133"/>
        <v>0</v>
      </c>
      <c r="CV106" s="6">
        <v>0</v>
      </c>
      <c r="CW106" s="6">
        <f t="shared" si="134"/>
        <v>0</v>
      </c>
      <c r="CX106" s="6">
        <f t="shared" si="135"/>
        <v>0</v>
      </c>
      <c r="CY106" s="6">
        <v>0</v>
      </c>
      <c r="CZ106" s="6">
        <f t="shared" si="136"/>
        <v>0</v>
      </c>
      <c r="DA106" s="6">
        <f t="shared" si="137"/>
        <v>0</v>
      </c>
      <c r="DB106" s="6">
        <v>0</v>
      </c>
      <c r="DC106" s="6">
        <f t="shared" si="138"/>
        <v>0</v>
      </c>
      <c r="DD106" s="6">
        <f t="shared" si="139"/>
        <v>0</v>
      </c>
      <c r="DE106" s="6">
        <v>0</v>
      </c>
      <c r="DF106" s="6">
        <f t="shared" si="140"/>
        <v>0</v>
      </c>
      <c r="DG106" s="6">
        <f t="shared" si="141"/>
        <v>0</v>
      </c>
      <c r="DH106" s="6">
        <v>0</v>
      </c>
      <c r="DI106" s="6">
        <f t="shared" si="142"/>
        <v>0</v>
      </c>
      <c r="DJ106" s="6">
        <f t="shared" si="143"/>
        <v>0</v>
      </c>
      <c r="DK106" s="6">
        <v>0</v>
      </c>
      <c r="DL106" s="6">
        <f t="shared" si="144"/>
        <v>0</v>
      </c>
      <c r="DM106" s="6">
        <f t="shared" si="145"/>
        <v>0</v>
      </c>
      <c r="DN106" s="6">
        <v>0</v>
      </c>
      <c r="DO106" s="6">
        <f t="shared" si="146"/>
        <v>0</v>
      </c>
      <c r="DP106" s="6">
        <f t="shared" si="147"/>
        <v>0</v>
      </c>
    </row>
    <row r="107" spans="1:120" x14ac:dyDescent="0.2">
      <c r="A107" s="21">
        <v>85</v>
      </c>
      <c r="B107" s="21" t="s">
        <v>612</v>
      </c>
      <c r="C107" s="21">
        <v>85250</v>
      </c>
      <c r="D107" s="21" t="s">
        <v>663</v>
      </c>
      <c r="E107" s="21" t="s">
        <v>615</v>
      </c>
      <c r="F107" s="22" t="s">
        <v>669</v>
      </c>
      <c r="G107" s="4" t="s">
        <v>219</v>
      </c>
      <c r="H107" s="6">
        <v>68782.16</v>
      </c>
      <c r="I107" s="6">
        <f t="shared" si="152"/>
        <v>188.44427397260276</v>
      </c>
      <c r="J107" s="6">
        <v>47460.2212</v>
      </c>
      <c r="K107" s="6">
        <v>44392.53</v>
      </c>
      <c r="L107" s="6">
        <f t="shared" si="153"/>
        <v>121.2910655737705</v>
      </c>
      <c r="M107" s="6">
        <v>43249.499400000001</v>
      </c>
      <c r="N107" s="6">
        <v>39043.89</v>
      </c>
      <c r="O107" s="6">
        <f t="shared" si="154"/>
        <v>106.96956164383562</v>
      </c>
      <c r="P107" s="6">
        <v>39791.0717</v>
      </c>
      <c r="Q107" s="6">
        <v>17047.45</v>
      </c>
      <c r="R107" s="6">
        <f>Q107/181</f>
        <v>94.184806629834256</v>
      </c>
      <c r="S107" s="6">
        <v>36872.947099999998</v>
      </c>
      <c r="T107" s="6">
        <f t="shared" si="80"/>
        <v>36872.947099999998</v>
      </c>
      <c r="U107" s="6">
        <f t="shared" si="81"/>
        <v>101.02177287671232</v>
      </c>
      <c r="V107" s="6">
        <v>34307.1178</v>
      </c>
      <c r="W107" s="6">
        <f t="shared" si="82"/>
        <v>34307.1178</v>
      </c>
      <c r="X107" s="6">
        <f t="shared" si="83"/>
        <v>93.99210356164383</v>
      </c>
      <c r="Y107" s="6">
        <v>32004.070299999999</v>
      </c>
      <c r="Z107" s="6">
        <f t="shared" si="84"/>
        <v>32004.070299999999</v>
      </c>
      <c r="AA107" s="6">
        <f t="shared" si="85"/>
        <v>87.68238438356164</v>
      </c>
      <c r="AB107" s="6">
        <v>29918.030599999998</v>
      </c>
      <c r="AC107" s="6">
        <f t="shared" si="86"/>
        <v>29918.030599999998</v>
      </c>
      <c r="AD107" s="6">
        <f t="shared" si="87"/>
        <v>81.967207123287665</v>
      </c>
      <c r="AE107" s="6">
        <v>28015.465899999999</v>
      </c>
      <c r="AF107" s="6">
        <f t="shared" si="88"/>
        <v>28015.465899999999</v>
      </c>
      <c r="AG107" s="6">
        <f t="shared" si="89"/>
        <v>76.754701095890411</v>
      </c>
      <c r="AH107" s="6">
        <v>26270.939900000001</v>
      </c>
      <c r="AI107" s="6">
        <f t="shared" si="90"/>
        <v>26270.939900000001</v>
      </c>
      <c r="AJ107" s="6">
        <f t="shared" si="91"/>
        <v>71.975177808219186</v>
      </c>
      <c r="AK107" s="6">
        <v>24664.578099999999</v>
      </c>
      <c r="AL107" s="6">
        <f t="shared" si="92"/>
        <v>24664.578099999999</v>
      </c>
      <c r="AM107" s="6">
        <f t="shared" si="93"/>
        <v>67.574186575342466</v>
      </c>
      <c r="AN107" s="6">
        <v>17517.630499999999</v>
      </c>
      <c r="AO107" s="6">
        <f t="shared" si="94"/>
        <v>17517.630499999999</v>
      </c>
      <c r="AP107" s="6">
        <f t="shared" si="95"/>
        <v>47.993508219178082</v>
      </c>
      <c r="AQ107" s="6">
        <v>0</v>
      </c>
      <c r="AR107" s="6">
        <f t="shared" si="96"/>
        <v>0</v>
      </c>
      <c r="AS107" s="6">
        <f t="shared" si="97"/>
        <v>0</v>
      </c>
      <c r="AT107" s="6">
        <v>0</v>
      </c>
      <c r="AU107" s="6">
        <f t="shared" si="98"/>
        <v>0</v>
      </c>
      <c r="AV107" s="6">
        <f t="shared" si="99"/>
        <v>0</v>
      </c>
      <c r="AW107" s="6">
        <v>0</v>
      </c>
      <c r="AX107" s="6">
        <f t="shared" si="100"/>
        <v>0</v>
      </c>
      <c r="AY107" s="6">
        <f t="shared" si="101"/>
        <v>0</v>
      </c>
      <c r="AZ107" s="6">
        <v>0</v>
      </c>
      <c r="BA107" s="6">
        <f t="shared" si="102"/>
        <v>0</v>
      </c>
      <c r="BB107" s="6">
        <f t="shared" si="103"/>
        <v>0</v>
      </c>
      <c r="BC107" s="6">
        <v>0</v>
      </c>
      <c r="BD107" s="6">
        <f t="shared" si="104"/>
        <v>0</v>
      </c>
      <c r="BE107" s="6">
        <f t="shared" si="105"/>
        <v>0</v>
      </c>
      <c r="BF107" s="6">
        <v>0</v>
      </c>
      <c r="BG107" s="6">
        <f t="shared" si="106"/>
        <v>0</v>
      </c>
      <c r="BH107" s="6">
        <f t="shared" si="107"/>
        <v>0</v>
      </c>
      <c r="BI107" s="6">
        <v>0</v>
      </c>
      <c r="BJ107" s="6">
        <f t="shared" si="108"/>
        <v>0</v>
      </c>
      <c r="BK107" s="6">
        <f t="shared" si="109"/>
        <v>0</v>
      </c>
      <c r="BL107" s="6">
        <v>0</v>
      </c>
      <c r="BM107" s="6">
        <f t="shared" si="110"/>
        <v>0</v>
      </c>
      <c r="BN107" s="6">
        <f t="shared" si="111"/>
        <v>0</v>
      </c>
      <c r="BO107" s="6">
        <v>0</v>
      </c>
      <c r="BP107" s="6">
        <f t="shared" si="112"/>
        <v>0</v>
      </c>
      <c r="BQ107" s="6">
        <f t="shared" si="113"/>
        <v>0</v>
      </c>
      <c r="BR107" s="6">
        <v>0</v>
      </c>
      <c r="BS107" s="6">
        <f t="shared" si="114"/>
        <v>0</v>
      </c>
      <c r="BT107" s="6">
        <f t="shared" si="115"/>
        <v>0</v>
      </c>
      <c r="BU107" s="6">
        <v>0</v>
      </c>
      <c r="BV107" s="6">
        <f t="shared" si="116"/>
        <v>0</v>
      </c>
      <c r="BW107" s="6">
        <f t="shared" si="117"/>
        <v>0</v>
      </c>
      <c r="BX107" s="6">
        <v>0</v>
      </c>
      <c r="BY107" s="6">
        <f t="shared" si="118"/>
        <v>0</v>
      </c>
      <c r="BZ107" s="6">
        <f t="shared" si="119"/>
        <v>0</v>
      </c>
      <c r="CA107" s="6">
        <v>0</v>
      </c>
      <c r="CB107" s="6">
        <f t="shared" si="120"/>
        <v>0</v>
      </c>
      <c r="CC107" s="6">
        <f t="shared" si="121"/>
        <v>0</v>
      </c>
      <c r="CD107" s="6">
        <v>0</v>
      </c>
      <c r="CE107" s="6">
        <f t="shared" si="122"/>
        <v>0</v>
      </c>
      <c r="CF107" s="6">
        <f t="shared" si="123"/>
        <v>0</v>
      </c>
      <c r="CG107" s="6">
        <v>0</v>
      </c>
      <c r="CH107" s="6">
        <f t="shared" si="124"/>
        <v>0</v>
      </c>
      <c r="CI107" s="6">
        <f t="shared" si="125"/>
        <v>0</v>
      </c>
      <c r="CJ107" s="6">
        <v>0</v>
      </c>
      <c r="CK107" s="6">
        <f t="shared" si="126"/>
        <v>0</v>
      </c>
      <c r="CL107" s="6">
        <f t="shared" si="127"/>
        <v>0</v>
      </c>
      <c r="CM107" s="6">
        <v>0</v>
      </c>
      <c r="CN107" s="6">
        <f t="shared" si="128"/>
        <v>0</v>
      </c>
      <c r="CO107" s="6">
        <f t="shared" si="129"/>
        <v>0</v>
      </c>
      <c r="CP107" s="6">
        <v>0</v>
      </c>
      <c r="CQ107" s="6">
        <f t="shared" si="130"/>
        <v>0</v>
      </c>
      <c r="CR107" s="6">
        <f t="shared" si="131"/>
        <v>0</v>
      </c>
      <c r="CS107" s="6">
        <v>0</v>
      </c>
      <c r="CT107" s="6">
        <f t="shared" si="132"/>
        <v>0</v>
      </c>
      <c r="CU107" s="6">
        <f t="shared" si="133"/>
        <v>0</v>
      </c>
      <c r="CV107" s="6">
        <v>0</v>
      </c>
      <c r="CW107" s="6">
        <f t="shared" si="134"/>
        <v>0</v>
      </c>
      <c r="CX107" s="6">
        <f t="shared" si="135"/>
        <v>0</v>
      </c>
      <c r="CY107" s="6">
        <v>0</v>
      </c>
      <c r="CZ107" s="6">
        <f t="shared" si="136"/>
        <v>0</v>
      </c>
      <c r="DA107" s="6">
        <f t="shared" si="137"/>
        <v>0</v>
      </c>
      <c r="DB107" s="6">
        <v>0</v>
      </c>
      <c r="DC107" s="6">
        <f t="shared" si="138"/>
        <v>0</v>
      </c>
      <c r="DD107" s="6">
        <f t="shared" si="139"/>
        <v>0</v>
      </c>
      <c r="DE107" s="6">
        <v>0</v>
      </c>
      <c r="DF107" s="6">
        <f t="shared" si="140"/>
        <v>0</v>
      </c>
      <c r="DG107" s="6">
        <f t="shared" si="141"/>
        <v>0</v>
      </c>
      <c r="DH107" s="6">
        <v>0</v>
      </c>
      <c r="DI107" s="6">
        <f t="shared" si="142"/>
        <v>0</v>
      </c>
      <c r="DJ107" s="6">
        <f t="shared" si="143"/>
        <v>0</v>
      </c>
      <c r="DK107" s="6">
        <v>0</v>
      </c>
      <c r="DL107" s="6">
        <f t="shared" si="144"/>
        <v>0</v>
      </c>
      <c r="DM107" s="6">
        <f t="shared" si="145"/>
        <v>0</v>
      </c>
      <c r="DN107" s="6">
        <v>0</v>
      </c>
      <c r="DO107" s="6">
        <f t="shared" si="146"/>
        <v>0</v>
      </c>
      <c r="DP107" s="6">
        <f t="shared" si="147"/>
        <v>0</v>
      </c>
    </row>
    <row r="108" spans="1:120" x14ac:dyDescent="0.2">
      <c r="A108" s="21">
        <v>86</v>
      </c>
      <c r="B108" s="21" t="s">
        <v>664</v>
      </c>
      <c r="C108" s="21">
        <v>86568</v>
      </c>
      <c r="D108" s="21" t="s">
        <v>712</v>
      </c>
      <c r="E108" s="21" t="s">
        <v>564</v>
      </c>
      <c r="F108" s="22" t="s">
        <v>669</v>
      </c>
      <c r="G108" s="4" t="s">
        <v>220</v>
      </c>
      <c r="H108" s="6">
        <v>99975.08</v>
      </c>
      <c r="I108" s="6">
        <f t="shared" si="152"/>
        <v>273.90432876712327</v>
      </c>
      <c r="J108" s="6">
        <v>129413.90429999999</v>
      </c>
      <c r="K108" s="6">
        <v>140608.46</v>
      </c>
      <c r="L108" s="6">
        <f t="shared" si="153"/>
        <v>384.17612021857923</v>
      </c>
      <c r="M108" s="6">
        <v>97875.099900000001</v>
      </c>
      <c r="N108" s="6">
        <v>146520.76999999999</v>
      </c>
      <c r="O108" s="6">
        <f t="shared" si="154"/>
        <v>401.42676712328762</v>
      </c>
      <c r="P108" s="6">
        <v>138309.19870000001</v>
      </c>
      <c r="Q108" s="6">
        <v>27434.7</v>
      </c>
      <c r="R108" s="6">
        <f>Q108/181</f>
        <v>151.57292817679559</v>
      </c>
      <c r="S108" s="6">
        <v>395265.77679999999</v>
      </c>
      <c r="T108" s="6">
        <f t="shared" si="80"/>
        <v>395265.77679999999</v>
      </c>
      <c r="U108" s="6">
        <f t="shared" si="81"/>
        <v>1082.9199364383562</v>
      </c>
      <c r="V108" s="6">
        <v>391423.83319999999</v>
      </c>
      <c r="W108" s="6">
        <f t="shared" si="82"/>
        <v>391423.83319999999</v>
      </c>
      <c r="X108" s="6">
        <f t="shared" si="83"/>
        <v>1072.3940635616439</v>
      </c>
      <c r="Y108" s="6">
        <v>299006.44669999997</v>
      </c>
      <c r="Z108" s="6">
        <f t="shared" si="84"/>
        <v>299006.44669999997</v>
      </c>
      <c r="AA108" s="6">
        <f t="shared" si="85"/>
        <v>819.19574438356153</v>
      </c>
      <c r="AB108" s="6">
        <v>233229.56469999999</v>
      </c>
      <c r="AC108" s="6">
        <f t="shared" si="86"/>
        <v>233229.56469999999</v>
      </c>
      <c r="AD108" s="6">
        <f t="shared" si="87"/>
        <v>638.98510876712328</v>
      </c>
      <c r="AE108" s="6">
        <v>184756.7671</v>
      </c>
      <c r="AF108" s="6">
        <f t="shared" si="88"/>
        <v>184756.7671</v>
      </c>
      <c r="AG108" s="6">
        <f t="shared" si="89"/>
        <v>506.1829235616438</v>
      </c>
      <c r="AH108" s="6">
        <v>148726.95879999999</v>
      </c>
      <c r="AI108" s="6">
        <f t="shared" si="90"/>
        <v>148726.95879999999</v>
      </c>
      <c r="AJ108" s="6">
        <f t="shared" si="91"/>
        <v>407.47111999999998</v>
      </c>
      <c r="AK108" s="6">
        <v>120515.63959999999</v>
      </c>
      <c r="AL108" s="6">
        <f t="shared" si="92"/>
        <v>120515.63959999999</v>
      </c>
      <c r="AM108" s="6">
        <f t="shared" si="93"/>
        <v>330.17983452054796</v>
      </c>
      <c r="AN108" s="6">
        <v>95664.266399999993</v>
      </c>
      <c r="AO108" s="6">
        <f t="shared" si="94"/>
        <v>95664.266399999993</v>
      </c>
      <c r="AP108" s="6">
        <f t="shared" si="95"/>
        <v>262.09388054794516</v>
      </c>
      <c r="AQ108" s="6">
        <v>79059.302500000005</v>
      </c>
      <c r="AR108" s="6">
        <f t="shared" si="96"/>
        <v>79059.302500000005</v>
      </c>
      <c r="AS108" s="6">
        <f t="shared" si="97"/>
        <v>216.60082876712329</v>
      </c>
      <c r="AT108" s="6">
        <v>66319.821200000006</v>
      </c>
      <c r="AU108" s="6">
        <f t="shared" si="98"/>
        <v>66319.821200000006</v>
      </c>
      <c r="AV108" s="6">
        <f t="shared" si="99"/>
        <v>181.69814027397263</v>
      </c>
      <c r="AW108" s="6">
        <v>55777.2935</v>
      </c>
      <c r="AX108" s="6">
        <f t="shared" si="100"/>
        <v>55777.2935</v>
      </c>
      <c r="AY108" s="6">
        <f t="shared" si="101"/>
        <v>152.81450273972604</v>
      </c>
      <c r="AZ108" s="6">
        <v>4327.1090999999997</v>
      </c>
      <c r="BA108" s="6">
        <f t="shared" si="102"/>
        <v>4327.1090999999997</v>
      </c>
      <c r="BB108" s="6">
        <f t="shared" si="103"/>
        <v>11.855093424657534</v>
      </c>
      <c r="BC108" s="6">
        <v>0</v>
      </c>
      <c r="BD108" s="6">
        <f t="shared" si="104"/>
        <v>0</v>
      </c>
      <c r="BE108" s="6">
        <f t="shared" si="105"/>
        <v>0</v>
      </c>
      <c r="BF108" s="6">
        <v>0</v>
      </c>
      <c r="BG108" s="6">
        <f t="shared" si="106"/>
        <v>0</v>
      </c>
      <c r="BH108" s="6">
        <f t="shared" si="107"/>
        <v>0</v>
      </c>
      <c r="BI108" s="6">
        <v>0</v>
      </c>
      <c r="BJ108" s="6">
        <f t="shared" si="108"/>
        <v>0</v>
      </c>
      <c r="BK108" s="6">
        <f t="shared" si="109"/>
        <v>0</v>
      </c>
      <c r="BL108" s="6">
        <v>0</v>
      </c>
      <c r="BM108" s="6">
        <f t="shared" si="110"/>
        <v>0</v>
      </c>
      <c r="BN108" s="6">
        <f t="shared" si="111"/>
        <v>0</v>
      </c>
      <c r="BO108" s="6">
        <v>0</v>
      </c>
      <c r="BP108" s="6">
        <f t="shared" si="112"/>
        <v>0</v>
      </c>
      <c r="BQ108" s="6">
        <f t="shared" si="113"/>
        <v>0</v>
      </c>
      <c r="BR108" s="6">
        <v>0</v>
      </c>
      <c r="BS108" s="6">
        <f t="shared" si="114"/>
        <v>0</v>
      </c>
      <c r="BT108" s="6">
        <f t="shared" si="115"/>
        <v>0</v>
      </c>
      <c r="BU108" s="6">
        <v>0</v>
      </c>
      <c r="BV108" s="6">
        <f t="shared" si="116"/>
        <v>0</v>
      </c>
      <c r="BW108" s="6">
        <f t="shared" si="117"/>
        <v>0</v>
      </c>
      <c r="BX108" s="6">
        <v>0</v>
      </c>
      <c r="BY108" s="6">
        <f t="shared" si="118"/>
        <v>0</v>
      </c>
      <c r="BZ108" s="6">
        <f t="shared" si="119"/>
        <v>0</v>
      </c>
      <c r="CA108" s="6">
        <v>0</v>
      </c>
      <c r="CB108" s="6">
        <f t="shared" si="120"/>
        <v>0</v>
      </c>
      <c r="CC108" s="6">
        <f t="shared" si="121"/>
        <v>0</v>
      </c>
      <c r="CD108" s="6">
        <v>0</v>
      </c>
      <c r="CE108" s="6">
        <f t="shared" si="122"/>
        <v>0</v>
      </c>
      <c r="CF108" s="6">
        <f t="shared" si="123"/>
        <v>0</v>
      </c>
      <c r="CG108" s="6">
        <v>0</v>
      </c>
      <c r="CH108" s="6">
        <f t="shared" si="124"/>
        <v>0</v>
      </c>
      <c r="CI108" s="6">
        <f t="shared" si="125"/>
        <v>0</v>
      </c>
      <c r="CJ108" s="6">
        <v>0</v>
      </c>
      <c r="CK108" s="6">
        <f t="shared" si="126"/>
        <v>0</v>
      </c>
      <c r="CL108" s="6">
        <f t="shared" si="127"/>
        <v>0</v>
      </c>
      <c r="CM108" s="6">
        <v>0</v>
      </c>
      <c r="CN108" s="6">
        <f t="shared" si="128"/>
        <v>0</v>
      </c>
      <c r="CO108" s="6">
        <f t="shared" si="129"/>
        <v>0</v>
      </c>
      <c r="CP108" s="6">
        <v>0</v>
      </c>
      <c r="CQ108" s="6">
        <f t="shared" si="130"/>
        <v>0</v>
      </c>
      <c r="CR108" s="6">
        <f t="shared" si="131"/>
        <v>0</v>
      </c>
      <c r="CS108" s="6">
        <v>0</v>
      </c>
      <c r="CT108" s="6">
        <f t="shared" si="132"/>
        <v>0</v>
      </c>
      <c r="CU108" s="6">
        <f t="shared" si="133"/>
        <v>0</v>
      </c>
      <c r="CV108" s="6">
        <v>0</v>
      </c>
      <c r="CW108" s="6">
        <f t="shared" si="134"/>
        <v>0</v>
      </c>
      <c r="CX108" s="6">
        <f t="shared" si="135"/>
        <v>0</v>
      </c>
      <c r="CY108" s="6">
        <v>0</v>
      </c>
      <c r="CZ108" s="6">
        <f t="shared" si="136"/>
        <v>0</v>
      </c>
      <c r="DA108" s="6">
        <f t="shared" si="137"/>
        <v>0</v>
      </c>
      <c r="DB108" s="6">
        <v>0</v>
      </c>
      <c r="DC108" s="6">
        <f t="shared" si="138"/>
        <v>0</v>
      </c>
      <c r="DD108" s="6">
        <f t="shared" si="139"/>
        <v>0</v>
      </c>
      <c r="DE108" s="6">
        <v>0</v>
      </c>
      <c r="DF108" s="6">
        <f t="shared" si="140"/>
        <v>0</v>
      </c>
      <c r="DG108" s="6">
        <f t="shared" si="141"/>
        <v>0</v>
      </c>
      <c r="DH108" s="6">
        <v>0</v>
      </c>
      <c r="DI108" s="6">
        <f t="shared" si="142"/>
        <v>0</v>
      </c>
      <c r="DJ108" s="6">
        <f t="shared" si="143"/>
        <v>0</v>
      </c>
      <c r="DK108" s="6">
        <v>0</v>
      </c>
      <c r="DL108" s="6">
        <f t="shared" si="144"/>
        <v>0</v>
      </c>
      <c r="DM108" s="6">
        <f t="shared" si="145"/>
        <v>0</v>
      </c>
      <c r="DN108" s="6">
        <v>0</v>
      </c>
      <c r="DO108" s="6">
        <f t="shared" si="146"/>
        <v>0</v>
      </c>
      <c r="DP108" s="6">
        <f t="shared" si="147"/>
        <v>0</v>
      </c>
    </row>
    <row r="109" spans="1:120" x14ac:dyDescent="0.2">
      <c r="A109" s="21">
        <v>85</v>
      </c>
      <c r="B109" s="21" t="s">
        <v>612</v>
      </c>
      <c r="C109" s="21">
        <v>85010</v>
      </c>
      <c r="D109" s="21" t="s">
        <v>716</v>
      </c>
      <c r="E109" s="21" t="s">
        <v>522</v>
      </c>
      <c r="F109" s="22" t="s">
        <v>717</v>
      </c>
      <c r="G109" s="4" t="s">
        <v>221</v>
      </c>
      <c r="H109" s="6">
        <v>1214226.6599999999</v>
      </c>
      <c r="I109" s="6">
        <f t="shared" si="152"/>
        <v>3326.6483835616436</v>
      </c>
      <c r="J109" s="6">
        <v>974322.34580000001</v>
      </c>
      <c r="K109" s="6">
        <v>1252212.6100000001</v>
      </c>
      <c r="L109" s="6">
        <f t="shared" si="153"/>
        <v>3421.345928961749</v>
      </c>
      <c r="M109" s="6">
        <v>1039033.6614</v>
      </c>
      <c r="N109" s="6">
        <v>1186780.68</v>
      </c>
      <c r="O109" s="6">
        <f t="shared" si="154"/>
        <v>3251.4539178082191</v>
      </c>
      <c r="P109" s="6">
        <v>855954.43819999998</v>
      </c>
      <c r="Q109" s="6">
        <v>544258.88</v>
      </c>
      <c r="R109" s="6">
        <f>Q109/181</f>
        <v>3006.955138121547</v>
      </c>
      <c r="S109" s="6">
        <v>728782.73259999999</v>
      </c>
      <c r="T109" s="6">
        <f t="shared" si="80"/>
        <v>728782.73259999999</v>
      </c>
      <c r="U109" s="6">
        <f t="shared" si="81"/>
        <v>1996.6650208219178</v>
      </c>
      <c r="V109" s="6">
        <v>647572.36419999995</v>
      </c>
      <c r="W109" s="6">
        <f t="shared" si="82"/>
        <v>647572.36419999995</v>
      </c>
      <c r="X109" s="6">
        <f t="shared" si="83"/>
        <v>1774.1708608219176</v>
      </c>
      <c r="Y109" s="6">
        <v>577812.80009999999</v>
      </c>
      <c r="Z109" s="6">
        <f t="shared" si="84"/>
        <v>577812.80009999999</v>
      </c>
      <c r="AA109" s="6">
        <f t="shared" si="85"/>
        <v>1583.0487673972602</v>
      </c>
      <c r="AB109" s="6">
        <v>520487.05800000002</v>
      </c>
      <c r="AC109" s="6">
        <f t="shared" si="86"/>
        <v>520487.05800000002</v>
      </c>
      <c r="AD109" s="6">
        <f t="shared" si="87"/>
        <v>1425.9919397260273</v>
      </c>
      <c r="AE109" s="6">
        <v>465818.43400000001</v>
      </c>
      <c r="AF109" s="6">
        <f t="shared" si="88"/>
        <v>465818.43400000001</v>
      </c>
      <c r="AG109" s="6">
        <f t="shared" si="89"/>
        <v>1276.2148876712329</v>
      </c>
      <c r="AH109" s="6">
        <v>431901.0294</v>
      </c>
      <c r="AI109" s="6">
        <f t="shared" si="90"/>
        <v>431901.0294</v>
      </c>
      <c r="AJ109" s="6">
        <f t="shared" si="91"/>
        <v>1183.2904915068493</v>
      </c>
      <c r="AK109" s="6">
        <v>398098.00410000002</v>
      </c>
      <c r="AL109" s="6">
        <f t="shared" si="92"/>
        <v>398098.00410000002</v>
      </c>
      <c r="AM109" s="6">
        <f t="shared" si="93"/>
        <v>1090.6794632876713</v>
      </c>
      <c r="AN109" s="6">
        <v>362110.79800000001</v>
      </c>
      <c r="AO109" s="6">
        <f t="shared" si="94"/>
        <v>362110.79800000001</v>
      </c>
      <c r="AP109" s="6">
        <f t="shared" si="95"/>
        <v>992.08437808219185</v>
      </c>
      <c r="AQ109" s="6">
        <v>335659.74280000001</v>
      </c>
      <c r="AR109" s="6">
        <f t="shared" si="96"/>
        <v>335659.74280000001</v>
      </c>
      <c r="AS109" s="6">
        <f t="shared" si="97"/>
        <v>919.61573369863015</v>
      </c>
      <c r="AT109" s="6">
        <v>321053.59639999998</v>
      </c>
      <c r="AU109" s="6">
        <f t="shared" si="98"/>
        <v>321053.59639999998</v>
      </c>
      <c r="AV109" s="6">
        <f t="shared" si="99"/>
        <v>879.59889424657524</v>
      </c>
      <c r="AW109" s="6">
        <v>331228.9178</v>
      </c>
      <c r="AX109" s="6">
        <f t="shared" si="100"/>
        <v>331228.9178</v>
      </c>
      <c r="AY109" s="6">
        <f t="shared" si="101"/>
        <v>907.47648712328771</v>
      </c>
      <c r="AZ109" s="6">
        <v>444046.08039999998</v>
      </c>
      <c r="BA109" s="6">
        <f t="shared" si="102"/>
        <v>444046.08039999998</v>
      </c>
      <c r="BB109" s="6">
        <f t="shared" si="103"/>
        <v>1216.5646038356165</v>
      </c>
      <c r="BC109" s="6">
        <v>0</v>
      </c>
      <c r="BD109" s="6">
        <f t="shared" si="104"/>
        <v>0</v>
      </c>
      <c r="BE109" s="6">
        <f t="shared" si="105"/>
        <v>0</v>
      </c>
      <c r="BF109" s="6">
        <v>0</v>
      </c>
      <c r="BG109" s="6">
        <f t="shared" si="106"/>
        <v>0</v>
      </c>
      <c r="BH109" s="6">
        <f t="shared" si="107"/>
        <v>0</v>
      </c>
      <c r="BI109" s="6">
        <v>0</v>
      </c>
      <c r="BJ109" s="6">
        <f t="shared" si="108"/>
        <v>0</v>
      </c>
      <c r="BK109" s="6">
        <f t="shared" si="109"/>
        <v>0</v>
      </c>
      <c r="BL109" s="6">
        <v>0</v>
      </c>
      <c r="BM109" s="6">
        <f t="shared" si="110"/>
        <v>0</v>
      </c>
      <c r="BN109" s="6">
        <f t="shared" si="111"/>
        <v>0</v>
      </c>
      <c r="BO109" s="6">
        <v>0</v>
      </c>
      <c r="BP109" s="6">
        <f t="shared" si="112"/>
        <v>0</v>
      </c>
      <c r="BQ109" s="6">
        <f t="shared" si="113"/>
        <v>0</v>
      </c>
      <c r="BR109" s="6">
        <v>0</v>
      </c>
      <c r="BS109" s="6">
        <f t="shared" si="114"/>
        <v>0</v>
      </c>
      <c r="BT109" s="6">
        <f t="shared" si="115"/>
        <v>0</v>
      </c>
      <c r="BU109" s="6">
        <v>0</v>
      </c>
      <c r="BV109" s="6">
        <f t="shared" si="116"/>
        <v>0</v>
      </c>
      <c r="BW109" s="6">
        <f t="shared" si="117"/>
        <v>0</v>
      </c>
      <c r="BX109" s="6">
        <v>0</v>
      </c>
      <c r="BY109" s="6">
        <f t="shared" si="118"/>
        <v>0</v>
      </c>
      <c r="BZ109" s="6">
        <f t="shared" si="119"/>
        <v>0</v>
      </c>
      <c r="CA109" s="6">
        <v>0</v>
      </c>
      <c r="CB109" s="6">
        <f t="shared" si="120"/>
        <v>0</v>
      </c>
      <c r="CC109" s="6">
        <f t="shared" si="121"/>
        <v>0</v>
      </c>
      <c r="CD109" s="6">
        <v>0</v>
      </c>
      <c r="CE109" s="6">
        <f t="shared" si="122"/>
        <v>0</v>
      </c>
      <c r="CF109" s="6">
        <f t="shared" si="123"/>
        <v>0</v>
      </c>
      <c r="CG109" s="6">
        <v>0</v>
      </c>
      <c r="CH109" s="6">
        <f t="shared" si="124"/>
        <v>0</v>
      </c>
      <c r="CI109" s="6">
        <f t="shared" si="125"/>
        <v>0</v>
      </c>
      <c r="CJ109" s="6">
        <v>0</v>
      </c>
      <c r="CK109" s="6">
        <f t="shared" si="126"/>
        <v>0</v>
      </c>
      <c r="CL109" s="6">
        <f t="shared" si="127"/>
        <v>0</v>
      </c>
      <c r="CM109" s="6">
        <v>0</v>
      </c>
      <c r="CN109" s="6">
        <f t="shared" si="128"/>
        <v>0</v>
      </c>
      <c r="CO109" s="6">
        <f t="shared" si="129"/>
        <v>0</v>
      </c>
      <c r="CP109" s="6">
        <v>0</v>
      </c>
      <c r="CQ109" s="6">
        <f t="shared" si="130"/>
        <v>0</v>
      </c>
      <c r="CR109" s="6">
        <f t="shared" si="131"/>
        <v>0</v>
      </c>
      <c r="CS109" s="6">
        <v>0</v>
      </c>
      <c r="CT109" s="6">
        <f t="shared" si="132"/>
        <v>0</v>
      </c>
      <c r="CU109" s="6">
        <f t="shared" si="133"/>
        <v>0</v>
      </c>
      <c r="CV109" s="6">
        <v>0</v>
      </c>
      <c r="CW109" s="6">
        <f t="shared" si="134"/>
        <v>0</v>
      </c>
      <c r="CX109" s="6">
        <f t="shared" si="135"/>
        <v>0</v>
      </c>
      <c r="CY109" s="6">
        <v>0</v>
      </c>
      <c r="CZ109" s="6">
        <f t="shared" si="136"/>
        <v>0</v>
      </c>
      <c r="DA109" s="6">
        <f t="shared" si="137"/>
        <v>0</v>
      </c>
      <c r="DB109" s="6">
        <v>0</v>
      </c>
      <c r="DC109" s="6">
        <f t="shared" si="138"/>
        <v>0</v>
      </c>
      <c r="DD109" s="6">
        <f t="shared" si="139"/>
        <v>0</v>
      </c>
      <c r="DE109" s="6">
        <v>0</v>
      </c>
      <c r="DF109" s="6">
        <f t="shared" si="140"/>
        <v>0</v>
      </c>
      <c r="DG109" s="6">
        <f t="shared" si="141"/>
        <v>0</v>
      </c>
      <c r="DH109" s="6">
        <v>0</v>
      </c>
      <c r="DI109" s="6">
        <f t="shared" si="142"/>
        <v>0</v>
      </c>
      <c r="DJ109" s="6">
        <f t="shared" si="143"/>
        <v>0</v>
      </c>
      <c r="DK109" s="6">
        <v>0</v>
      </c>
      <c r="DL109" s="6">
        <f t="shared" si="144"/>
        <v>0</v>
      </c>
      <c r="DM109" s="6">
        <f t="shared" si="145"/>
        <v>0</v>
      </c>
      <c r="DN109" s="6">
        <v>0</v>
      </c>
      <c r="DO109" s="6">
        <f t="shared" si="146"/>
        <v>0</v>
      </c>
      <c r="DP109" s="6">
        <f t="shared" si="147"/>
        <v>0</v>
      </c>
    </row>
    <row r="110" spans="1:120" x14ac:dyDescent="0.2">
      <c r="A110" s="23"/>
      <c r="B110" s="23"/>
      <c r="C110" s="23"/>
      <c r="D110" s="23"/>
      <c r="E110" s="23"/>
      <c r="G110" s="4" t="s">
        <v>222</v>
      </c>
      <c r="H110" s="6"/>
      <c r="I110" s="6"/>
      <c r="J110" s="6">
        <v>507868.29960000003</v>
      </c>
      <c r="K110" s="6"/>
      <c r="L110" s="6"/>
      <c r="M110" s="6">
        <v>632811.75069999998</v>
      </c>
      <c r="N110" s="6"/>
      <c r="O110" s="6"/>
      <c r="P110" s="6">
        <v>670840.10750000004</v>
      </c>
      <c r="Q110" s="6"/>
      <c r="R110" s="6"/>
      <c r="S110" s="6">
        <v>552869.44940000004</v>
      </c>
      <c r="T110" s="6">
        <f t="shared" si="80"/>
        <v>552869.44940000004</v>
      </c>
      <c r="U110" s="6">
        <f t="shared" si="81"/>
        <v>1514.7108202739728</v>
      </c>
      <c r="V110" s="6">
        <v>460992.52419999999</v>
      </c>
      <c r="W110" s="6">
        <f t="shared" si="82"/>
        <v>460992.52419999999</v>
      </c>
      <c r="X110" s="6">
        <f t="shared" si="83"/>
        <v>1262.9932169863014</v>
      </c>
      <c r="Y110" s="6">
        <v>373207.61570000002</v>
      </c>
      <c r="Z110" s="6">
        <f t="shared" si="84"/>
        <v>373207.61570000002</v>
      </c>
      <c r="AA110" s="6">
        <f t="shared" si="85"/>
        <v>1022.4866183561644</v>
      </c>
      <c r="AB110" s="6">
        <v>313894.77850000001</v>
      </c>
      <c r="AC110" s="6">
        <f t="shared" si="86"/>
        <v>313894.77850000001</v>
      </c>
      <c r="AD110" s="6">
        <f t="shared" si="87"/>
        <v>859.98569452054801</v>
      </c>
      <c r="AE110" s="6">
        <v>260659.64439999999</v>
      </c>
      <c r="AF110" s="6">
        <f t="shared" si="88"/>
        <v>260659.64439999999</v>
      </c>
      <c r="AG110" s="6">
        <f t="shared" si="89"/>
        <v>714.13601205479449</v>
      </c>
      <c r="AH110" s="6">
        <v>221714.62659999999</v>
      </c>
      <c r="AI110" s="6">
        <f t="shared" si="90"/>
        <v>221714.62659999999</v>
      </c>
      <c r="AJ110" s="6">
        <f t="shared" si="91"/>
        <v>607.43733315068494</v>
      </c>
      <c r="AK110" s="6">
        <v>187816.33170000001</v>
      </c>
      <c r="AL110" s="6">
        <f t="shared" si="92"/>
        <v>187816.33170000001</v>
      </c>
      <c r="AM110" s="6">
        <f t="shared" si="93"/>
        <v>514.5652923287671</v>
      </c>
      <c r="AN110" s="6">
        <v>159061.6887</v>
      </c>
      <c r="AO110" s="6">
        <f t="shared" si="94"/>
        <v>159061.6887</v>
      </c>
      <c r="AP110" s="6">
        <f t="shared" si="95"/>
        <v>435.78544849315068</v>
      </c>
      <c r="AQ110" s="6">
        <v>129125.7993</v>
      </c>
      <c r="AR110" s="6">
        <f t="shared" si="96"/>
        <v>129125.7993</v>
      </c>
      <c r="AS110" s="6">
        <f t="shared" si="97"/>
        <v>353.76931315068492</v>
      </c>
      <c r="AT110" s="6">
        <v>94342.012799999997</v>
      </c>
      <c r="AU110" s="6">
        <f t="shared" si="98"/>
        <v>94342.012799999997</v>
      </c>
      <c r="AV110" s="6">
        <f t="shared" si="99"/>
        <v>258.47126794520545</v>
      </c>
      <c r="AW110" s="6">
        <v>72961.764500000005</v>
      </c>
      <c r="AX110" s="6">
        <f t="shared" si="100"/>
        <v>72961.764500000005</v>
      </c>
      <c r="AY110" s="6">
        <f t="shared" si="101"/>
        <v>199.89524520547945</v>
      </c>
      <c r="AZ110" s="6">
        <v>53148.666499999999</v>
      </c>
      <c r="BA110" s="6">
        <f t="shared" si="102"/>
        <v>53148.666499999999</v>
      </c>
      <c r="BB110" s="6">
        <f t="shared" si="103"/>
        <v>145.61278493150684</v>
      </c>
      <c r="BC110" s="6">
        <v>45489.528700000003</v>
      </c>
      <c r="BD110" s="6">
        <f t="shared" si="104"/>
        <v>45489.528700000003</v>
      </c>
      <c r="BE110" s="6">
        <f t="shared" si="105"/>
        <v>124.62884575342467</v>
      </c>
      <c r="BF110" s="6">
        <v>39089.775300000001</v>
      </c>
      <c r="BG110" s="6">
        <f t="shared" si="106"/>
        <v>39089.775300000001</v>
      </c>
      <c r="BH110" s="6">
        <f t="shared" si="107"/>
        <v>107.09527479452055</v>
      </c>
      <c r="BI110" s="6">
        <v>0</v>
      </c>
      <c r="BJ110" s="6">
        <f t="shared" si="108"/>
        <v>0</v>
      </c>
      <c r="BK110" s="6">
        <f t="shared" si="109"/>
        <v>0</v>
      </c>
      <c r="BL110" s="6">
        <v>0</v>
      </c>
      <c r="BM110" s="6">
        <f t="shared" si="110"/>
        <v>0</v>
      </c>
      <c r="BN110" s="6">
        <f t="shared" si="111"/>
        <v>0</v>
      </c>
      <c r="BO110" s="6">
        <v>0</v>
      </c>
      <c r="BP110" s="6">
        <f t="shared" si="112"/>
        <v>0</v>
      </c>
      <c r="BQ110" s="6">
        <f t="shared" si="113"/>
        <v>0</v>
      </c>
      <c r="BR110" s="6">
        <v>0</v>
      </c>
      <c r="BS110" s="6">
        <f t="shared" si="114"/>
        <v>0</v>
      </c>
      <c r="BT110" s="6">
        <f t="shared" si="115"/>
        <v>0</v>
      </c>
      <c r="BU110" s="6">
        <v>0</v>
      </c>
      <c r="BV110" s="6">
        <f t="shared" si="116"/>
        <v>0</v>
      </c>
      <c r="BW110" s="6">
        <f t="shared" si="117"/>
        <v>0</v>
      </c>
      <c r="BX110" s="6">
        <v>0</v>
      </c>
      <c r="BY110" s="6">
        <f t="shared" si="118"/>
        <v>0</v>
      </c>
      <c r="BZ110" s="6">
        <f t="shared" si="119"/>
        <v>0</v>
      </c>
      <c r="CA110" s="6">
        <v>0</v>
      </c>
      <c r="CB110" s="6">
        <f t="shared" si="120"/>
        <v>0</v>
      </c>
      <c r="CC110" s="6">
        <f t="shared" si="121"/>
        <v>0</v>
      </c>
      <c r="CD110" s="6">
        <v>0</v>
      </c>
      <c r="CE110" s="6">
        <f t="shared" si="122"/>
        <v>0</v>
      </c>
      <c r="CF110" s="6">
        <f t="shared" si="123"/>
        <v>0</v>
      </c>
      <c r="CG110" s="6">
        <v>0</v>
      </c>
      <c r="CH110" s="6">
        <f t="shared" si="124"/>
        <v>0</v>
      </c>
      <c r="CI110" s="6">
        <f t="shared" si="125"/>
        <v>0</v>
      </c>
      <c r="CJ110" s="6">
        <v>0</v>
      </c>
      <c r="CK110" s="6">
        <f t="shared" si="126"/>
        <v>0</v>
      </c>
      <c r="CL110" s="6">
        <f t="shared" si="127"/>
        <v>0</v>
      </c>
      <c r="CM110" s="6">
        <v>0</v>
      </c>
      <c r="CN110" s="6">
        <f t="shared" si="128"/>
        <v>0</v>
      </c>
      <c r="CO110" s="6">
        <f t="shared" si="129"/>
        <v>0</v>
      </c>
      <c r="CP110" s="6">
        <v>0</v>
      </c>
      <c r="CQ110" s="6">
        <f t="shared" si="130"/>
        <v>0</v>
      </c>
      <c r="CR110" s="6">
        <f t="shared" si="131"/>
        <v>0</v>
      </c>
      <c r="CS110" s="6">
        <v>0</v>
      </c>
      <c r="CT110" s="6">
        <f t="shared" si="132"/>
        <v>0</v>
      </c>
      <c r="CU110" s="6">
        <f t="shared" si="133"/>
        <v>0</v>
      </c>
      <c r="CV110" s="6">
        <v>0</v>
      </c>
      <c r="CW110" s="6">
        <f t="shared" si="134"/>
        <v>0</v>
      </c>
      <c r="CX110" s="6">
        <f t="shared" si="135"/>
        <v>0</v>
      </c>
      <c r="CY110" s="6">
        <v>0</v>
      </c>
      <c r="CZ110" s="6">
        <f t="shared" si="136"/>
        <v>0</v>
      </c>
      <c r="DA110" s="6">
        <f t="shared" si="137"/>
        <v>0</v>
      </c>
      <c r="DB110" s="6">
        <v>0</v>
      </c>
      <c r="DC110" s="6">
        <f t="shared" si="138"/>
        <v>0</v>
      </c>
      <c r="DD110" s="6">
        <f t="shared" si="139"/>
        <v>0</v>
      </c>
      <c r="DE110" s="6">
        <v>0</v>
      </c>
      <c r="DF110" s="6">
        <f t="shared" si="140"/>
        <v>0</v>
      </c>
      <c r="DG110" s="6">
        <f t="shared" si="141"/>
        <v>0</v>
      </c>
      <c r="DH110" s="6">
        <v>0</v>
      </c>
      <c r="DI110" s="6">
        <f t="shared" si="142"/>
        <v>0</v>
      </c>
      <c r="DJ110" s="6">
        <f t="shared" si="143"/>
        <v>0</v>
      </c>
      <c r="DK110" s="6">
        <v>0</v>
      </c>
      <c r="DL110" s="6">
        <f t="shared" si="144"/>
        <v>0</v>
      </c>
      <c r="DM110" s="6">
        <f t="shared" si="145"/>
        <v>0</v>
      </c>
      <c r="DN110" s="6">
        <v>0</v>
      </c>
      <c r="DO110" s="6">
        <f t="shared" si="146"/>
        <v>0</v>
      </c>
      <c r="DP110" s="6">
        <f t="shared" si="147"/>
        <v>0</v>
      </c>
    </row>
    <row r="111" spans="1:120" x14ac:dyDescent="0.2">
      <c r="A111" s="21">
        <v>85</v>
      </c>
      <c r="B111" s="21" t="s">
        <v>612</v>
      </c>
      <c r="C111" s="21">
        <v>85010</v>
      </c>
      <c r="D111" s="21" t="s">
        <v>716</v>
      </c>
      <c r="E111" s="21" t="s">
        <v>522</v>
      </c>
      <c r="F111" s="22" t="s">
        <v>717</v>
      </c>
      <c r="G111" s="4" t="s">
        <v>223</v>
      </c>
      <c r="H111" s="6">
        <v>147658.49</v>
      </c>
      <c r="I111" s="6">
        <f t="shared" ref="I111:I141" si="155">H111/365</f>
        <v>404.54380821917806</v>
      </c>
      <c r="J111" s="6">
        <v>134118.28709999999</v>
      </c>
      <c r="K111" s="6">
        <v>119242.81</v>
      </c>
      <c r="L111" s="6">
        <f t="shared" ref="L111:L122" si="156">K111/366</f>
        <v>325.80002732240439</v>
      </c>
      <c r="M111" s="6">
        <v>142442.94020000001</v>
      </c>
      <c r="N111" s="6">
        <v>117568.22</v>
      </c>
      <c r="O111" s="6">
        <f t="shared" ref="O111:O122" si="157">N111/365</f>
        <v>322.10471232876711</v>
      </c>
      <c r="P111" s="6">
        <v>112031.79949999999</v>
      </c>
      <c r="Q111" s="6">
        <v>38224.410000000003</v>
      </c>
      <c r="R111" s="6">
        <f>Q111/181</f>
        <v>211.18458563535913</v>
      </c>
      <c r="S111" s="6">
        <v>76228.584700000007</v>
      </c>
      <c r="T111" s="6">
        <f t="shared" si="80"/>
        <v>76228.584700000007</v>
      </c>
      <c r="U111" s="6">
        <f t="shared" si="81"/>
        <v>208.8454375342466</v>
      </c>
      <c r="V111" s="6">
        <v>52150.056100000002</v>
      </c>
      <c r="W111" s="6">
        <f t="shared" si="82"/>
        <v>52150.056100000002</v>
      </c>
      <c r="X111" s="6">
        <f t="shared" si="83"/>
        <v>142.87686602739726</v>
      </c>
      <c r="Y111" s="6">
        <v>35529.522400000002</v>
      </c>
      <c r="Z111" s="6">
        <f t="shared" si="84"/>
        <v>35529.522400000002</v>
      </c>
      <c r="AA111" s="6">
        <f t="shared" si="85"/>
        <v>97.341157260273974</v>
      </c>
      <c r="AB111" s="6">
        <v>24330.0425</v>
      </c>
      <c r="AC111" s="6">
        <f t="shared" si="86"/>
        <v>24330.0425</v>
      </c>
      <c r="AD111" s="6">
        <f t="shared" si="87"/>
        <v>66.657650684931511</v>
      </c>
      <c r="AE111" s="6">
        <v>16691.052100000001</v>
      </c>
      <c r="AF111" s="6">
        <f t="shared" si="88"/>
        <v>16691.052100000001</v>
      </c>
      <c r="AG111" s="6">
        <f t="shared" si="89"/>
        <v>45.728909863013698</v>
      </c>
      <c r="AH111" s="6">
        <v>11505.544099999999</v>
      </c>
      <c r="AI111" s="6">
        <f t="shared" si="90"/>
        <v>11505.544099999999</v>
      </c>
      <c r="AJ111" s="6">
        <f t="shared" si="91"/>
        <v>31.522038630136983</v>
      </c>
      <c r="AK111" s="6">
        <v>7893.5141000000003</v>
      </c>
      <c r="AL111" s="6">
        <f t="shared" si="92"/>
        <v>7893.5141000000003</v>
      </c>
      <c r="AM111" s="6">
        <f t="shared" si="93"/>
        <v>21.626066027397261</v>
      </c>
      <c r="AN111" s="6">
        <v>5439.9624999999996</v>
      </c>
      <c r="AO111" s="6">
        <f t="shared" si="94"/>
        <v>5439.9624999999996</v>
      </c>
      <c r="AP111" s="6">
        <f t="shared" si="95"/>
        <v>14.904006849315067</v>
      </c>
      <c r="AQ111" s="6">
        <v>3753.7784000000001</v>
      </c>
      <c r="AR111" s="6">
        <f t="shared" si="96"/>
        <v>3753.7784000000001</v>
      </c>
      <c r="AS111" s="6">
        <f t="shared" si="97"/>
        <v>10.284324383561644</v>
      </c>
      <c r="AT111" s="6">
        <v>2601.33</v>
      </c>
      <c r="AU111" s="6">
        <f t="shared" si="98"/>
        <v>2601.33</v>
      </c>
      <c r="AV111" s="6">
        <f t="shared" si="99"/>
        <v>7.1269315068493153</v>
      </c>
      <c r="AW111" s="6">
        <v>1793.3095000000001</v>
      </c>
      <c r="AX111" s="6">
        <f t="shared" si="100"/>
        <v>1793.3095000000001</v>
      </c>
      <c r="AY111" s="6">
        <f t="shared" si="101"/>
        <v>4.9131767123287675</v>
      </c>
      <c r="AZ111" s="6">
        <v>1241.3042</v>
      </c>
      <c r="BA111" s="6">
        <f t="shared" si="102"/>
        <v>1241.3042</v>
      </c>
      <c r="BB111" s="6">
        <f t="shared" si="103"/>
        <v>3.4008334246575345</v>
      </c>
      <c r="BC111" s="6">
        <v>859.93629999999996</v>
      </c>
      <c r="BD111" s="6">
        <f t="shared" si="104"/>
        <v>859.93629999999996</v>
      </c>
      <c r="BE111" s="6">
        <f t="shared" si="105"/>
        <v>2.3559898630136984</v>
      </c>
      <c r="BF111" s="6">
        <v>598.05229999999995</v>
      </c>
      <c r="BG111" s="6">
        <f t="shared" si="106"/>
        <v>598.05229999999995</v>
      </c>
      <c r="BH111" s="6">
        <f t="shared" si="107"/>
        <v>1.6384994520547944</v>
      </c>
      <c r="BI111" s="6">
        <v>0</v>
      </c>
      <c r="BJ111" s="6">
        <f t="shared" si="108"/>
        <v>0</v>
      </c>
      <c r="BK111" s="6">
        <f t="shared" si="109"/>
        <v>0</v>
      </c>
      <c r="BL111" s="6">
        <v>0</v>
      </c>
      <c r="BM111" s="6">
        <f t="shared" si="110"/>
        <v>0</v>
      </c>
      <c r="BN111" s="6">
        <f t="shared" si="111"/>
        <v>0</v>
      </c>
      <c r="BO111" s="6">
        <v>0</v>
      </c>
      <c r="BP111" s="6">
        <f t="shared" si="112"/>
        <v>0</v>
      </c>
      <c r="BQ111" s="6">
        <f t="shared" si="113"/>
        <v>0</v>
      </c>
      <c r="BR111" s="6">
        <v>0</v>
      </c>
      <c r="BS111" s="6">
        <f t="shared" si="114"/>
        <v>0</v>
      </c>
      <c r="BT111" s="6">
        <f t="shared" si="115"/>
        <v>0</v>
      </c>
      <c r="BU111" s="6">
        <v>0</v>
      </c>
      <c r="BV111" s="6">
        <f t="shared" si="116"/>
        <v>0</v>
      </c>
      <c r="BW111" s="6">
        <f t="shared" si="117"/>
        <v>0</v>
      </c>
      <c r="BX111" s="6">
        <v>0</v>
      </c>
      <c r="BY111" s="6">
        <f t="shared" si="118"/>
        <v>0</v>
      </c>
      <c r="BZ111" s="6">
        <f t="shared" si="119"/>
        <v>0</v>
      </c>
      <c r="CA111" s="6">
        <v>0</v>
      </c>
      <c r="CB111" s="6">
        <f t="shared" si="120"/>
        <v>0</v>
      </c>
      <c r="CC111" s="6">
        <f t="shared" si="121"/>
        <v>0</v>
      </c>
      <c r="CD111" s="6">
        <v>0</v>
      </c>
      <c r="CE111" s="6">
        <f t="shared" si="122"/>
        <v>0</v>
      </c>
      <c r="CF111" s="6">
        <f t="shared" si="123"/>
        <v>0</v>
      </c>
      <c r="CG111" s="6">
        <v>0</v>
      </c>
      <c r="CH111" s="6">
        <f t="shared" si="124"/>
        <v>0</v>
      </c>
      <c r="CI111" s="6">
        <f t="shared" si="125"/>
        <v>0</v>
      </c>
      <c r="CJ111" s="6">
        <v>0</v>
      </c>
      <c r="CK111" s="6">
        <f t="shared" si="126"/>
        <v>0</v>
      </c>
      <c r="CL111" s="6">
        <f t="shared" si="127"/>
        <v>0</v>
      </c>
      <c r="CM111" s="6">
        <v>0</v>
      </c>
      <c r="CN111" s="6">
        <f t="shared" si="128"/>
        <v>0</v>
      </c>
      <c r="CO111" s="6">
        <f t="shared" si="129"/>
        <v>0</v>
      </c>
      <c r="CP111" s="6">
        <v>0</v>
      </c>
      <c r="CQ111" s="6">
        <f t="shared" si="130"/>
        <v>0</v>
      </c>
      <c r="CR111" s="6">
        <f t="shared" si="131"/>
        <v>0</v>
      </c>
      <c r="CS111" s="6">
        <v>0</v>
      </c>
      <c r="CT111" s="6">
        <f t="shared" si="132"/>
        <v>0</v>
      </c>
      <c r="CU111" s="6">
        <f t="shared" si="133"/>
        <v>0</v>
      </c>
      <c r="CV111" s="6">
        <v>0</v>
      </c>
      <c r="CW111" s="6">
        <f t="shared" si="134"/>
        <v>0</v>
      </c>
      <c r="CX111" s="6">
        <f t="shared" si="135"/>
        <v>0</v>
      </c>
      <c r="CY111" s="6">
        <v>0</v>
      </c>
      <c r="CZ111" s="6">
        <f t="shared" si="136"/>
        <v>0</v>
      </c>
      <c r="DA111" s="6">
        <f t="shared" si="137"/>
        <v>0</v>
      </c>
      <c r="DB111" s="6">
        <v>0</v>
      </c>
      <c r="DC111" s="6">
        <f t="shared" si="138"/>
        <v>0</v>
      </c>
      <c r="DD111" s="6">
        <f t="shared" si="139"/>
        <v>0</v>
      </c>
      <c r="DE111" s="6">
        <v>0</v>
      </c>
      <c r="DF111" s="6">
        <f t="shared" si="140"/>
        <v>0</v>
      </c>
      <c r="DG111" s="6">
        <f t="shared" si="141"/>
        <v>0</v>
      </c>
      <c r="DH111" s="6">
        <v>0</v>
      </c>
      <c r="DI111" s="6">
        <f t="shared" si="142"/>
        <v>0</v>
      </c>
      <c r="DJ111" s="6">
        <f t="shared" si="143"/>
        <v>0</v>
      </c>
      <c r="DK111" s="6">
        <v>0</v>
      </c>
      <c r="DL111" s="6">
        <f t="shared" si="144"/>
        <v>0</v>
      </c>
      <c r="DM111" s="6">
        <f t="shared" si="145"/>
        <v>0</v>
      </c>
      <c r="DN111" s="6">
        <v>0</v>
      </c>
      <c r="DO111" s="6">
        <f t="shared" si="146"/>
        <v>0</v>
      </c>
      <c r="DP111" s="6">
        <f t="shared" si="147"/>
        <v>0</v>
      </c>
    </row>
    <row r="112" spans="1:120" x14ac:dyDescent="0.2">
      <c r="A112" s="21">
        <v>85</v>
      </c>
      <c r="B112" s="21" t="s">
        <v>612</v>
      </c>
      <c r="C112" s="21">
        <v>85230</v>
      </c>
      <c r="D112" s="21" t="s">
        <v>614</v>
      </c>
      <c r="E112" s="21" t="s">
        <v>592</v>
      </c>
      <c r="F112" s="22" t="s">
        <v>693</v>
      </c>
      <c r="G112" s="4" t="s">
        <v>224</v>
      </c>
      <c r="H112" s="6">
        <v>42211.11</v>
      </c>
      <c r="I112" s="6">
        <f t="shared" si="155"/>
        <v>115.64687671232876</v>
      </c>
      <c r="J112" s="6">
        <v>182590</v>
      </c>
      <c r="K112" s="6">
        <v>35712.65</v>
      </c>
      <c r="L112" s="6">
        <f t="shared" si="156"/>
        <v>97.575546448087437</v>
      </c>
      <c r="M112" s="6">
        <v>261882</v>
      </c>
      <c r="N112" s="6">
        <v>80.16</v>
      </c>
      <c r="O112" s="6">
        <f t="shared" si="157"/>
        <v>0.21961643835616437</v>
      </c>
      <c r="P112" s="6">
        <v>130541</v>
      </c>
      <c r="Q112" s="6"/>
      <c r="R112" s="6"/>
      <c r="S112" s="6">
        <v>83921</v>
      </c>
      <c r="T112" s="6">
        <f t="shared" si="80"/>
        <v>83921</v>
      </c>
      <c r="U112" s="6">
        <f t="shared" si="81"/>
        <v>229.92054794520547</v>
      </c>
      <c r="V112" s="6">
        <v>60643</v>
      </c>
      <c r="W112" s="6">
        <f t="shared" si="82"/>
        <v>60643</v>
      </c>
      <c r="X112" s="6">
        <f t="shared" si="83"/>
        <v>166.14520547945204</v>
      </c>
      <c r="Y112" s="6">
        <v>46345</v>
      </c>
      <c r="Z112" s="6">
        <f t="shared" si="84"/>
        <v>46345</v>
      </c>
      <c r="AA112" s="6">
        <f t="shared" si="85"/>
        <v>126.97260273972603</v>
      </c>
      <c r="AB112" s="6">
        <v>34927</v>
      </c>
      <c r="AC112" s="6">
        <f t="shared" si="86"/>
        <v>34927</v>
      </c>
      <c r="AD112" s="6">
        <f t="shared" si="87"/>
        <v>95.69041095890411</v>
      </c>
      <c r="AE112" s="6">
        <v>27410</v>
      </c>
      <c r="AF112" s="6">
        <f t="shared" si="88"/>
        <v>27410</v>
      </c>
      <c r="AG112" s="6">
        <f t="shared" si="89"/>
        <v>75.095890410958901</v>
      </c>
      <c r="AH112" s="6">
        <v>22963</v>
      </c>
      <c r="AI112" s="6">
        <f t="shared" si="90"/>
        <v>22963</v>
      </c>
      <c r="AJ112" s="6">
        <f t="shared" si="91"/>
        <v>62.912328767123284</v>
      </c>
      <c r="AK112" s="6">
        <v>19449</v>
      </c>
      <c r="AL112" s="6">
        <f t="shared" si="92"/>
        <v>19449</v>
      </c>
      <c r="AM112" s="6">
        <f t="shared" si="93"/>
        <v>53.284931506849318</v>
      </c>
      <c r="AN112" s="6">
        <v>16692</v>
      </c>
      <c r="AO112" s="6">
        <f t="shared" si="94"/>
        <v>16692</v>
      </c>
      <c r="AP112" s="6">
        <f t="shared" si="95"/>
        <v>45.731506849315068</v>
      </c>
      <c r="AQ112" s="6">
        <v>14473</v>
      </c>
      <c r="AR112" s="6">
        <f t="shared" si="96"/>
        <v>14473</v>
      </c>
      <c r="AS112" s="6">
        <f t="shared" si="97"/>
        <v>39.652054794520545</v>
      </c>
      <c r="AT112" s="6">
        <v>10601</v>
      </c>
      <c r="AU112" s="6">
        <f t="shared" si="98"/>
        <v>10601</v>
      </c>
      <c r="AV112" s="6">
        <f t="shared" si="99"/>
        <v>29.043835616438358</v>
      </c>
      <c r="AW112" s="6">
        <v>6691</v>
      </c>
      <c r="AX112" s="6">
        <f t="shared" si="100"/>
        <v>6691</v>
      </c>
      <c r="AY112" s="6">
        <f t="shared" si="101"/>
        <v>18.331506849315069</v>
      </c>
      <c r="AZ112" s="6">
        <v>5949</v>
      </c>
      <c r="BA112" s="6">
        <f t="shared" si="102"/>
        <v>5949</v>
      </c>
      <c r="BB112" s="6">
        <f t="shared" si="103"/>
        <v>16.298630136986301</v>
      </c>
      <c r="BC112" s="6">
        <v>5331</v>
      </c>
      <c r="BD112" s="6">
        <f t="shared" si="104"/>
        <v>5331</v>
      </c>
      <c r="BE112" s="6">
        <f t="shared" si="105"/>
        <v>14.605479452054794</v>
      </c>
      <c r="BF112" s="6">
        <v>0</v>
      </c>
      <c r="BG112" s="6">
        <f t="shared" si="106"/>
        <v>0</v>
      </c>
      <c r="BH112" s="6">
        <f t="shared" si="107"/>
        <v>0</v>
      </c>
      <c r="BI112" s="6">
        <v>0</v>
      </c>
      <c r="BJ112" s="6">
        <f t="shared" si="108"/>
        <v>0</v>
      </c>
      <c r="BK112" s="6">
        <f t="shared" si="109"/>
        <v>0</v>
      </c>
      <c r="BL112" s="6">
        <v>0</v>
      </c>
      <c r="BM112" s="6">
        <f t="shared" si="110"/>
        <v>0</v>
      </c>
      <c r="BN112" s="6">
        <f t="shared" si="111"/>
        <v>0</v>
      </c>
      <c r="BO112" s="6">
        <v>0</v>
      </c>
      <c r="BP112" s="6">
        <f t="shared" si="112"/>
        <v>0</v>
      </c>
      <c r="BQ112" s="6">
        <f t="shared" si="113"/>
        <v>0</v>
      </c>
      <c r="BR112" s="6">
        <v>0</v>
      </c>
      <c r="BS112" s="6">
        <f t="shared" si="114"/>
        <v>0</v>
      </c>
      <c r="BT112" s="6">
        <f t="shared" si="115"/>
        <v>0</v>
      </c>
      <c r="BU112" s="6">
        <v>0</v>
      </c>
      <c r="BV112" s="6">
        <f t="shared" si="116"/>
        <v>0</v>
      </c>
      <c r="BW112" s="6">
        <f t="shared" si="117"/>
        <v>0</v>
      </c>
      <c r="BX112" s="6">
        <v>0</v>
      </c>
      <c r="BY112" s="6">
        <f t="shared" si="118"/>
        <v>0</v>
      </c>
      <c r="BZ112" s="6">
        <f t="shared" si="119"/>
        <v>0</v>
      </c>
      <c r="CA112" s="6">
        <v>0</v>
      </c>
      <c r="CB112" s="6">
        <f t="shared" si="120"/>
        <v>0</v>
      </c>
      <c r="CC112" s="6">
        <f t="shared" si="121"/>
        <v>0</v>
      </c>
      <c r="CD112" s="6">
        <v>0</v>
      </c>
      <c r="CE112" s="6">
        <f t="shared" si="122"/>
        <v>0</v>
      </c>
      <c r="CF112" s="6">
        <f t="shared" si="123"/>
        <v>0</v>
      </c>
      <c r="CG112" s="6">
        <v>0</v>
      </c>
      <c r="CH112" s="6">
        <f t="shared" si="124"/>
        <v>0</v>
      </c>
      <c r="CI112" s="6">
        <f t="shared" si="125"/>
        <v>0</v>
      </c>
      <c r="CJ112" s="6">
        <v>0</v>
      </c>
      <c r="CK112" s="6">
        <f t="shared" si="126"/>
        <v>0</v>
      </c>
      <c r="CL112" s="6">
        <f t="shared" si="127"/>
        <v>0</v>
      </c>
      <c r="CM112" s="6">
        <v>0</v>
      </c>
      <c r="CN112" s="6">
        <f t="shared" si="128"/>
        <v>0</v>
      </c>
      <c r="CO112" s="6">
        <f t="shared" si="129"/>
        <v>0</v>
      </c>
      <c r="CP112" s="6">
        <v>0</v>
      </c>
      <c r="CQ112" s="6">
        <f t="shared" si="130"/>
        <v>0</v>
      </c>
      <c r="CR112" s="6">
        <f t="shared" si="131"/>
        <v>0</v>
      </c>
      <c r="CS112" s="6">
        <v>0</v>
      </c>
      <c r="CT112" s="6">
        <f t="shared" si="132"/>
        <v>0</v>
      </c>
      <c r="CU112" s="6">
        <f t="shared" si="133"/>
        <v>0</v>
      </c>
      <c r="CV112" s="6">
        <v>0</v>
      </c>
      <c r="CW112" s="6">
        <f t="shared" si="134"/>
        <v>0</v>
      </c>
      <c r="CX112" s="6">
        <f t="shared" si="135"/>
        <v>0</v>
      </c>
      <c r="CY112" s="6">
        <v>0</v>
      </c>
      <c r="CZ112" s="6">
        <f t="shared" si="136"/>
        <v>0</v>
      </c>
      <c r="DA112" s="6">
        <f t="shared" si="137"/>
        <v>0</v>
      </c>
      <c r="DB112" s="6">
        <v>0</v>
      </c>
      <c r="DC112" s="6">
        <f t="shared" si="138"/>
        <v>0</v>
      </c>
      <c r="DD112" s="6">
        <f t="shared" si="139"/>
        <v>0</v>
      </c>
      <c r="DE112" s="6">
        <v>0</v>
      </c>
      <c r="DF112" s="6">
        <f t="shared" si="140"/>
        <v>0</v>
      </c>
      <c r="DG112" s="6">
        <f t="shared" si="141"/>
        <v>0</v>
      </c>
      <c r="DH112" s="6">
        <v>0</v>
      </c>
      <c r="DI112" s="6">
        <f t="shared" si="142"/>
        <v>0</v>
      </c>
      <c r="DJ112" s="6">
        <f t="shared" si="143"/>
        <v>0</v>
      </c>
      <c r="DK112" s="6">
        <v>0</v>
      </c>
      <c r="DL112" s="6">
        <f t="shared" si="144"/>
        <v>0</v>
      </c>
      <c r="DM112" s="6">
        <f t="shared" si="145"/>
        <v>0</v>
      </c>
      <c r="DN112" s="6">
        <v>0</v>
      </c>
      <c r="DO112" s="6">
        <f t="shared" si="146"/>
        <v>0</v>
      </c>
      <c r="DP112" s="6">
        <f t="shared" si="147"/>
        <v>0</v>
      </c>
    </row>
    <row r="113" spans="1:120" x14ac:dyDescent="0.2">
      <c r="A113" s="21">
        <v>85</v>
      </c>
      <c r="B113" s="21" t="s">
        <v>612</v>
      </c>
      <c r="C113" s="21">
        <v>85410</v>
      </c>
      <c r="D113" s="21" t="s">
        <v>691</v>
      </c>
      <c r="E113" s="21" t="s">
        <v>522</v>
      </c>
      <c r="F113" s="22" t="s">
        <v>662</v>
      </c>
      <c r="G113" s="4" t="s">
        <v>225</v>
      </c>
      <c r="H113" s="6">
        <v>249380.44</v>
      </c>
      <c r="I113" s="6">
        <f t="shared" si="155"/>
        <v>683.23408219178077</v>
      </c>
      <c r="J113" s="6">
        <v>184172.8627</v>
      </c>
      <c r="K113" s="6">
        <v>218694.03</v>
      </c>
      <c r="L113" s="6">
        <f t="shared" si="156"/>
        <v>597.52467213114755</v>
      </c>
      <c r="M113" s="6">
        <v>165725.1544</v>
      </c>
      <c r="N113" s="6">
        <v>157206.10999999999</v>
      </c>
      <c r="O113" s="6">
        <f t="shared" si="157"/>
        <v>430.70167123287666</v>
      </c>
      <c r="P113" s="6">
        <v>135840.7279</v>
      </c>
      <c r="Q113" s="6">
        <v>70390.039999999994</v>
      </c>
      <c r="R113" s="6">
        <f t="shared" ref="R113:R122" si="158">Q113/181</f>
        <v>388.89524861878448</v>
      </c>
      <c r="S113" s="6">
        <v>113652.9332</v>
      </c>
      <c r="T113" s="6">
        <f t="shared" si="80"/>
        <v>113652.9332</v>
      </c>
      <c r="U113" s="6">
        <f t="shared" si="81"/>
        <v>311.3778991780822</v>
      </c>
      <c r="V113" s="6">
        <v>97319.120299999995</v>
      </c>
      <c r="W113" s="6">
        <f t="shared" si="82"/>
        <v>97319.120299999995</v>
      </c>
      <c r="X113" s="6">
        <f t="shared" si="83"/>
        <v>266.62772684931508</v>
      </c>
      <c r="Y113" s="6">
        <v>83844.554999999993</v>
      </c>
      <c r="Z113" s="6">
        <f t="shared" si="84"/>
        <v>83844.554999999993</v>
      </c>
      <c r="AA113" s="6">
        <f t="shared" si="85"/>
        <v>229.71110958904109</v>
      </c>
      <c r="AB113" s="6">
        <v>72892.844700000001</v>
      </c>
      <c r="AC113" s="6">
        <f t="shared" si="86"/>
        <v>72892.844700000001</v>
      </c>
      <c r="AD113" s="6">
        <f t="shared" si="87"/>
        <v>199.70642383561645</v>
      </c>
      <c r="AE113" s="6">
        <v>63663.561999999998</v>
      </c>
      <c r="AF113" s="6">
        <f t="shared" si="88"/>
        <v>63663.561999999998</v>
      </c>
      <c r="AG113" s="6">
        <f t="shared" si="89"/>
        <v>174.42071780821917</v>
      </c>
      <c r="AH113" s="6">
        <v>55951.248</v>
      </c>
      <c r="AI113" s="6">
        <f t="shared" si="90"/>
        <v>55951.248</v>
      </c>
      <c r="AJ113" s="6">
        <f t="shared" si="91"/>
        <v>153.2910904109589</v>
      </c>
      <c r="AK113" s="6">
        <v>49018.279000000002</v>
      </c>
      <c r="AL113" s="6">
        <f t="shared" si="92"/>
        <v>49018.279000000002</v>
      </c>
      <c r="AM113" s="6">
        <f t="shared" si="93"/>
        <v>134.29665479452055</v>
      </c>
      <c r="AN113" s="6">
        <v>43149.58</v>
      </c>
      <c r="AO113" s="6">
        <f t="shared" si="94"/>
        <v>43149.58</v>
      </c>
      <c r="AP113" s="6">
        <f t="shared" si="95"/>
        <v>118.21802739726027</v>
      </c>
      <c r="AQ113" s="6">
        <v>38036.9545</v>
      </c>
      <c r="AR113" s="6">
        <f t="shared" si="96"/>
        <v>38036.9545</v>
      </c>
      <c r="AS113" s="6">
        <f t="shared" si="97"/>
        <v>104.21083424657535</v>
      </c>
      <c r="AT113" s="6">
        <v>33660.9084</v>
      </c>
      <c r="AU113" s="6">
        <f t="shared" si="98"/>
        <v>33660.9084</v>
      </c>
      <c r="AV113" s="6">
        <f t="shared" si="99"/>
        <v>92.221666849315071</v>
      </c>
      <c r="AW113" s="6">
        <v>0</v>
      </c>
      <c r="AX113" s="6">
        <f t="shared" si="100"/>
        <v>0</v>
      </c>
      <c r="AY113" s="6">
        <f t="shared" si="101"/>
        <v>0</v>
      </c>
      <c r="AZ113" s="6">
        <v>0</v>
      </c>
      <c r="BA113" s="6">
        <f t="shared" si="102"/>
        <v>0</v>
      </c>
      <c r="BB113" s="6">
        <f t="shared" si="103"/>
        <v>0</v>
      </c>
      <c r="BC113" s="6">
        <v>0</v>
      </c>
      <c r="BD113" s="6">
        <f t="shared" si="104"/>
        <v>0</v>
      </c>
      <c r="BE113" s="6">
        <f t="shared" si="105"/>
        <v>0</v>
      </c>
      <c r="BF113" s="6">
        <v>0</v>
      </c>
      <c r="BG113" s="6">
        <f t="shared" si="106"/>
        <v>0</v>
      </c>
      <c r="BH113" s="6">
        <f t="shared" si="107"/>
        <v>0</v>
      </c>
      <c r="BI113" s="6">
        <v>0</v>
      </c>
      <c r="BJ113" s="6">
        <f t="shared" si="108"/>
        <v>0</v>
      </c>
      <c r="BK113" s="6">
        <f t="shared" si="109"/>
        <v>0</v>
      </c>
      <c r="BL113" s="6">
        <v>0</v>
      </c>
      <c r="BM113" s="6">
        <f t="shared" si="110"/>
        <v>0</v>
      </c>
      <c r="BN113" s="6">
        <f t="shared" si="111"/>
        <v>0</v>
      </c>
      <c r="BO113" s="6">
        <v>0</v>
      </c>
      <c r="BP113" s="6">
        <f t="shared" si="112"/>
        <v>0</v>
      </c>
      <c r="BQ113" s="6">
        <f t="shared" si="113"/>
        <v>0</v>
      </c>
      <c r="BR113" s="6">
        <v>0</v>
      </c>
      <c r="BS113" s="6">
        <f t="shared" si="114"/>
        <v>0</v>
      </c>
      <c r="BT113" s="6">
        <f t="shared" si="115"/>
        <v>0</v>
      </c>
      <c r="BU113" s="6">
        <v>0</v>
      </c>
      <c r="BV113" s="6">
        <f t="shared" si="116"/>
        <v>0</v>
      </c>
      <c r="BW113" s="6">
        <f t="shared" si="117"/>
        <v>0</v>
      </c>
      <c r="BX113" s="6">
        <v>0</v>
      </c>
      <c r="BY113" s="6">
        <f t="shared" si="118"/>
        <v>0</v>
      </c>
      <c r="BZ113" s="6">
        <f t="shared" si="119"/>
        <v>0</v>
      </c>
      <c r="CA113" s="6">
        <v>0</v>
      </c>
      <c r="CB113" s="6">
        <f t="shared" si="120"/>
        <v>0</v>
      </c>
      <c r="CC113" s="6">
        <f t="shared" si="121"/>
        <v>0</v>
      </c>
      <c r="CD113" s="6">
        <v>0</v>
      </c>
      <c r="CE113" s="6">
        <f t="shared" si="122"/>
        <v>0</v>
      </c>
      <c r="CF113" s="6">
        <f t="shared" si="123"/>
        <v>0</v>
      </c>
      <c r="CG113" s="6">
        <v>0</v>
      </c>
      <c r="CH113" s="6">
        <f t="shared" si="124"/>
        <v>0</v>
      </c>
      <c r="CI113" s="6">
        <f t="shared" si="125"/>
        <v>0</v>
      </c>
      <c r="CJ113" s="6">
        <v>0</v>
      </c>
      <c r="CK113" s="6">
        <f t="shared" si="126"/>
        <v>0</v>
      </c>
      <c r="CL113" s="6">
        <f t="shared" si="127"/>
        <v>0</v>
      </c>
      <c r="CM113" s="6">
        <v>0</v>
      </c>
      <c r="CN113" s="6">
        <f t="shared" si="128"/>
        <v>0</v>
      </c>
      <c r="CO113" s="6">
        <f t="shared" si="129"/>
        <v>0</v>
      </c>
      <c r="CP113" s="6">
        <v>0</v>
      </c>
      <c r="CQ113" s="6">
        <f t="shared" si="130"/>
        <v>0</v>
      </c>
      <c r="CR113" s="6">
        <f t="shared" si="131"/>
        <v>0</v>
      </c>
      <c r="CS113" s="6">
        <v>0</v>
      </c>
      <c r="CT113" s="6">
        <f t="shared" si="132"/>
        <v>0</v>
      </c>
      <c r="CU113" s="6">
        <f t="shared" si="133"/>
        <v>0</v>
      </c>
      <c r="CV113" s="6">
        <v>0</v>
      </c>
      <c r="CW113" s="6">
        <f t="shared" si="134"/>
        <v>0</v>
      </c>
      <c r="CX113" s="6">
        <f t="shared" si="135"/>
        <v>0</v>
      </c>
      <c r="CY113" s="6">
        <v>0</v>
      </c>
      <c r="CZ113" s="6">
        <f t="shared" si="136"/>
        <v>0</v>
      </c>
      <c r="DA113" s="6">
        <f t="shared" si="137"/>
        <v>0</v>
      </c>
      <c r="DB113" s="6">
        <v>0</v>
      </c>
      <c r="DC113" s="6">
        <f t="shared" si="138"/>
        <v>0</v>
      </c>
      <c r="DD113" s="6">
        <f t="shared" si="139"/>
        <v>0</v>
      </c>
      <c r="DE113" s="6">
        <v>0</v>
      </c>
      <c r="DF113" s="6">
        <f t="shared" si="140"/>
        <v>0</v>
      </c>
      <c r="DG113" s="6">
        <f t="shared" si="141"/>
        <v>0</v>
      </c>
      <c r="DH113" s="6">
        <v>0</v>
      </c>
      <c r="DI113" s="6">
        <f t="shared" si="142"/>
        <v>0</v>
      </c>
      <c r="DJ113" s="6">
        <f t="shared" si="143"/>
        <v>0</v>
      </c>
      <c r="DK113" s="6">
        <v>0</v>
      </c>
      <c r="DL113" s="6">
        <f t="shared" si="144"/>
        <v>0</v>
      </c>
      <c r="DM113" s="6">
        <f t="shared" si="145"/>
        <v>0</v>
      </c>
      <c r="DN113" s="6">
        <v>0</v>
      </c>
      <c r="DO113" s="6">
        <f t="shared" si="146"/>
        <v>0</v>
      </c>
      <c r="DP113" s="6">
        <f t="shared" si="147"/>
        <v>0</v>
      </c>
    </row>
    <row r="114" spans="1:120" x14ac:dyDescent="0.2">
      <c r="A114" s="21">
        <v>85</v>
      </c>
      <c r="B114" s="21" t="s">
        <v>612</v>
      </c>
      <c r="C114" s="21">
        <v>85230</v>
      </c>
      <c r="D114" s="21" t="s">
        <v>614</v>
      </c>
      <c r="E114" s="21" t="s">
        <v>699</v>
      </c>
      <c r="F114" s="22" t="s">
        <v>669</v>
      </c>
      <c r="G114" s="4" t="s">
        <v>226</v>
      </c>
      <c r="H114" s="6">
        <v>61807.43</v>
      </c>
      <c r="I114" s="6">
        <f t="shared" si="155"/>
        <v>169.33542465753425</v>
      </c>
      <c r="J114" s="6">
        <v>98729.029200000004</v>
      </c>
      <c r="K114" s="6">
        <v>49269.24</v>
      </c>
      <c r="L114" s="6">
        <f t="shared" si="156"/>
        <v>134.61540983606557</v>
      </c>
      <c r="M114" s="6">
        <v>70807.967600000004</v>
      </c>
      <c r="N114" s="6">
        <v>39185.31</v>
      </c>
      <c r="O114" s="6">
        <f t="shared" si="157"/>
        <v>107.35701369863013</v>
      </c>
      <c r="P114" s="6">
        <v>153757</v>
      </c>
      <c r="Q114" s="6">
        <v>2952.15</v>
      </c>
      <c r="R114" s="6">
        <f t="shared" si="158"/>
        <v>16.310220994475138</v>
      </c>
      <c r="S114" s="6">
        <v>119957</v>
      </c>
      <c r="T114" s="6">
        <f t="shared" si="80"/>
        <v>119957</v>
      </c>
      <c r="U114" s="6">
        <f t="shared" si="81"/>
        <v>328.64931506849314</v>
      </c>
      <c r="V114" s="6">
        <v>77861</v>
      </c>
      <c r="W114" s="6">
        <f t="shared" si="82"/>
        <v>77861</v>
      </c>
      <c r="X114" s="6">
        <f t="shared" si="83"/>
        <v>213.31780821917809</v>
      </c>
      <c r="Y114" s="6">
        <v>51473</v>
      </c>
      <c r="Z114" s="6">
        <f t="shared" si="84"/>
        <v>51473</v>
      </c>
      <c r="AA114" s="6">
        <f t="shared" si="85"/>
        <v>141.02191780821917</v>
      </c>
      <c r="AB114" s="6">
        <v>0</v>
      </c>
      <c r="AC114" s="6">
        <f t="shared" si="86"/>
        <v>0</v>
      </c>
      <c r="AD114" s="6">
        <f t="shared" si="87"/>
        <v>0</v>
      </c>
      <c r="AE114" s="6">
        <v>0</v>
      </c>
      <c r="AF114" s="6">
        <f t="shared" si="88"/>
        <v>0</v>
      </c>
      <c r="AG114" s="6">
        <f t="shared" si="89"/>
        <v>0</v>
      </c>
      <c r="AH114" s="6">
        <v>0</v>
      </c>
      <c r="AI114" s="6">
        <f t="shared" si="90"/>
        <v>0</v>
      </c>
      <c r="AJ114" s="6">
        <f t="shared" si="91"/>
        <v>0</v>
      </c>
      <c r="AK114" s="6">
        <v>0</v>
      </c>
      <c r="AL114" s="6">
        <f t="shared" si="92"/>
        <v>0</v>
      </c>
      <c r="AM114" s="6">
        <f t="shared" si="93"/>
        <v>0</v>
      </c>
      <c r="AN114" s="6">
        <v>0</v>
      </c>
      <c r="AO114" s="6">
        <f t="shared" si="94"/>
        <v>0</v>
      </c>
      <c r="AP114" s="6">
        <f t="shared" si="95"/>
        <v>0</v>
      </c>
      <c r="AQ114" s="6">
        <v>0</v>
      </c>
      <c r="AR114" s="6">
        <f t="shared" si="96"/>
        <v>0</v>
      </c>
      <c r="AS114" s="6">
        <f t="shared" si="97"/>
        <v>0</v>
      </c>
      <c r="AT114" s="6">
        <v>0</v>
      </c>
      <c r="AU114" s="6">
        <f t="shared" si="98"/>
        <v>0</v>
      </c>
      <c r="AV114" s="6">
        <f t="shared" si="99"/>
        <v>0</v>
      </c>
      <c r="AW114" s="6">
        <v>0</v>
      </c>
      <c r="AX114" s="6">
        <f t="shared" si="100"/>
        <v>0</v>
      </c>
      <c r="AY114" s="6">
        <f t="shared" si="101"/>
        <v>0</v>
      </c>
      <c r="AZ114" s="6">
        <v>0</v>
      </c>
      <c r="BA114" s="6">
        <f t="shared" si="102"/>
        <v>0</v>
      </c>
      <c r="BB114" s="6">
        <f t="shared" si="103"/>
        <v>0</v>
      </c>
      <c r="BC114" s="6">
        <v>0</v>
      </c>
      <c r="BD114" s="6">
        <f t="shared" si="104"/>
        <v>0</v>
      </c>
      <c r="BE114" s="6">
        <f t="shared" si="105"/>
        <v>0</v>
      </c>
      <c r="BF114" s="6">
        <v>0</v>
      </c>
      <c r="BG114" s="6">
        <f t="shared" si="106"/>
        <v>0</v>
      </c>
      <c r="BH114" s="6">
        <f t="shared" si="107"/>
        <v>0</v>
      </c>
      <c r="BI114" s="6">
        <v>0</v>
      </c>
      <c r="BJ114" s="6">
        <f t="shared" si="108"/>
        <v>0</v>
      </c>
      <c r="BK114" s="6">
        <f t="shared" si="109"/>
        <v>0</v>
      </c>
      <c r="BL114" s="6">
        <v>0</v>
      </c>
      <c r="BM114" s="6">
        <f t="shared" si="110"/>
        <v>0</v>
      </c>
      <c r="BN114" s="6">
        <f t="shared" si="111"/>
        <v>0</v>
      </c>
      <c r="BO114" s="6">
        <v>0</v>
      </c>
      <c r="BP114" s="6">
        <f t="shared" si="112"/>
        <v>0</v>
      </c>
      <c r="BQ114" s="6">
        <f t="shared" si="113"/>
        <v>0</v>
      </c>
      <c r="BR114" s="6">
        <v>0</v>
      </c>
      <c r="BS114" s="6">
        <f t="shared" si="114"/>
        <v>0</v>
      </c>
      <c r="BT114" s="6">
        <f t="shared" si="115"/>
        <v>0</v>
      </c>
      <c r="BU114" s="6">
        <v>0</v>
      </c>
      <c r="BV114" s="6">
        <f t="shared" si="116"/>
        <v>0</v>
      </c>
      <c r="BW114" s="6">
        <f t="shared" si="117"/>
        <v>0</v>
      </c>
      <c r="BX114" s="6">
        <v>0</v>
      </c>
      <c r="BY114" s="6">
        <f t="shared" si="118"/>
        <v>0</v>
      </c>
      <c r="BZ114" s="6">
        <f t="shared" si="119"/>
        <v>0</v>
      </c>
      <c r="CA114" s="6">
        <v>0</v>
      </c>
      <c r="CB114" s="6">
        <f t="shared" si="120"/>
        <v>0</v>
      </c>
      <c r="CC114" s="6">
        <f t="shared" si="121"/>
        <v>0</v>
      </c>
      <c r="CD114" s="6">
        <v>0</v>
      </c>
      <c r="CE114" s="6">
        <f t="shared" si="122"/>
        <v>0</v>
      </c>
      <c r="CF114" s="6">
        <f t="shared" si="123"/>
        <v>0</v>
      </c>
      <c r="CG114" s="6">
        <v>0</v>
      </c>
      <c r="CH114" s="6">
        <f t="shared" si="124"/>
        <v>0</v>
      </c>
      <c r="CI114" s="6">
        <f t="shared" si="125"/>
        <v>0</v>
      </c>
      <c r="CJ114" s="6">
        <v>0</v>
      </c>
      <c r="CK114" s="6">
        <f t="shared" si="126"/>
        <v>0</v>
      </c>
      <c r="CL114" s="6">
        <f t="shared" si="127"/>
        <v>0</v>
      </c>
      <c r="CM114" s="6">
        <v>0</v>
      </c>
      <c r="CN114" s="6">
        <f t="shared" si="128"/>
        <v>0</v>
      </c>
      <c r="CO114" s="6">
        <f t="shared" si="129"/>
        <v>0</v>
      </c>
      <c r="CP114" s="6">
        <v>0</v>
      </c>
      <c r="CQ114" s="6">
        <f t="shared" si="130"/>
        <v>0</v>
      </c>
      <c r="CR114" s="6">
        <f t="shared" si="131"/>
        <v>0</v>
      </c>
      <c r="CS114" s="6">
        <v>0</v>
      </c>
      <c r="CT114" s="6">
        <f t="shared" si="132"/>
        <v>0</v>
      </c>
      <c r="CU114" s="6">
        <f t="shared" si="133"/>
        <v>0</v>
      </c>
      <c r="CV114" s="6">
        <v>0</v>
      </c>
      <c r="CW114" s="6">
        <f t="shared" si="134"/>
        <v>0</v>
      </c>
      <c r="CX114" s="6">
        <f t="shared" si="135"/>
        <v>0</v>
      </c>
      <c r="CY114" s="6">
        <v>0</v>
      </c>
      <c r="CZ114" s="6">
        <f t="shared" si="136"/>
        <v>0</v>
      </c>
      <c r="DA114" s="6">
        <f t="shared" si="137"/>
        <v>0</v>
      </c>
      <c r="DB114" s="6">
        <v>0</v>
      </c>
      <c r="DC114" s="6">
        <f t="shared" si="138"/>
        <v>0</v>
      </c>
      <c r="DD114" s="6">
        <f t="shared" si="139"/>
        <v>0</v>
      </c>
      <c r="DE114" s="6">
        <v>0</v>
      </c>
      <c r="DF114" s="6">
        <f t="shared" si="140"/>
        <v>0</v>
      </c>
      <c r="DG114" s="6">
        <f t="shared" si="141"/>
        <v>0</v>
      </c>
      <c r="DH114" s="6">
        <v>0</v>
      </c>
      <c r="DI114" s="6">
        <f t="shared" si="142"/>
        <v>0</v>
      </c>
      <c r="DJ114" s="6">
        <f t="shared" si="143"/>
        <v>0</v>
      </c>
      <c r="DK114" s="6">
        <v>0</v>
      </c>
      <c r="DL114" s="6">
        <f t="shared" si="144"/>
        <v>0</v>
      </c>
      <c r="DM114" s="6">
        <f t="shared" si="145"/>
        <v>0</v>
      </c>
      <c r="DN114" s="6">
        <v>0</v>
      </c>
      <c r="DO114" s="6">
        <f t="shared" si="146"/>
        <v>0</v>
      </c>
      <c r="DP114" s="6">
        <f t="shared" si="147"/>
        <v>0</v>
      </c>
    </row>
    <row r="115" spans="1:120" x14ac:dyDescent="0.2">
      <c r="A115" s="21">
        <v>41</v>
      </c>
      <c r="B115" s="21" t="s">
        <v>687</v>
      </c>
      <c r="C115" s="21">
        <v>41016</v>
      </c>
      <c r="D115" s="21" t="s">
        <v>688</v>
      </c>
      <c r="E115" s="21" t="s">
        <v>522</v>
      </c>
      <c r="F115" s="22" t="s">
        <v>666</v>
      </c>
      <c r="G115" s="4" t="s">
        <v>227</v>
      </c>
      <c r="H115" s="6">
        <v>206657.87</v>
      </c>
      <c r="I115" s="6">
        <f t="shared" si="155"/>
        <v>566.18594520547947</v>
      </c>
      <c r="J115" s="6">
        <v>198576</v>
      </c>
      <c r="K115" s="6">
        <v>243987.49</v>
      </c>
      <c r="L115" s="6">
        <f t="shared" si="156"/>
        <v>666.63248633879778</v>
      </c>
      <c r="M115" s="6">
        <v>164153</v>
      </c>
      <c r="N115" s="6">
        <v>237665.92000000001</v>
      </c>
      <c r="O115" s="6">
        <f t="shared" si="157"/>
        <v>651.13950684931513</v>
      </c>
      <c r="P115" s="6">
        <v>0</v>
      </c>
      <c r="Q115" s="6">
        <v>119332.29</v>
      </c>
      <c r="R115" s="6">
        <f t="shared" si="158"/>
        <v>659.29441988950271</v>
      </c>
      <c r="S115" s="6">
        <v>0</v>
      </c>
      <c r="T115" s="6">
        <f t="shared" si="80"/>
        <v>0</v>
      </c>
      <c r="U115" s="6">
        <f t="shared" si="81"/>
        <v>0</v>
      </c>
      <c r="V115" s="6">
        <v>0</v>
      </c>
      <c r="W115" s="6">
        <f t="shared" si="82"/>
        <v>0</v>
      </c>
      <c r="X115" s="6">
        <f t="shared" si="83"/>
        <v>0</v>
      </c>
      <c r="Y115" s="6">
        <v>0</v>
      </c>
      <c r="Z115" s="6">
        <f t="shared" si="84"/>
        <v>0</v>
      </c>
      <c r="AA115" s="6">
        <f t="shared" si="85"/>
        <v>0</v>
      </c>
      <c r="AB115" s="6">
        <v>0</v>
      </c>
      <c r="AC115" s="6">
        <f t="shared" si="86"/>
        <v>0</v>
      </c>
      <c r="AD115" s="6">
        <f t="shared" si="87"/>
        <v>0</v>
      </c>
      <c r="AE115" s="6">
        <v>0</v>
      </c>
      <c r="AF115" s="6">
        <f t="shared" si="88"/>
        <v>0</v>
      </c>
      <c r="AG115" s="6">
        <f t="shared" si="89"/>
        <v>0</v>
      </c>
      <c r="AH115" s="6">
        <v>0</v>
      </c>
      <c r="AI115" s="6">
        <f t="shared" si="90"/>
        <v>0</v>
      </c>
      <c r="AJ115" s="6">
        <f t="shared" si="91"/>
        <v>0</v>
      </c>
      <c r="AK115" s="6">
        <v>0</v>
      </c>
      <c r="AL115" s="6">
        <f t="shared" si="92"/>
        <v>0</v>
      </c>
      <c r="AM115" s="6">
        <f t="shared" si="93"/>
        <v>0</v>
      </c>
      <c r="AN115" s="6">
        <v>0</v>
      </c>
      <c r="AO115" s="6">
        <f t="shared" si="94"/>
        <v>0</v>
      </c>
      <c r="AP115" s="6">
        <f t="shared" si="95"/>
        <v>0</v>
      </c>
      <c r="AQ115" s="6">
        <v>0</v>
      </c>
      <c r="AR115" s="6">
        <f t="shared" si="96"/>
        <v>0</v>
      </c>
      <c r="AS115" s="6">
        <f t="shared" si="97"/>
        <v>0</v>
      </c>
      <c r="AT115" s="6">
        <v>0</v>
      </c>
      <c r="AU115" s="6">
        <f t="shared" si="98"/>
        <v>0</v>
      </c>
      <c r="AV115" s="6">
        <f t="shared" si="99"/>
        <v>0</v>
      </c>
      <c r="AW115" s="6">
        <v>0</v>
      </c>
      <c r="AX115" s="6">
        <f t="shared" si="100"/>
        <v>0</v>
      </c>
      <c r="AY115" s="6">
        <f t="shared" si="101"/>
        <v>0</v>
      </c>
      <c r="AZ115" s="6">
        <v>0</v>
      </c>
      <c r="BA115" s="6">
        <f t="shared" si="102"/>
        <v>0</v>
      </c>
      <c r="BB115" s="6">
        <f t="shared" si="103"/>
        <v>0</v>
      </c>
      <c r="BC115" s="6">
        <v>0</v>
      </c>
      <c r="BD115" s="6">
        <f t="shared" si="104"/>
        <v>0</v>
      </c>
      <c r="BE115" s="6">
        <f t="shared" si="105"/>
        <v>0</v>
      </c>
      <c r="BF115" s="6">
        <v>0</v>
      </c>
      <c r="BG115" s="6">
        <f t="shared" si="106"/>
        <v>0</v>
      </c>
      <c r="BH115" s="6">
        <f t="shared" si="107"/>
        <v>0</v>
      </c>
      <c r="BI115" s="6">
        <v>0</v>
      </c>
      <c r="BJ115" s="6">
        <f t="shared" si="108"/>
        <v>0</v>
      </c>
      <c r="BK115" s="6">
        <f t="shared" si="109"/>
        <v>0</v>
      </c>
      <c r="BL115" s="6">
        <v>0</v>
      </c>
      <c r="BM115" s="6">
        <f t="shared" si="110"/>
        <v>0</v>
      </c>
      <c r="BN115" s="6">
        <f t="shared" si="111"/>
        <v>0</v>
      </c>
      <c r="BO115" s="6">
        <v>0</v>
      </c>
      <c r="BP115" s="6">
        <f t="shared" si="112"/>
        <v>0</v>
      </c>
      <c r="BQ115" s="6">
        <f t="shared" si="113"/>
        <v>0</v>
      </c>
      <c r="BR115" s="6">
        <v>0</v>
      </c>
      <c r="BS115" s="6">
        <f t="shared" si="114"/>
        <v>0</v>
      </c>
      <c r="BT115" s="6">
        <f t="shared" si="115"/>
        <v>0</v>
      </c>
      <c r="BU115" s="6">
        <v>0</v>
      </c>
      <c r="BV115" s="6">
        <f t="shared" si="116"/>
        <v>0</v>
      </c>
      <c r="BW115" s="6">
        <f t="shared" si="117"/>
        <v>0</v>
      </c>
      <c r="BX115" s="6">
        <v>0</v>
      </c>
      <c r="BY115" s="6">
        <f t="shared" si="118"/>
        <v>0</v>
      </c>
      <c r="BZ115" s="6">
        <f t="shared" si="119"/>
        <v>0</v>
      </c>
      <c r="CA115" s="6">
        <v>0</v>
      </c>
      <c r="CB115" s="6">
        <f t="shared" si="120"/>
        <v>0</v>
      </c>
      <c r="CC115" s="6">
        <f t="shared" si="121"/>
        <v>0</v>
      </c>
      <c r="CD115" s="6">
        <v>0</v>
      </c>
      <c r="CE115" s="6">
        <f t="shared" si="122"/>
        <v>0</v>
      </c>
      <c r="CF115" s="6">
        <f t="shared" si="123"/>
        <v>0</v>
      </c>
      <c r="CG115" s="6">
        <v>0</v>
      </c>
      <c r="CH115" s="6">
        <f t="shared" si="124"/>
        <v>0</v>
      </c>
      <c r="CI115" s="6">
        <f t="shared" si="125"/>
        <v>0</v>
      </c>
      <c r="CJ115" s="6">
        <v>0</v>
      </c>
      <c r="CK115" s="6">
        <f t="shared" si="126"/>
        <v>0</v>
      </c>
      <c r="CL115" s="6">
        <f t="shared" si="127"/>
        <v>0</v>
      </c>
      <c r="CM115" s="6">
        <v>0</v>
      </c>
      <c r="CN115" s="6">
        <f t="shared" si="128"/>
        <v>0</v>
      </c>
      <c r="CO115" s="6">
        <f t="shared" si="129"/>
        <v>0</v>
      </c>
      <c r="CP115" s="6">
        <v>0</v>
      </c>
      <c r="CQ115" s="6">
        <f t="shared" si="130"/>
        <v>0</v>
      </c>
      <c r="CR115" s="6">
        <f t="shared" si="131"/>
        <v>0</v>
      </c>
      <c r="CS115" s="6">
        <v>0</v>
      </c>
      <c r="CT115" s="6">
        <f t="shared" si="132"/>
        <v>0</v>
      </c>
      <c r="CU115" s="6">
        <f t="shared" si="133"/>
        <v>0</v>
      </c>
      <c r="CV115" s="6">
        <v>0</v>
      </c>
      <c r="CW115" s="6">
        <f t="shared" si="134"/>
        <v>0</v>
      </c>
      <c r="CX115" s="6">
        <f t="shared" si="135"/>
        <v>0</v>
      </c>
      <c r="CY115" s="6">
        <v>0</v>
      </c>
      <c r="CZ115" s="6">
        <f t="shared" si="136"/>
        <v>0</v>
      </c>
      <c r="DA115" s="6">
        <f t="shared" si="137"/>
        <v>0</v>
      </c>
      <c r="DB115" s="6">
        <v>0</v>
      </c>
      <c r="DC115" s="6">
        <f t="shared" si="138"/>
        <v>0</v>
      </c>
      <c r="DD115" s="6">
        <f t="shared" si="139"/>
        <v>0</v>
      </c>
      <c r="DE115" s="6">
        <v>0</v>
      </c>
      <c r="DF115" s="6">
        <f t="shared" si="140"/>
        <v>0</v>
      </c>
      <c r="DG115" s="6">
        <f t="shared" si="141"/>
        <v>0</v>
      </c>
      <c r="DH115" s="6">
        <v>0</v>
      </c>
      <c r="DI115" s="6">
        <f t="shared" si="142"/>
        <v>0</v>
      </c>
      <c r="DJ115" s="6">
        <f t="shared" si="143"/>
        <v>0</v>
      </c>
      <c r="DK115" s="6">
        <v>0</v>
      </c>
      <c r="DL115" s="6">
        <f t="shared" si="144"/>
        <v>0</v>
      </c>
      <c r="DM115" s="6">
        <f t="shared" si="145"/>
        <v>0</v>
      </c>
      <c r="DN115" s="6">
        <v>0</v>
      </c>
      <c r="DO115" s="6">
        <f t="shared" si="146"/>
        <v>0</v>
      </c>
      <c r="DP115" s="6">
        <f t="shared" si="147"/>
        <v>0</v>
      </c>
    </row>
    <row r="116" spans="1:120" x14ac:dyDescent="0.2">
      <c r="A116" s="21">
        <v>41</v>
      </c>
      <c r="B116" s="21" t="s">
        <v>687</v>
      </c>
      <c r="C116" s="21">
        <v>41016</v>
      </c>
      <c r="D116" s="21" t="s">
        <v>688</v>
      </c>
      <c r="E116" s="21" t="s">
        <v>522</v>
      </c>
      <c r="F116" s="22" t="s">
        <v>666</v>
      </c>
      <c r="G116" s="4" t="s">
        <v>228</v>
      </c>
      <c r="H116" s="6">
        <v>102148.66</v>
      </c>
      <c r="I116" s="6">
        <f t="shared" si="155"/>
        <v>279.85934246575346</v>
      </c>
      <c r="J116" s="6">
        <v>85617</v>
      </c>
      <c r="K116" s="6">
        <v>97635.22</v>
      </c>
      <c r="L116" s="6">
        <f t="shared" si="156"/>
        <v>266.76289617486339</v>
      </c>
      <c r="M116" s="6">
        <v>69117</v>
      </c>
      <c r="N116" s="6">
        <v>97338.14</v>
      </c>
      <c r="O116" s="6">
        <f t="shared" si="157"/>
        <v>266.67983561643837</v>
      </c>
      <c r="P116" s="6">
        <v>52186</v>
      </c>
      <c r="Q116" s="6">
        <v>51413.34</v>
      </c>
      <c r="R116" s="6">
        <f t="shared" si="158"/>
        <v>284.05160220994475</v>
      </c>
      <c r="S116" s="6">
        <v>39836</v>
      </c>
      <c r="T116" s="6">
        <f t="shared" si="80"/>
        <v>39836</v>
      </c>
      <c r="U116" s="6">
        <f t="shared" si="81"/>
        <v>109.13972602739726</v>
      </c>
      <c r="V116" s="6">
        <v>30628</v>
      </c>
      <c r="W116" s="6">
        <f t="shared" si="82"/>
        <v>30628</v>
      </c>
      <c r="X116" s="6">
        <f t="shared" si="83"/>
        <v>83.912328767123284</v>
      </c>
      <c r="Y116" s="6">
        <v>0</v>
      </c>
      <c r="Z116" s="6">
        <f t="shared" si="84"/>
        <v>0</v>
      </c>
      <c r="AA116" s="6">
        <f t="shared" si="85"/>
        <v>0</v>
      </c>
      <c r="AB116" s="6">
        <v>0</v>
      </c>
      <c r="AC116" s="6">
        <f t="shared" si="86"/>
        <v>0</v>
      </c>
      <c r="AD116" s="6">
        <f t="shared" si="87"/>
        <v>0</v>
      </c>
      <c r="AE116" s="6">
        <v>0</v>
      </c>
      <c r="AF116" s="6">
        <f t="shared" si="88"/>
        <v>0</v>
      </c>
      <c r="AG116" s="6">
        <f t="shared" si="89"/>
        <v>0</v>
      </c>
      <c r="AH116" s="6">
        <v>0</v>
      </c>
      <c r="AI116" s="6">
        <f t="shared" si="90"/>
        <v>0</v>
      </c>
      <c r="AJ116" s="6">
        <f t="shared" si="91"/>
        <v>0</v>
      </c>
      <c r="AK116" s="6">
        <v>0</v>
      </c>
      <c r="AL116" s="6">
        <f t="shared" si="92"/>
        <v>0</v>
      </c>
      <c r="AM116" s="6">
        <f t="shared" si="93"/>
        <v>0</v>
      </c>
      <c r="AN116" s="6">
        <v>0</v>
      </c>
      <c r="AO116" s="6">
        <f t="shared" si="94"/>
        <v>0</v>
      </c>
      <c r="AP116" s="6">
        <f t="shared" si="95"/>
        <v>0</v>
      </c>
      <c r="AQ116" s="6">
        <v>0</v>
      </c>
      <c r="AR116" s="6">
        <f t="shared" si="96"/>
        <v>0</v>
      </c>
      <c r="AS116" s="6">
        <f t="shared" si="97"/>
        <v>0</v>
      </c>
      <c r="AT116" s="6">
        <v>0</v>
      </c>
      <c r="AU116" s="6">
        <f t="shared" si="98"/>
        <v>0</v>
      </c>
      <c r="AV116" s="6">
        <f t="shared" si="99"/>
        <v>0</v>
      </c>
      <c r="AW116" s="6">
        <v>0</v>
      </c>
      <c r="AX116" s="6">
        <f t="shared" si="100"/>
        <v>0</v>
      </c>
      <c r="AY116" s="6">
        <f t="shared" si="101"/>
        <v>0</v>
      </c>
      <c r="AZ116" s="6">
        <v>0</v>
      </c>
      <c r="BA116" s="6">
        <f t="shared" si="102"/>
        <v>0</v>
      </c>
      <c r="BB116" s="6">
        <f t="shared" si="103"/>
        <v>0</v>
      </c>
      <c r="BC116" s="6">
        <v>0</v>
      </c>
      <c r="BD116" s="6">
        <f t="shared" si="104"/>
        <v>0</v>
      </c>
      <c r="BE116" s="6">
        <f t="shared" si="105"/>
        <v>0</v>
      </c>
      <c r="BF116" s="6">
        <v>0</v>
      </c>
      <c r="BG116" s="6">
        <f t="shared" si="106"/>
        <v>0</v>
      </c>
      <c r="BH116" s="6">
        <f t="shared" si="107"/>
        <v>0</v>
      </c>
      <c r="BI116" s="6">
        <v>0</v>
      </c>
      <c r="BJ116" s="6">
        <f t="shared" si="108"/>
        <v>0</v>
      </c>
      <c r="BK116" s="6">
        <f t="shared" si="109"/>
        <v>0</v>
      </c>
      <c r="BL116" s="6">
        <v>0</v>
      </c>
      <c r="BM116" s="6">
        <f t="shared" si="110"/>
        <v>0</v>
      </c>
      <c r="BN116" s="6">
        <f t="shared" si="111"/>
        <v>0</v>
      </c>
      <c r="BO116" s="6">
        <v>0</v>
      </c>
      <c r="BP116" s="6">
        <f t="shared" si="112"/>
        <v>0</v>
      </c>
      <c r="BQ116" s="6">
        <f t="shared" si="113"/>
        <v>0</v>
      </c>
      <c r="BR116" s="6">
        <v>0</v>
      </c>
      <c r="BS116" s="6">
        <f t="shared" si="114"/>
        <v>0</v>
      </c>
      <c r="BT116" s="6">
        <f t="shared" si="115"/>
        <v>0</v>
      </c>
      <c r="BU116" s="6">
        <v>0</v>
      </c>
      <c r="BV116" s="6">
        <f t="shared" si="116"/>
        <v>0</v>
      </c>
      <c r="BW116" s="6">
        <f t="shared" si="117"/>
        <v>0</v>
      </c>
      <c r="BX116" s="6">
        <v>0</v>
      </c>
      <c r="BY116" s="6">
        <f t="shared" si="118"/>
        <v>0</v>
      </c>
      <c r="BZ116" s="6">
        <f t="shared" si="119"/>
        <v>0</v>
      </c>
      <c r="CA116" s="6">
        <v>0</v>
      </c>
      <c r="CB116" s="6">
        <f t="shared" si="120"/>
        <v>0</v>
      </c>
      <c r="CC116" s="6">
        <f t="shared" si="121"/>
        <v>0</v>
      </c>
      <c r="CD116" s="6">
        <v>0</v>
      </c>
      <c r="CE116" s="6">
        <f t="shared" si="122"/>
        <v>0</v>
      </c>
      <c r="CF116" s="6">
        <f t="shared" si="123"/>
        <v>0</v>
      </c>
      <c r="CG116" s="6">
        <v>0</v>
      </c>
      <c r="CH116" s="6">
        <f t="shared" si="124"/>
        <v>0</v>
      </c>
      <c r="CI116" s="6">
        <f t="shared" si="125"/>
        <v>0</v>
      </c>
      <c r="CJ116" s="6">
        <v>0</v>
      </c>
      <c r="CK116" s="6">
        <f t="shared" si="126"/>
        <v>0</v>
      </c>
      <c r="CL116" s="6">
        <f t="shared" si="127"/>
        <v>0</v>
      </c>
      <c r="CM116" s="6">
        <v>0</v>
      </c>
      <c r="CN116" s="6">
        <f t="shared" si="128"/>
        <v>0</v>
      </c>
      <c r="CO116" s="6">
        <f t="shared" si="129"/>
        <v>0</v>
      </c>
      <c r="CP116" s="6">
        <v>0</v>
      </c>
      <c r="CQ116" s="6">
        <f t="shared" si="130"/>
        <v>0</v>
      </c>
      <c r="CR116" s="6">
        <f t="shared" si="131"/>
        <v>0</v>
      </c>
      <c r="CS116" s="6">
        <v>0</v>
      </c>
      <c r="CT116" s="6">
        <f t="shared" si="132"/>
        <v>0</v>
      </c>
      <c r="CU116" s="6">
        <f t="shared" si="133"/>
        <v>0</v>
      </c>
      <c r="CV116" s="6">
        <v>0</v>
      </c>
      <c r="CW116" s="6">
        <f t="shared" si="134"/>
        <v>0</v>
      </c>
      <c r="CX116" s="6">
        <f t="shared" si="135"/>
        <v>0</v>
      </c>
      <c r="CY116" s="6">
        <v>0</v>
      </c>
      <c r="CZ116" s="6">
        <f t="shared" si="136"/>
        <v>0</v>
      </c>
      <c r="DA116" s="6">
        <f t="shared" si="137"/>
        <v>0</v>
      </c>
      <c r="DB116" s="6">
        <v>0</v>
      </c>
      <c r="DC116" s="6">
        <f t="shared" si="138"/>
        <v>0</v>
      </c>
      <c r="DD116" s="6">
        <f t="shared" si="139"/>
        <v>0</v>
      </c>
      <c r="DE116" s="6">
        <v>0</v>
      </c>
      <c r="DF116" s="6">
        <f t="shared" si="140"/>
        <v>0</v>
      </c>
      <c r="DG116" s="6">
        <f t="shared" si="141"/>
        <v>0</v>
      </c>
      <c r="DH116" s="6">
        <v>0</v>
      </c>
      <c r="DI116" s="6">
        <f t="shared" si="142"/>
        <v>0</v>
      </c>
      <c r="DJ116" s="6">
        <f t="shared" si="143"/>
        <v>0</v>
      </c>
      <c r="DK116" s="6">
        <v>0</v>
      </c>
      <c r="DL116" s="6">
        <f t="shared" si="144"/>
        <v>0</v>
      </c>
      <c r="DM116" s="6">
        <f t="shared" si="145"/>
        <v>0</v>
      </c>
      <c r="DN116" s="6">
        <v>0</v>
      </c>
      <c r="DO116" s="6">
        <f t="shared" si="146"/>
        <v>0</v>
      </c>
      <c r="DP116" s="6">
        <f t="shared" si="147"/>
        <v>0</v>
      </c>
    </row>
    <row r="117" spans="1:120" x14ac:dyDescent="0.2">
      <c r="A117" s="21">
        <v>41</v>
      </c>
      <c r="B117" s="21" t="s">
        <v>687</v>
      </c>
      <c r="C117" s="21">
        <v>41016</v>
      </c>
      <c r="D117" s="21" t="s">
        <v>688</v>
      </c>
      <c r="E117" s="21" t="s">
        <v>522</v>
      </c>
      <c r="F117" s="22" t="s">
        <v>666</v>
      </c>
      <c r="G117" s="4" t="s">
        <v>229</v>
      </c>
      <c r="H117" s="6">
        <v>793704.79</v>
      </c>
      <c r="I117" s="6">
        <f t="shared" si="155"/>
        <v>2174.5336712328767</v>
      </c>
      <c r="J117" s="6">
        <v>853562</v>
      </c>
      <c r="K117" s="6">
        <v>818020.93</v>
      </c>
      <c r="L117" s="6">
        <f t="shared" si="156"/>
        <v>2235.0298633879784</v>
      </c>
      <c r="M117" s="6">
        <v>789073</v>
      </c>
      <c r="N117" s="6">
        <v>890498.7</v>
      </c>
      <c r="O117" s="6">
        <f t="shared" si="157"/>
        <v>2439.7224657534243</v>
      </c>
      <c r="P117" s="6">
        <v>694838</v>
      </c>
      <c r="Q117" s="6">
        <v>503446.51</v>
      </c>
      <c r="R117" s="6">
        <f t="shared" si="158"/>
        <v>2781.4724309392268</v>
      </c>
      <c r="S117" s="6">
        <v>602354</v>
      </c>
      <c r="T117" s="6">
        <f t="shared" si="80"/>
        <v>602354</v>
      </c>
      <c r="U117" s="6">
        <f t="shared" si="81"/>
        <v>1650.2849315068493</v>
      </c>
      <c r="V117" s="6">
        <v>527009</v>
      </c>
      <c r="W117" s="6">
        <f t="shared" si="82"/>
        <v>527009</v>
      </c>
      <c r="X117" s="6">
        <f t="shared" si="83"/>
        <v>1443.8602739726027</v>
      </c>
      <c r="Y117" s="6">
        <v>457951</v>
      </c>
      <c r="Z117" s="6">
        <f t="shared" si="84"/>
        <v>457951</v>
      </c>
      <c r="AA117" s="6">
        <f t="shared" si="85"/>
        <v>1254.6602739726027</v>
      </c>
      <c r="AB117" s="6">
        <v>395232</v>
      </c>
      <c r="AC117" s="6">
        <f t="shared" si="86"/>
        <v>395232</v>
      </c>
      <c r="AD117" s="6">
        <f t="shared" si="87"/>
        <v>1082.827397260274</v>
      </c>
      <c r="AE117" s="6">
        <v>344696</v>
      </c>
      <c r="AF117" s="6">
        <f t="shared" si="88"/>
        <v>344696</v>
      </c>
      <c r="AG117" s="6">
        <f t="shared" si="89"/>
        <v>944.37260273972606</v>
      </c>
      <c r="AH117" s="6">
        <v>305739</v>
      </c>
      <c r="AI117" s="6">
        <f t="shared" si="90"/>
        <v>305739</v>
      </c>
      <c r="AJ117" s="6">
        <f t="shared" si="91"/>
        <v>837.64109589041095</v>
      </c>
      <c r="AK117" s="6">
        <v>270588</v>
      </c>
      <c r="AL117" s="6">
        <f t="shared" si="92"/>
        <v>270588</v>
      </c>
      <c r="AM117" s="6">
        <f t="shared" si="93"/>
        <v>741.33698630136985</v>
      </c>
      <c r="AN117" s="6">
        <v>240311</v>
      </c>
      <c r="AO117" s="6">
        <f t="shared" si="94"/>
        <v>240311</v>
      </c>
      <c r="AP117" s="6">
        <f t="shared" si="95"/>
        <v>658.38630136986296</v>
      </c>
      <c r="AQ117" s="6">
        <v>213968</v>
      </c>
      <c r="AR117" s="6">
        <f t="shared" si="96"/>
        <v>213968</v>
      </c>
      <c r="AS117" s="6">
        <f t="shared" si="97"/>
        <v>586.21369863013695</v>
      </c>
      <c r="AT117" s="6">
        <v>190798</v>
      </c>
      <c r="AU117" s="6">
        <f t="shared" si="98"/>
        <v>190798</v>
      </c>
      <c r="AV117" s="6">
        <f t="shared" si="99"/>
        <v>522.73424657534247</v>
      </c>
      <c r="AW117" s="6">
        <v>168386</v>
      </c>
      <c r="AX117" s="6">
        <f t="shared" si="100"/>
        <v>168386</v>
      </c>
      <c r="AY117" s="6">
        <f t="shared" si="101"/>
        <v>461.33150684931508</v>
      </c>
      <c r="AZ117" s="6">
        <v>149146</v>
      </c>
      <c r="BA117" s="6">
        <f t="shared" si="102"/>
        <v>149146</v>
      </c>
      <c r="BB117" s="6">
        <f t="shared" si="103"/>
        <v>408.61917808219181</v>
      </c>
      <c r="BC117" s="6">
        <v>0</v>
      </c>
      <c r="BD117" s="6">
        <f t="shared" si="104"/>
        <v>0</v>
      </c>
      <c r="BE117" s="6">
        <f t="shared" si="105"/>
        <v>0</v>
      </c>
      <c r="BF117" s="6">
        <v>0</v>
      </c>
      <c r="BG117" s="6">
        <f t="shared" si="106"/>
        <v>0</v>
      </c>
      <c r="BH117" s="6">
        <f t="shared" si="107"/>
        <v>0</v>
      </c>
      <c r="BI117" s="6">
        <v>0</v>
      </c>
      <c r="BJ117" s="6">
        <f t="shared" si="108"/>
        <v>0</v>
      </c>
      <c r="BK117" s="6">
        <f t="shared" si="109"/>
        <v>0</v>
      </c>
      <c r="BL117" s="6">
        <v>0</v>
      </c>
      <c r="BM117" s="6">
        <f t="shared" si="110"/>
        <v>0</v>
      </c>
      <c r="BN117" s="6">
        <f t="shared" si="111"/>
        <v>0</v>
      </c>
      <c r="BO117" s="6">
        <v>0</v>
      </c>
      <c r="BP117" s="6">
        <f t="shared" si="112"/>
        <v>0</v>
      </c>
      <c r="BQ117" s="6">
        <f t="shared" si="113"/>
        <v>0</v>
      </c>
      <c r="BR117" s="6">
        <v>0</v>
      </c>
      <c r="BS117" s="6">
        <f t="shared" si="114"/>
        <v>0</v>
      </c>
      <c r="BT117" s="6">
        <f t="shared" si="115"/>
        <v>0</v>
      </c>
      <c r="BU117" s="6">
        <v>0</v>
      </c>
      <c r="BV117" s="6">
        <f t="shared" si="116"/>
        <v>0</v>
      </c>
      <c r="BW117" s="6">
        <f t="shared" si="117"/>
        <v>0</v>
      </c>
      <c r="BX117" s="6">
        <v>0</v>
      </c>
      <c r="BY117" s="6">
        <f t="shared" si="118"/>
        <v>0</v>
      </c>
      <c r="BZ117" s="6">
        <f t="shared" si="119"/>
        <v>0</v>
      </c>
      <c r="CA117" s="6">
        <v>0</v>
      </c>
      <c r="CB117" s="6">
        <f t="shared" si="120"/>
        <v>0</v>
      </c>
      <c r="CC117" s="6">
        <f t="shared" si="121"/>
        <v>0</v>
      </c>
      <c r="CD117" s="6">
        <v>0</v>
      </c>
      <c r="CE117" s="6">
        <f t="shared" si="122"/>
        <v>0</v>
      </c>
      <c r="CF117" s="6">
        <f t="shared" si="123"/>
        <v>0</v>
      </c>
      <c r="CG117" s="6">
        <v>0</v>
      </c>
      <c r="CH117" s="6">
        <f t="shared" si="124"/>
        <v>0</v>
      </c>
      <c r="CI117" s="6">
        <f t="shared" si="125"/>
        <v>0</v>
      </c>
      <c r="CJ117" s="6">
        <v>0</v>
      </c>
      <c r="CK117" s="6">
        <f t="shared" si="126"/>
        <v>0</v>
      </c>
      <c r="CL117" s="6">
        <f t="shared" si="127"/>
        <v>0</v>
      </c>
      <c r="CM117" s="6">
        <v>0</v>
      </c>
      <c r="CN117" s="6">
        <f t="shared" si="128"/>
        <v>0</v>
      </c>
      <c r="CO117" s="6">
        <f t="shared" si="129"/>
        <v>0</v>
      </c>
      <c r="CP117" s="6">
        <v>0</v>
      </c>
      <c r="CQ117" s="6">
        <f t="shared" si="130"/>
        <v>0</v>
      </c>
      <c r="CR117" s="6">
        <f t="shared" si="131"/>
        <v>0</v>
      </c>
      <c r="CS117" s="6">
        <v>0</v>
      </c>
      <c r="CT117" s="6">
        <f t="shared" si="132"/>
        <v>0</v>
      </c>
      <c r="CU117" s="6">
        <f t="shared" si="133"/>
        <v>0</v>
      </c>
      <c r="CV117" s="6">
        <v>0</v>
      </c>
      <c r="CW117" s="6">
        <f t="shared" si="134"/>
        <v>0</v>
      </c>
      <c r="CX117" s="6">
        <f t="shared" si="135"/>
        <v>0</v>
      </c>
      <c r="CY117" s="6">
        <v>0</v>
      </c>
      <c r="CZ117" s="6">
        <f t="shared" si="136"/>
        <v>0</v>
      </c>
      <c r="DA117" s="6">
        <f t="shared" si="137"/>
        <v>0</v>
      </c>
      <c r="DB117" s="6">
        <v>0</v>
      </c>
      <c r="DC117" s="6">
        <f t="shared" si="138"/>
        <v>0</v>
      </c>
      <c r="DD117" s="6">
        <f t="shared" si="139"/>
        <v>0</v>
      </c>
      <c r="DE117" s="6">
        <v>0</v>
      </c>
      <c r="DF117" s="6">
        <f t="shared" si="140"/>
        <v>0</v>
      </c>
      <c r="DG117" s="6">
        <f t="shared" si="141"/>
        <v>0</v>
      </c>
      <c r="DH117" s="6">
        <v>0</v>
      </c>
      <c r="DI117" s="6">
        <f t="shared" si="142"/>
        <v>0</v>
      </c>
      <c r="DJ117" s="6">
        <f t="shared" si="143"/>
        <v>0</v>
      </c>
      <c r="DK117" s="6">
        <v>0</v>
      </c>
      <c r="DL117" s="6">
        <f t="shared" si="144"/>
        <v>0</v>
      </c>
      <c r="DM117" s="6">
        <f t="shared" si="145"/>
        <v>0</v>
      </c>
      <c r="DN117" s="6">
        <v>0</v>
      </c>
      <c r="DO117" s="6">
        <f t="shared" si="146"/>
        <v>0</v>
      </c>
      <c r="DP117" s="6">
        <f t="shared" si="147"/>
        <v>0</v>
      </c>
    </row>
    <row r="118" spans="1:120" x14ac:dyDescent="0.2">
      <c r="A118" s="21">
        <v>85</v>
      </c>
      <c r="B118" s="21" t="s">
        <v>612</v>
      </c>
      <c r="C118" s="21">
        <v>85250</v>
      </c>
      <c r="D118" s="21" t="s">
        <v>663</v>
      </c>
      <c r="E118" s="21" t="s">
        <v>701</v>
      </c>
      <c r="F118" s="22" t="s">
        <v>693</v>
      </c>
      <c r="G118" s="4" t="s">
        <v>230</v>
      </c>
      <c r="H118" s="6">
        <v>276716.73</v>
      </c>
      <c r="I118" s="6">
        <f t="shared" si="155"/>
        <v>758.12802739726021</v>
      </c>
      <c r="J118" s="6">
        <v>254427.6073</v>
      </c>
      <c r="K118" s="6">
        <v>200977.57</v>
      </c>
      <c r="L118" s="6">
        <f t="shared" si="156"/>
        <v>549.11904371584706</v>
      </c>
      <c r="M118" s="6">
        <v>322388.21750000003</v>
      </c>
      <c r="N118" s="6">
        <v>127898.72</v>
      </c>
      <c r="O118" s="6">
        <f t="shared" si="157"/>
        <v>350.40745205479453</v>
      </c>
      <c r="P118" s="6">
        <v>295173.93170000002</v>
      </c>
      <c r="Q118" s="6">
        <v>147525.1</v>
      </c>
      <c r="R118" s="6">
        <f t="shared" si="158"/>
        <v>815.05580110497237</v>
      </c>
      <c r="S118" s="6">
        <v>230242.52119999999</v>
      </c>
      <c r="T118" s="6">
        <f t="shared" si="80"/>
        <v>230242.52119999999</v>
      </c>
      <c r="U118" s="6">
        <f t="shared" si="81"/>
        <v>630.80142794520543</v>
      </c>
      <c r="V118" s="6">
        <v>175538.57320000001</v>
      </c>
      <c r="W118" s="6">
        <f t="shared" si="82"/>
        <v>175538.57320000001</v>
      </c>
      <c r="X118" s="6">
        <f t="shared" si="83"/>
        <v>480.92759780821922</v>
      </c>
      <c r="Y118" s="6">
        <v>140426.42550000001</v>
      </c>
      <c r="Z118" s="6">
        <f t="shared" si="84"/>
        <v>140426.42550000001</v>
      </c>
      <c r="AA118" s="6">
        <f t="shared" si="85"/>
        <v>384.72993287671238</v>
      </c>
      <c r="AB118" s="6">
        <v>0</v>
      </c>
      <c r="AC118" s="6">
        <f t="shared" si="86"/>
        <v>0</v>
      </c>
      <c r="AD118" s="6">
        <f t="shared" si="87"/>
        <v>0</v>
      </c>
      <c r="AE118" s="6">
        <v>0</v>
      </c>
      <c r="AF118" s="6">
        <f t="shared" si="88"/>
        <v>0</v>
      </c>
      <c r="AG118" s="6">
        <f t="shared" si="89"/>
        <v>0</v>
      </c>
      <c r="AH118" s="6">
        <v>0</v>
      </c>
      <c r="AI118" s="6">
        <f t="shared" si="90"/>
        <v>0</v>
      </c>
      <c r="AJ118" s="6">
        <f t="shared" si="91"/>
        <v>0</v>
      </c>
      <c r="AK118" s="6">
        <v>0</v>
      </c>
      <c r="AL118" s="6">
        <f t="shared" si="92"/>
        <v>0</v>
      </c>
      <c r="AM118" s="6">
        <f t="shared" si="93"/>
        <v>0</v>
      </c>
      <c r="AN118" s="6">
        <v>0</v>
      </c>
      <c r="AO118" s="6">
        <f t="shared" si="94"/>
        <v>0</v>
      </c>
      <c r="AP118" s="6">
        <f t="shared" si="95"/>
        <v>0</v>
      </c>
      <c r="AQ118" s="6">
        <v>0</v>
      </c>
      <c r="AR118" s="6">
        <f t="shared" si="96"/>
        <v>0</v>
      </c>
      <c r="AS118" s="6">
        <f t="shared" si="97"/>
        <v>0</v>
      </c>
      <c r="AT118" s="6">
        <v>0</v>
      </c>
      <c r="AU118" s="6">
        <f t="shared" si="98"/>
        <v>0</v>
      </c>
      <c r="AV118" s="6">
        <f t="shared" si="99"/>
        <v>0</v>
      </c>
      <c r="AW118" s="6">
        <v>0</v>
      </c>
      <c r="AX118" s="6">
        <f t="shared" si="100"/>
        <v>0</v>
      </c>
      <c r="AY118" s="6">
        <f t="shared" si="101"/>
        <v>0</v>
      </c>
      <c r="AZ118" s="6">
        <v>0</v>
      </c>
      <c r="BA118" s="6">
        <f t="shared" si="102"/>
        <v>0</v>
      </c>
      <c r="BB118" s="6">
        <f t="shared" si="103"/>
        <v>0</v>
      </c>
      <c r="BC118" s="6">
        <v>0</v>
      </c>
      <c r="BD118" s="6">
        <f t="shared" si="104"/>
        <v>0</v>
      </c>
      <c r="BE118" s="6">
        <f t="shared" si="105"/>
        <v>0</v>
      </c>
      <c r="BF118" s="6">
        <v>0</v>
      </c>
      <c r="BG118" s="6">
        <f t="shared" si="106"/>
        <v>0</v>
      </c>
      <c r="BH118" s="6">
        <f t="shared" si="107"/>
        <v>0</v>
      </c>
      <c r="BI118" s="6">
        <v>0</v>
      </c>
      <c r="BJ118" s="6">
        <f t="shared" si="108"/>
        <v>0</v>
      </c>
      <c r="BK118" s="6">
        <f t="shared" si="109"/>
        <v>0</v>
      </c>
      <c r="BL118" s="6">
        <v>0</v>
      </c>
      <c r="BM118" s="6">
        <f t="shared" si="110"/>
        <v>0</v>
      </c>
      <c r="BN118" s="6">
        <f t="shared" si="111"/>
        <v>0</v>
      </c>
      <c r="BO118" s="6">
        <v>0</v>
      </c>
      <c r="BP118" s="6">
        <f t="shared" si="112"/>
        <v>0</v>
      </c>
      <c r="BQ118" s="6">
        <f t="shared" si="113"/>
        <v>0</v>
      </c>
      <c r="BR118" s="6">
        <v>0</v>
      </c>
      <c r="BS118" s="6">
        <f t="shared" si="114"/>
        <v>0</v>
      </c>
      <c r="BT118" s="6">
        <f t="shared" si="115"/>
        <v>0</v>
      </c>
      <c r="BU118" s="6">
        <v>0</v>
      </c>
      <c r="BV118" s="6">
        <f t="shared" si="116"/>
        <v>0</v>
      </c>
      <c r="BW118" s="6">
        <f t="shared" si="117"/>
        <v>0</v>
      </c>
      <c r="BX118" s="6">
        <v>0</v>
      </c>
      <c r="BY118" s="6">
        <f t="shared" si="118"/>
        <v>0</v>
      </c>
      <c r="BZ118" s="6">
        <f t="shared" si="119"/>
        <v>0</v>
      </c>
      <c r="CA118" s="6">
        <v>0</v>
      </c>
      <c r="CB118" s="6">
        <f t="shared" si="120"/>
        <v>0</v>
      </c>
      <c r="CC118" s="6">
        <f t="shared" si="121"/>
        <v>0</v>
      </c>
      <c r="CD118" s="6">
        <v>0</v>
      </c>
      <c r="CE118" s="6">
        <f t="shared" si="122"/>
        <v>0</v>
      </c>
      <c r="CF118" s="6">
        <f t="shared" si="123"/>
        <v>0</v>
      </c>
      <c r="CG118" s="6">
        <v>0</v>
      </c>
      <c r="CH118" s="6">
        <f t="shared" si="124"/>
        <v>0</v>
      </c>
      <c r="CI118" s="6">
        <f t="shared" si="125"/>
        <v>0</v>
      </c>
      <c r="CJ118" s="6">
        <v>0</v>
      </c>
      <c r="CK118" s="6">
        <f t="shared" si="126"/>
        <v>0</v>
      </c>
      <c r="CL118" s="6">
        <f t="shared" si="127"/>
        <v>0</v>
      </c>
      <c r="CM118" s="6">
        <v>0</v>
      </c>
      <c r="CN118" s="6">
        <f t="shared" si="128"/>
        <v>0</v>
      </c>
      <c r="CO118" s="6">
        <f t="shared" si="129"/>
        <v>0</v>
      </c>
      <c r="CP118" s="6">
        <v>0</v>
      </c>
      <c r="CQ118" s="6">
        <f t="shared" si="130"/>
        <v>0</v>
      </c>
      <c r="CR118" s="6">
        <f t="shared" si="131"/>
        <v>0</v>
      </c>
      <c r="CS118" s="6">
        <v>0</v>
      </c>
      <c r="CT118" s="6">
        <f t="shared" si="132"/>
        <v>0</v>
      </c>
      <c r="CU118" s="6">
        <f t="shared" si="133"/>
        <v>0</v>
      </c>
      <c r="CV118" s="6">
        <v>0</v>
      </c>
      <c r="CW118" s="6">
        <f t="shared" si="134"/>
        <v>0</v>
      </c>
      <c r="CX118" s="6">
        <f t="shared" si="135"/>
        <v>0</v>
      </c>
      <c r="CY118" s="6">
        <v>0</v>
      </c>
      <c r="CZ118" s="6">
        <f t="shared" si="136"/>
        <v>0</v>
      </c>
      <c r="DA118" s="6">
        <f t="shared" si="137"/>
        <v>0</v>
      </c>
      <c r="DB118" s="6">
        <v>0</v>
      </c>
      <c r="DC118" s="6">
        <f t="shared" si="138"/>
        <v>0</v>
      </c>
      <c r="DD118" s="6">
        <f t="shared" si="139"/>
        <v>0</v>
      </c>
      <c r="DE118" s="6">
        <v>0</v>
      </c>
      <c r="DF118" s="6">
        <f t="shared" si="140"/>
        <v>0</v>
      </c>
      <c r="DG118" s="6">
        <f t="shared" si="141"/>
        <v>0</v>
      </c>
      <c r="DH118" s="6">
        <v>0</v>
      </c>
      <c r="DI118" s="6">
        <f t="shared" si="142"/>
        <v>0</v>
      </c>
      <c r="DJ118" s="6">
        <f t="shared" si="143"/>
        <v>0</v>
      </c>
      <c r="DK118" s="6">
        <v>0</v>
      </c>
      <c r="DL118" s="6">
        <f t="shared" si="144"/>
        <v>0</v>
      </c>
      <c r="DM118" s="6">
        <f t="shared" si="145"/>
        <v>0</v>
      </c>
      <c r="DN118" s="6">
        <v>0</v>
      </c>
      <c r="DO118" s="6">
        <f t="shared" si="146"/>
        <v>0</v>
      </c>
      <c r="DP118" s="6">
        <f t="shared" si="147"/>
        <v>0</v>
      </c>
    </row>
    <row r="119" spans="1:120" x14ac:dyDescent="0.2">
      <c r="A119" s="21">
        <v>85</v>
      </c>
      <c r="B119" s="21" t="s">
        <v>612</v>
      </c>
      <c r="C119" s="21">
        <v>85250</v>
      </c>
      <c r="D119" s="21" t="s">
        <v>663</v>
      </c>
      <c r="E119" s="21" t="s">
        <v>701</v>
      </c>
      <c r="F119" s="22" t="s">
        <v>693</v>
      </c>
      <c r="G119" s="4" t="s">
        <v>231</v>
      </c>
      <c r="H119" s="6">
        <v>30066.55</v>
      </c>
      <c r="I119" s="6">
        <f t="shared" si="155"/>
        <v>82.374109589041097</v>
      </c>
      <c r="J119" s="6">
        <v>23506.006600000001</v>
      </c>
      <c r="K119" s="6">
        <v>28707.1</v>
      </c>
      <c r="L119" s="6">
        <f t="shared" si="156"/>
        <v>78.434699453551914</v>
      </c>
      <c r="M119" s="6">
        <v>19432.876199999999</v>
      </c>
      <c r="N119" s="6">
        <v>25774.83</v>
      </c>
      <c r="O119" s="6">
        <f t="shared" si="157"/>
        <v>70.615972602739731</v>
      </c>
      <c r="P119" s="6">
        <v>16326.1149</v>
      </c>
      <c r="Q119" s="6">
        <v>12409.56</v>
      </c>
      <c r="R119" s="6">
        <f t="shared" si="158"/>
        <v>68.561104972375688</v>
      </c>
      <c r="S119" s="6">
        <v>13872.816800000001</v>
      </c>
      <c r="T119" s="6">
        <f t="shared" si="80"/>
        <v>13872.816800000001</v>
      </c>
      <c r="U119" s="6">
        <f t="shared" si="81"/>
        <v>38.007717260273971</v>
      </c>
      <c r="V119" s="6">
        <v>11936.584000000001</v>
      </c>
      <c r="W119" s="6">
        <f t="shared" si="82"/>
        <v>11936.584000000001</v>
      </c>
      <c r="X119" s="6">
        <f t="shared" si="83"/>
        <v>32.702969863013699</v>
      </c>
      <c r="Y119" s="6">
        <v>10305.1178</v>
      </c>
      <c r="Z119" s="6">
        <f t="shared" si="84"/>
        <v>10305.1178</v>
      </c>
      <c r="AA119" s="6">
        <f t="shared" si="85"/>
        <v>28.233199452054794</v>
      </c>
      <c r="AB119" s="6">
        <v>8993.2389999999996</v>
      </c>
      <c r="AC119" s="6">
        <f t="shared" si="86"/>
        <v>8993.2389999999996</v>
      </c>
      <c r="AD119" s="6">
        <f t="shared" si="87"/>
        <v>24.639010958904109</v>
      </c>
      <c r="AE119" s="6">
        <v>7903.8190999999997</v>
      </c>
      <c r="AF119" s="6">
        <f t="shared" si="88"/>
        <v>7903.8190999999997</v>
      </c>
      <c r="AG119" s="6">
        <f t="shared" si="89"/>
        <v>21.654298904109588</v>
      </c>
      <c r="AH119" s="6">
        <v>627.01589999999999</v>
      </c>
      <c r="AI119" s="6">
        <f t="shared" si="90"/>
        <v>627.01589999999999</v>
      </c>
      <c r="AJ119" s="6">
        <f t="shared" si="91"/>
        <v>1.7178517808219178</v>
      </c>
      <c r="AK119" s="6">
        <v>0</v>
      </c>
      <c r="AL119" s="6">
        <f t="shared" si="92"/>
        <v>0</v>
      </c>
      <c r="AM119" s="6">
        <f t="shared" si="93"/>
        <v>0</v>
      </c>
      <c r="AN119" s="6">
        <v>0</v>
      </c>
      <c r="AO119" s="6">
        <f t="shared" si="94"/>
        <v>0</v>
      </c>
      <c r="AP119" s="6">
        <f t="shared" si="95"/>
        <v>0</v>
      </c>
      <c r="AQ119" s="6">
        <v>0</v>
      </c>
      <c r="AR119" s="6">
        <f t="shared" si="96"/>
        <v>0</v>
      </c>
      <c r="AS119" s="6">
        <f t="shared" si="97"/>
        <v>0</v>
      </c>
      <c r="AT119" s="6">
        <v>0</v>
      </c>
      <c r="AU119" s="6">
        <f t="shared" si="98"/>
        <v>0</v>
      </c>
      <c r="AV119" s="6">
        <f t="shared" si="99"/>
        <v>0</v>
      </c>
      <c r="AW119" s="6">
        <v>0</v>
      </c>
      <c r="AX119" s="6">
        <f t="shared" si="100"/>
        <v>0</v>
      </c>
      <c r="AY119" s="6">
        <f t="shared" si="101"/>
        <v>0</v>
      </c>
      <c r="AZ119" s="6">
        <v>0</v>
      </c>
      <c r="BA119" s="6">
        <f t="shared" si="102"/>
        <v>0</v>
      </c>
      <c r="BB119" s="6">
        <f t="shared" si="103"/>
        <v>0</v>
      </c>
      <c r="BC119" s="6">
        <v>0</v>
      </c>
      <c r="BD119" s="6">
        <f t="shared" si="104"/>
        <v>0</v>
      </c>
      <c r="BE119" s="6">
        <f t="shared" si="105"/>
        <v>0</v>
      </c>
      <c r="BF119" s="6">
        <v>0</v>
      </c>
      <c r="BG119" s="6">
        <f t="shared" si="106"/>
        <v>0</v>
      </c>
      <c r="BH119" s="6">
        <f t="shared" si="107"/>
        <v>0</v>
      </c>
      <c r="BI119" s="6">
        <v>0</v>
      </c>
      <c r="BJ119" s="6">
        <f t="shared" si="108"/>
        <v>0</v>
      </c>
      <c r="BK119" s="6">
        <f t="shared" si="109"/>
        <v>0</v>
      </c>
      <c r="BL119" s="6">
        <v>0</v>
      </c>
      <c r="BM119" s="6">
        <f t="shared" si="110"/>
        <v>0</v>
      </c>
      <c r="BN119" s="6">
        <f t="shared" si="111"/>
        <v>0</v>
      </c>
      <c r="BO119" s="6">
        <v>0</v>
      </c>
      <c r="BP119" s="6">
        <f t="shared" si="112"/>
        <v>0</v>
      </c>
      <c r="BQ119" s="6">
        <f t="shared" si="113"/>
        <v>0</v>
      </c>
      <c r="BR119" s="6">
        <v>0</v>
      </c>
      <c r="BS119" s="6">
        <f t="shared" si="114"/>
        <v>0</v>
      </c>
      <c r="BT119" s="6">
        <f t="shared" si="115"/>
        <v>0</v>
      </c>
      <c r="BU119" s="6">
        <v>0</v>
      </c>
      <c r="BV119" s="6">
        <f t="shared" si="116"/>
        <v>0</v>
      </c>
      <c r="BW119" s="6">
        <f t="shared" si="117"/>
        <v>0</v>
      </c>
      <c r="BX119" s="6">
        <v>0</v>
      </c>
      <c r="BY119" s="6">
        <f t="shared" si="118"/>
        <v>0</v>
      </c>
      <c r="BZ119" s="6">
        <f t="shared" si="119"/>
        <v>0</v>
      </c>
      <c r="CA119" s="6">
        <v>0</v>
      </c>
      <c r="CB119" s="6">
        <f t="shared" si="120"/>
        <v>0</v>
      </c>
      <c r="CC119" s="6">
        <f t="shared" si="121"/>
        <v>0</v>
      </c>
      <c r="CD119" s="6">
        <v>0</v>
      </c>
      <c r="CE119" s="6">
        <f t="shared" si="122"/>
        <v>0</v>
      </c>
      <c r="CF119" s="6">
        <f t="shared" si="123"/>
        <v>0</v>
      </c>
      <c r="CG119" s="6">
        <v>0</v>
      </c>
      <c r="CH119" s="6">
        <f t="shared" si="124"/>
        <v>0</v>
      </c>
      <c r="CI119" s="6">
        <f t="shared" si="125"/>
        <v>0</v>
      </c>
      <c r="CJ119" s="6">
        <v>0</v>
      </c>
      <c r="CK119" s="6">
        <f t="shared" si="126"/>
        <v>0</v>
      </c>
      <c r="CL119" s="6">
        <f t="shared" si="127"/>
        <v>0</v>
      </c>
      <c r="CM119" s="6">
        <v>0</v>
      </c>
      <c r="CN119" s="6">
        <f t="shared" si="128"/>
        <v>0</v>
      </c>
      <c r="CO119" s="6">
        <f t="shared" si="129"/>
        <v>0</v>
      </c>
      <c r="CP119" s="6">
        <v>0</v>
      </c>
      <c r="CQ119" s="6">
        <f t="shared" si="130"/>
        <v>0</v>
      </c>
      <c r="CR119" s="6">
        <f t="shared" si="131"/>
        <v>0</v>
      </c>
      <c r="CS119" s="6">
        <v>0</v>
      </c>
      <c r="CT119" s="6">
        <f t="shared" si="132"/>
        <v>0</v>
      </c>
      <c r="CU119" s="6">
        <f t="shared" si="133"/>
        <v>0</v>
      </c>
      <c r="CV119" s="6">
        <v>0</v>
      </c>
      <c r="CW119" s="6">
        <f t="shared" si="134"/>
        <v>0</v>
      </c>
      <c r="CX119" s="6">
        <f t="shared" si="135"/>
        <v>0</v>
      </c>
      <c r="CY119" s="6">
        <v>0</v>
      </c>
      <c r="CZ119" s="6">
        <f t="shared" si="136"/>
        <v>0</v>
      </c>
      <c r="DA119" s="6">
        <f t="shared" si="137"/>
        <v>0</v>
      </c>
      <c r="DB119" s="6">
        <v>0</v>
      </c>
      <c r="DC119" s="6">
        <f t="shared" si="138"/>
        <v>0</v>
      </c>
      <c r="DD119" s="6">
        <f t="shared" si="139"/>
        <v>0</v>
      </c>
      <c r="DE119" s="6">
        <v>0</v>
      </c>
      <c r="DF119" s="6">
        <f t="shared" si="140"/>
        <v>0</v>
      </c>
      <c r="DG119" s="6">
        <f t="shared" si="141"/>
        <v>0</v>
      </c>
      <c r="DH119" s="6">
        <v>0</v>
      </c>
      <c r="DI119" s="6">
        <f t="shared" si="142"/>
        <v>0</v>
      </c>
      <c r="DJ119" s="6">
        <f t="shared" si="143"/>
        <v>0</v>
      </c>
      <c r="DK119" s="6">
        <v>0</v>
      </c>
      <c r="DL119" s="6">
        <f t="shared" si="144"/>
        <v>0</v>
      </c>
      <c r="DM119" s="6">
        <f t="shared" si="145"/>
        <v>0</v>
      </c>
      <c r="DN119" s="6">
        <v>0</v>
      </c>
      <c r="DO119" s="6">
        <f t="shared" si="146"/>
        <v>0</v>
      </c>
      <c r="DP119" s="6">
        <f t="shared" si="147"/>
        <v>0</v>
      </c>
    </row>
    <row r="120" spans="1:120" x14ac:dyDescent="0.2">
      <c r="A120" s="21">
        <v>47</v>
      </c>
      <c r="B120" s="21" t="s">
        <v>718</v>
      </c>
      <c r="C120" s="21">
        <v>47058</v>
      </c>
      <c r="D120" s="21" t="s">
        <v>719</v>
      </c>
      <c r="E120" s="21" t="s">
        <v>619</v>
      </c>
      <c r="F120" s="22" t="s">
        <v>666</v>
      </c>
      <c r="G120" s="4" t="s">
        <v>232</v>
      </c>
      <c r="H120" s="6">
        <v>19268.47</v>
      </c>
      <c r="I120" s="6">
        <f t="shared" si="155"/>
        <v>52.790328767123292</v>
      </c>
      <c r="J120" s="6">
        <v>21331</v>
      </c>
      <c r="K120" s="6">
        <v>14412.73</v>
      </c>
      <c r="L120" s="6">
        <f t="shared" si="156"/>
        <v>39.37904371584699</v>
      </c>
      <c r="M120" s="6">
        <v>19542</v>
      </c>
      <c r="N120" s="6">
        <v>10730.4</v>
      </c>
      <c r="O120" s="6">
        <f t="shared" si="157"/>
        <v>29.398356164383561</v>
      </c>
      <c r="P120" s="6">
        <v>14606</v>
      </c>
      <c r="Q120" s="6">
        <v>4225.1000000000004</v>
      </c>
      <c r="R120" s="6">
        <f t="shared" si="158"/>
        <v>23.343093922651935</v>
      </c>
      <c r="S120" s="6">
        <v>20399</v>
      </c>
      <c r="T120" s="6">
        <f t="shared" si="80"/>
        <v>20399</v>
      </c>
      <c r="U120" s="6">
        <f t="shared" si="81"/>
        <v>55.887671232876713</v>
      </c>
      <c r="V120" s="6">
        <v>36508</v>
      </c>
      <c r="W120" s="6">
        <f t="shared" si="82"/>
        <v>36508</v>
      </c>
      <c r="X120" s="6">
        <f t="shared" si="83"/>
        <v>100.02191780821917</v>
      </c>
      <c r="Y120" s="6">
        <v>41026</v>
      </c>
      <c r="Z120" s="6">
        <f t="shared" si="84"/>
        <v>41026</v>
      </c>
      <c r="AA120" s="6">
        <f t="shared" si="85"/>
        <v>112.4</v>
      </c>
      <c r="AB120" s="6">
        <v>34875</v>
      </c>
      <c r="AC120" s="6">
        <f t="shared" si="86"/>
        <v>34875</v>
      </c>
      <c r="AD120" s="6">
        <f t="shared" si="87"/>
        <v>95.547945205479451</v>
      </c>
      <c r="AE120" s="6">
        <v>29775</v>
      </c>
      <c r="AF120" s="6">
        <f t="shared" si="88"/>
        <v>29775</v>
      </c>
      <c r="AG120" s="6">
        <f t="shared" si="89"/>
        <v>81.575342465753423</v>
      </c>
      <c r="AH120" s="6">
        <v>25487</v>
      </c>
      <c r="AI120" s="6">
        <f t="shared" si="90"/>
        <v>25487</v>
      </c>
      <c r="AJ120" s="6">
        <f t="shared" si="91"/>
        <v>69.827397260273969</v>
      </c>
      <c r="AK120" s="6">
        <v>21814</v>
      </c>
      <c r="AL120" s="6">
        <f t="shared" si="92"/>
        <v>21814</v>
      </c>
      <c r="AM120" s="6">
        <f t="shared" si="93"/>
        <v>59.764383561643832</v>
      </c>
      <c r="AN120" s="6">
        <v>18673</v>
      </c>
      <c r="AO120" s="6">
        <f t="shared" si="94"/>
        <v>18673</v>
      </c>
      <c r="AP120" s="6">
        <f t="shared" si="95"/>
        <v>51.158904109589038</v>
      </c>
      <c r="AQ120" s="6">
        <v>16056</v>
      </c>
      <c r="AR120" s="6">
        <f t="shared" si="96"/>
        <v>16056</v>
      </c>
      <c r="AS120" s="6">
        <f t="shared" si="97"/>
        <v>43.989041095890414</v>
      </c>
      <c r="AT120" s="6">
        <v>13868</v>
      </c>
      <c r="AU120" s="6">
        <f t="shared" si="98"/>
        <v>13868</v>
      </c>
      <c r="AV120" s="6">
        <f t="shared" si="99"/>
        <v>37.994520547945207</v>
      </c>
      <c r="AW120" s="6">
        <v>11980</v>
      </c>
      <c r="AX120" s="6">
        <f t="shared" si="100"/>
        <v>11980</v>
      </c>
      <c r="AY120" s="6">
        <f t="shared" si="101"/>
        <v>32.821917808219176</v>
      </c>
      <c r="AZ120" s="6">
        <v>10240</v>
      </c>
      <c r="BA120" s="6">
        <f t="shared" si="102"/>
        <v>10240</v>
      </c>
      <c r="BB120" s="6">
        <f t="shared" si="103"/>
        <v>28.054794520547944</v>
      </c>
      <c r="BC120" s="6">
        <v>8860</v>
      </c>
      <c r="BD120" s="6">
        <f t="shared" si="104"/>
        <v>8860</v>
      </c>
      <c r="BE120" s="6">
        <f t="shared" si="105"/>
        <v>24.273972602739725</v>
      </c>
      <c r="BF120" s="6">
        <v>7694</v>
      </c>
      <c r="BG120" s="6">
        <f t="shared" si="106"/>
        <v>7694</v>
      </c>
      <c r="BH120" s="6">
        <f t="shared" si="107"/>
        <v>21.079452054794519</v>
      </c>
      <c r="BI120" s="6">
        <v>6527</v>
      </c>
      <c r="BJ120" s="6">
        <f t="shared" si="108"/>
        <v>6527</v>
      </c>
      <c r="BK120" s="6">
        <f t="shared" si="109"/>
        <v>17.882191780821916</v>
      </c>
      <c r="BL120" s="6">
        <v>5545</v>
      </c>
      <c r="BM120" s="6">
        <f t="shared" si="110"/>
        <v>5545</v>
      </c>
      <c r="BN120" s="6">
        <f t="shared" si="111"/>
        <v>15.191780821917808</v>
      </c>
      <c r="BO120" s="6">
        <v>4969</v>
      </c>
      <c r="BP120" s="6">
        <f t="shared" si="112"/>
        <v>4969</v>
      </c>
      <c r="BQ120" s="6">
        <f t="shared" si="113"/>
        <v>13.613698630136986</v>
      </c>
      <c r="BR120" s="6">
        <v>4266</v>
      </c>
      <c r="BS120" s="6">
        <f t="shared" si="114"/>
        <v>4266</v>
      </c>
      <c r="BT120" s="6">
        <f t="shared" si="115"/>
        <v>11.687671232876712</v>
      </c>
      <c r="BU120" s="6">
        <v>3744</v>
      </c>
      <c r="BV120" s="6">
        <f t="shared" si="116"/>
        <v>3744</v>
      </c>
      <c r="BW120" s="6">
        <f t="shared" si="117"/>
        <v>10.257534246575343</v>
      </c>
      <c r="BX120" s="6">
        <v>3242</v>
      </c>
      <c r="BY120" s="6">
        <f t="shared" si="118"/>
        <v>3242</v>
      </c>
      <c r="BZ120" s="6">
        <f t="shared" si="119"/>
        <v>8.882191780821918</v>
      </c>
      <c r="CA120" s="6">
        <v>0</v>
      </c>
      <c r="CB120" s="6">
        <f t="shared" si="120"/>
        <v>0</v>
      </c>
      <c r="CC120" s="6">
        <f t="shared" si="121"/>
        <v>0</v>
      </c>
      <c r="CD120" s="6">
        <v>0</v>
      </c>
      <c r="CE120" s="6">
        <f t="shared" si="122"/>
        <v>0</v>
      </c>
      <c r="CF120" s="6">
        <f t="shared" si="123"/>
        <v>0</v>
      </c>
      <c r="CG120" s="6">
        <v>0</v>
      </c>
      <c r="CH120" s="6">
        <f t="shared" si="124"/>
        <v>0</v>
      </c>
      <c r="CI120" s="6">
        <f t="shared" si="125"/>
        <v>0</v>
      </c>
      <c r="CJ120" s="6">
        <v>0</v>
      </c>
      <c r="CK120" s="6">
        <f t="shared" si="126"/>
        <v>0</v>
      </c>
      <c r="CL120" s="6">
        <f t="shared" si="127"/>
        <v>0</v>
      </c>
      <c r="CM120" s="6">
        <v>0</v>
      </c>
      <c r="CN120" s="6">
        <f t="shared" si="128"/>
        <v>0</v>
      </c>
      <c r="CO120" s="6">
        <f t="shared" si="129"/>
        <v>0</v>
      </c>
      <c r="CP120" s="6">
        <v>0</v>
      </c>
      <c r="CQ120" s="6">
        <f t="shared" si="130"/>
        <v>0</v>
      </c>
      <c r="CR120" s="6">
        <f t="shared" si="131"/>
        <v>0</v>
      </c>
      <c r="CS120" s="6">
        <v>0</v>
      </c>
      <c r="CT120" s="6">
        <f t="shared" si="132"/>
        <v>0</v>
      </c>
      <c r="CU120" s="6">
        <f t="shared" si="133"/>
        <v>0</v>
      </c>
      <c r="CV120" s="6">
        <v>0</v>
      </c>
      <c r="CW120" s="6">
        <f t="shared" si="134"/>
        <v>0</v>
      </c>
      <c r="CX120" s="6">
        <f t="shared" si="135"/>
        <v>0</v>
      </c>
      <c r="CY120" s="6">
        <v>0</v>
      </c>
      <c r="CZ120" s="6">
        <f t="shared" si="136"/>
        <v>0</v>
      </c>
      <c r="DA120" s="6">
        <f t="shared" si="137"/>
        <v>0</v>
      </c>
      <c r="DB120" s="6">
        <v>0</v>
      </c>
      <c r="DC120" s="6">
        <f t="shared" si="138"/>
        <v>0</v>
      </c>
      <c r="DD120" s="6">
        <f t="shared" si="139"/>
        <v>0</v>
      </c>
      <c r="DE120" s="6">
        <v>0</v>
      </c>
      <c r="DF120" s="6">
        <f t="shared" si="140"/>
        <v>0</v>
      </c>
      <c r="DG120" s="6">
        <f t="shared" si="141"/>
        <v>0</v>
      </c>
      <c r="DH120" s="6">
        <v>0</v>
      </c>
      <c r="DI120" s="6">
        <f t="shared" si="142"/>
        <v>0</v>
      </c>
      <c r="DJ120" s="6">
        <f t="shared" si="143"/>
        <v>0</v>
      </c>
      <c r="DK120" s="6">
        <v>0</v>
      </c>
      <c r="DL120" s="6">
        <f t="shared" si="144"/>
        <v>0</v>
      </c>
      <c r="DM120" s="6">
        <f t="shared" si="145"/>
        <v>0</v>
      </c>
      <c r="DN120" s="6">
        <v>0</v>
      </c>
      <c r="DO120" s="6">
        <f t="shared" si="146"/>
        <v>0</v>
      </c>
      <c r="DP120" s="6">
        <f t="shared" si="147"/>
        <v>0</v>
      </c>
    </row>
    <row r="121" spans="1:120" x14ac:dyDescent="0.2">
      <c r="A121" s="21">
        <v>73</v>
      </c>
      <c r="B121" s="21" t="s">
        <v>582</v>
      </c>
      <c r="C121" s="21">
        <v>73449</v>
      </c>
      <c r="D121" s="21" t="s">
        <v>720</v>
      </c>
      <c r="E121" s="21" t="s">
        <v>575</v>
      </c>
      <c r="F121" s="22" t="s">
        <v>662</v>
      </c>
      <c r="G121" s="4" t="s">
        <v>233</v>
      </c>
      <c r="H121" s="6">
        <v>79891.839999999997</v>
      </c>
      <c r="I121" s="6">
        <f t="shared" si="155"/>
        <v>218.88175342465752</v>
      </c>
      <c r="J121" s="6">
        <v>58501</v>
      </c>
      <c r="K121" s="6">
        <v>75322.03</v>
      </c>
      <c r="L121" s="6">
        <f t="shared" si="156"/>
        <v>205.79789617486338</v>
      </c>
      <c r="M121" s="6">
        <v>32623</v>
      </c>
      <c r="N121" s="6">
        <v>65490.09</v>
      </c>
      <c r="O121" s="6">
        <f t="shared" si="157"/>
        <v>179.42490410958902</v>
      </c>
      <c r="P121" s="6">
        <v>18257</v>
      </c>
      <c r="Q121" s="6">
        <v>52049.53</v>
      </c>
      <c r="R121" s="6">
        <f t="shared" si="158"/>
        <v>287.56646408839777</v>
      </c>
      <c r="S121" s="6">
        <v>6637</v>
      </c>
      <c r="T121" s="6">
        <f t="shared" si="80"/>
        <v>6637</v>
      </c>
      <c r="U121" s="6">
        <f t="shared" si="81"/>
        <v>18.183561643835617</v>
      </c>
      <c r="V121" s="6">
        <v>0</v>
      </c>
      <c r="W121" s="6">
        <f t="shared" si="82"/>
        <v>0</v>
      </c>
      <c r="X121" s="6">
        <f t="shared" si="83"/>
        <v>0</v>
      </c>
      <c r="Y121" s="6">
        <v>0</v>
      </c>
      <c r="Z121" s="6">
        <f t="shared" si="84"/>
        <v>0</v>
      </c>
      <c r="AA121" s="6">
        <f t="shared" si="85"/>
        <v>0</v>
      </c>
      <c r="AB121" s="6">
        <v>0</v>
      </c>
      <c r="AC121" s="6">
        <f t="shared" si="86"/>
        <v>0</v>
      </c>
      <c r="AD121" s="6">
        <f t="shared" si="87"/>
        <v>0</v>
      </c>
      <c r="AE121" s="6">
        <v>0</v>
      </c>
      <c r="AF121" s="6">
        <f t="shared" si="88"/>
        <v>0</v>
      </c>
      <c r="AG121" s="6">
        <f t="shared" si="89"/>
        <v>0</v>
      </c>
      <c r="AH121" s="6">
        <v>0</v>
      </c>
      <c r="AI121" s="6">
        <f t="shared" si="90"/>
        <v>0</v>
      </c>
      <c r="AJ121" s="6">
        <f t="shared" si="91"/>
        <v>0</v>
      </c>
      <c r="AK121" s="6">
        <v>0</v>
      </c>
      <c r="AL121" s="6">
        <f t="shared" si="92"/>
        <v>0</v>
      </c>
      <c r="AM121" s="6">
        <f t="shared" si="93"/>
        <v>0</v>
      </c>
      <c r="AN121" s="6">
        <v>0</v>
      </c>
      <c r="AO121" s="6">
        <f t="shared" si="94"/>
        <v>0</v>
      </c>
      <c r="AP121" s="6">
        <f t="shared" si="95"/>
        <v>0</v>
      </c>
      <c r="AQ121" s="6">
        <v>0</v>
      </c>
      <c r="AR121" s="6">
        <f t="shared" si="96"/>
        <v>0</v>
      </c>
      <c r="AS121" s="6">
        <f t="shared" si="97"/>
        <v>0</v>
      </c>
      <c r="AT121" s="6">
        <v>0</v>
      </c>
      <c r="AU121" s="6">
        <f t="shared" si="98"/>
        <v>0</v>
      </c>
      <c r="AV121" s="6">
        <f t="shared" si="99"/>
        <v>0</v>
      </c>
      <c r="AW121" s="6">
        <v>0</v>
      </c>
      <c r="AX121" s="6">
        <f t="shared" si="100"/>
        <v>0</v>
      </c>
      <c r="AY121" s="6">
        <f t="shared" si="101"/>
        <v>0</v>
      </c>
      <c r="AZ121" s="6">
        <v>0</v>
      </c>
      <c r="BA121" s="6">
        <f t="shared" si="102"/>
        <v>0</v>
      </c>
      <c r="BB121" s="6">
        <f t="shared" si="103"/>
        <v>0</v>
      </c>
      <c r="BC121" s="6">
        <v>0</v>
      </c>
      <c r="BD121" s="6">
        <f t="shared" si="104"/>
        <v>0</v>
      </c>
      <c r="BE121" s="6">
        <f t="shared" si="105"/>
        <v>0</v>
      </c>
      <c r="BF121" s="6">
        <v>0</v>
      </c>
      <c r="BG121" s="6">
        <f t="shared" si="106"/>
        <v>0</v>
      </c>
      <c r="BH121" s="6">
        <f t="shared" si="107"/>
        <v>0</v>
      </c>
      <c r="BI121" s="6">
        <v>0</v>
      </c>
      <c r="BJ121" s="6">
        <f t="shared" si="108"/>
        <v>0</v>
      </c>
      <c r="BK121" s="6">
        <f t="shared" si="109"/>
        <v>0</v>
      </c>
      <c r="BL121" s="6">
        <v>0</v>
      </c>
      <c r="BM121" s="6">
        <f t="shared" si="110"/>
        <v>0</v>
      </c>
      <c r="BN121" s="6">
        <f t="shared" si="111"/>
        <v>0</v>
      </c>
      <c r="BO121" s="6">
        <v>0</v>
      </c>
      <c r="BP121" s="6">
        <f t="shared" si="112"/>
        <v>0</v>
      </c>
      <c r="BQ121" s="6">
        <f t="shared" si="113"/>
        <v>0</v>
      </c>
      <c r="BR121" s="6">
        <v>0</v>
      </c>
      <c r="BS121" s="6">
        <f t="shared" si="114"/>
        <v>0</v>
      </c>
      <c r="BT121" s="6">
        <f t="shared" si="115"/>
        <v>0</v>
      </c>
      <c r="BU121" s="6">
        <v>0</v>
      </c>
      <c r="BV121" s="6">
        <f t="shared" si="116"/>
        <v>0</v>
      </c>
      <c r="BW121" s="6">
        <f t="shared" si="117"/>
        <v>0</v>
      </c>
      <c r="BX121" s="6">
        <v>0</v>
      </c>
      <c r="BY121" s="6">
        <f t="shared" si="118"/>
        <v>0</v>
      </c>
      <c r="BZ121" s="6">
        <f t="shared" si="119"/>
        <v>0</v>
      </c>
      <c r="CA121" s="6">
        <v>0</v>
      </c>
      <c r="CB121" s="6">
        <f t="shared" si="120"/>
        <v>0</v>
      </c>
      <c r="CC121" s="6">
        <f t="shared" si="121"/>
        <v>0</v>
      </c>
      <c r="CD121" s="6">
        <v>0</v>
      </c>
      <c r="CE121" s="6">
        <f t="shared" si="122"/>
        <v>0</v>
      </c>
      <c r="CF121" s="6">
        <f t="shared" si="123"/>
        <v>0</v>
      </c>
      <c r="CG121" s="6">
        <v>0</v>
      </c>
      <c r="CH121" s="6">
        <f t="shared" si="124"/>
        <v>0</v>
      </c>
      <c r="CI121" s="6">
        <f t="shared" si="125"/>
        <v>0</v>
      </c>
      <c r="CJ121" s="6">
        <v>0</v>
      </c>
      <c r="CK121" s="6">
        <f t="shared" si="126"/>
        <v>0</v>
      </c>
      <c r="CL121" s="6">
        <f t="shared" si="127"/>
        <v>0</v>
      </c>
      <c r="CM121" s="6">
        <v>0</v>
      </c>
      <c r="CN121" s="6">
        <f t="shared" si="128"/>
        <v>0</v>
      </c>
      <c r="CO121" s="6">
        <f t="shared" si="129"/>
        <v>0</v>
      </c>
      <c r="CP121" s="6">
        <v>0</v>
      </c>
      <c r="CQ121" s="6">
        <f t="shared" si="130"/>
        <v>0</v>
      </c>
      <c r="CR121" s="6">
        <f t="shared" si="131"/>
        <v>0</v>
      </c>
      <c r="CS121" s="6">
        <v>0</v>
      </c>
      <c r="CT121" s="6">
        <f t="shared" si="132"/>
        <v>0</v>
      </c>
      <c r="CU121" s="6">
        <f t="shared" si="133"/>
        <v>0</v>
      </c>
      <c r="CV121" s="6">
        <v>0</v>
      </c>
      <c r="CW121" s="6">
        <f t="shared" si="134"/>
        <v>0</v>
      </c>
      <c r="CX121" s="6">
        <f t="shared" si="135"/>
        <v>0</v>
      </c>
      <c r="CY121" s="6">
        <v>0</v>
      </c>
      <c r="CZ121" s="6">
        <f t="shared" si="136"/>
        <v>0</v>
      </c>
      <c r="DA121" s="6">
        <f t="shared" si="137"/>
        <v>0</v>
      </c>
      <c r="DB121" s="6">
        <v>0</v>
      </c>
      <c r="DC121" s="6">
        <f t="shared" si="138"/>
        <v>0</v>
      </c>
      <c r="DD121" s="6">
        <f t="shared" si="139"/>
        <v>0</v>
      </c>
      <c r="DE121" s="6">
        <v>0</v>
      </c>
      <c r="DF121" s="6">
        <f t="shared" si="140"/>
        <v>0</v>
      </c>
      <c r="DG121" s="6">
        <f t="shared" si="141"/>
        <v>0</v>
      </c>
      <c r="DH121" s="6">
        <v>0</v>
      </c>
      <c r="DI121" s="6">
        <f t="shared" si="142"/>
        <v>0</v>
      </c>
      <c r="DJ121" s="6">
        <f t="shared" si="143"/>
        <v>0</v>
      </c>
      <c r="DK121" s="6">
        <v>0</v>
      </c>
      <c r="DL121" s="6">
        <f t="shared" si="144"/>
        <v>0</v>
      </c>
      <c r="DM121" s="6">
        <f t="shared" si="145"/>
        <v>0</v>
      </c>
      <c r="DN121" s="6">
        <v>0</v>
      </c>
      <c r="DO121" s="6">
        <f t="shared" si="146"/>
        <v>0</v>
      </c>
      <c r="DP121" s="6">
        <f t="shared" si="147"/>
        <v>0</v>
      </c>
    </row>
    <row r="122" spans="1:120" x14ac:dyDescent="0.2">
      <c r="A122" s="21">
        <v>50</v>
      </c>
      <c r="B122" s="21" t="s">
        <v>675</v>
      </c>
      <c r="C122" s="21">
        <v>50568</v>
      </c>
      <c r="D122" s="21" t="s">
        <v>700</v>
      </c>
      <c r="E122" s="21" t="s">
        <v>699</v>
      </c>
      <c r="F122" s="22" t="s">
        <v>659</v>
      </c>
      <c r="G122" s="4" t="s">
        <v>234</v>
      </c>
      <c r="H122" s="6">
        <v>220858.62</v>
      </c>
      <c r="I122" s="6">
        <f t="shared" si="155"/>
        <v>605.09210958904112</v>
      </c>
      <c r="J122" s="6">
        <v>208722.92139999999</v>
      </c>
      <c r="K122" s="6">
        <v>227544.49</v>
      </c>
      <c r="L122" s="6">
        <f t="shared" si="156"/>
        <v>621.70625683060109</v>
      </c>
      <c r="M122" s="6">
        <v>185133.62659999999</v>
      </c>
      <c r="N122" s="6">
        <v>180772.68</v>
      </c>
      <c r="O122" s="6">
        <f t="shared" si="157"/>
        <v>495.26761643835613</v>
      </c>
      <c r="P122" s="6">
        <v>163521.44099999999</v>
      </c>
      <c r="Q122" s="6">
        <v>107130.07</v>
      </c>
      <c r="R122" s="6">
        <f t="shared" si="158"/>
        <v>591.8788397790056</v>
      </c>
      <c r="S122" s="6">
        <v>144687.84640000001</v>
      </c>
      <c r="T122" s="6">
        <f t="shared" si="80"/>
        <v>144687.84640000001</v>
      </c>
      <c r="U122" s="6">
        <f t="shared" si="81"/>
        <v>396.40505863013703</v>
      </c>
      <c r="V122" s="6">
        <v>127473.8547</v>
      </c>
      <c r="W122" s="6">
        <f t="shared" si="82"/>
        <v>127473.8547</v>
      </c>
      <c r="X122" s="6">
        <f t="shared" si="83"/>
        <v>349.24343753424654</v>
      </c>
      <c r="Y122" s="6">
        <v>27761.575000000001</v>
      </c>
      <c r="Z122" s="6">
        <f t="shared" si="84"/>
        <v>27761.575000000001</v>
      </c>
      <c r="AA122" s="6">
        <f t="shared" si="85"/>
        <v>76.0591095890411</v>
      </c>
      <c r="AB122" s="6">
        <v>0</v>
      </c>
      <c r="AC122" s="6">
        <f t="shared" si="86"/>
        <v>0</v>
      </c>
      <c r="AD122" s="6">
        <f t="shared" si="87"/>
        <v>0</v>
      </c>
      <c r="AE122" s="6">
        <v>0</v>
      </c>
      <c r="AF122" s="6">
        <f t="shared" si="88"/>
        <v>0</v>
      </c>
      <c r="AG122" s="6">
        <f t="shared" si="89"/>
        <v>0</v>
      </c>
      <c r="AH122" s="6">
        <v>0</v>
      </c>
      <c r="AI122" s="6">
        <f t="shared" si="90"/>
        <v>0</v>
      </c>
      <c r="AJ122" s="6">
        <f t="shared" si="91"/>
        <v>0</v>
      </c>
      <c r="AK122" s="6">
        <v>0</v>
      </c>
      <c r="AL122" s="6">
        <f t="shared" si="92"/>
        <v>0</v>
      </c>
      <c r="AM122" s="6">
        <f t="shared" si="93"/>
        <v>0</v>
      </c>
      <c r="AN122" s="6">
        <v>0</v>
      </c>
      <c r="AO122" s="6">
        <f t="shared" si="94"/>
        <v>0</v>
      </c>
      <c r="AP122" s="6">
        <f t="shared" si="95"/>
        <v>0</v>
      </c>
      <c r="AQ122" s="6">
        <v>0</v>
      </c>
      <c r="AR122" s="6">
        <f t="shared" si="96"/>
        <v>0</v>
      </c>
      <c r="AS122" s="6">
        <f t="shared" si="97"/>
        <v>0</v>
      </c>
      <c r="AT122" s="6">
        <v>0</v>
      </c>
      <c r="AU122" s="6">
        <f t="shared" si="98"/>
        <v>0</v>
      </c>
      <c r="AV122" s="6">
        <f t="shared" si="99"/>
        <v>0</v>
      </c>
      <c r="AW122" s="6">
        <v>0</v>
      </c>
      <c r="AX122" s="6">
        <f t="shared" si="100"/>
        <v>0</v>
      </c>
      <c r="AY122" s="6">
        <f t="shared" si="101"/>
        <v>0</v>
      </c>
      <c r="AZ122" s="6">
        <v>0</v>
      </c>
      <c r="BA122" s="6">
        <f t="shared" si="102"/>
        <v>0</v>
      </c>
      <c r="BB122" s="6">
        <f t="shared" si="103"/>
        <v>0</v>
      </c>
      <c r="BC122" s="6">
        <v>0</v>
      </c>
      <c r="BD122" s="6">
        <f t="shared" si="104"/>
        <v>0</v>
      </c>
      <c r="BE122" s="6">
        <f t="shared" si="105"/>
        <v>0</v>
      </c>
      <c r="BF122" s="6">
        <v>0</v>
      </c>
      <c r="BG122" s="6">
        <f t="shared" si="106"/>
        <v>0</v>
      </c>
      <c r="BH122" s="6">
        <f t="shared" si="107"/>
        <v>0</v>
      </c>
      <c r="BI122" s="6">
        <v>0</v>
      </c>
      <c r="BJ122" s="6">
        <f t="shared" si="108"/>
        <v>0</v>
      </c>
      <c r="BK122" s="6">
        <f t="shared" si="109"/>
        <v>0</v>
      </c>
      <c r="BL122" s="6">
        <v>0</v>
      </c>
      <c r="BM122" s="6">
        <f t="shared" si="110"/>
        <v>0</v>
      </c>
      <c r="BN122" s="6">
        <f t="shared" si="111"/>
        <v>0</v>
      </c>
      <c r="BO122" s="6">
        <v>0</v>
      </c>
      <c r="BP122" s="6">
        <f t="shared" si="112"/>
        <v>0</v>
      </c>
      <c r="BQ122" s="6">
        <f t="shared" si="113"/>
        <v>0</v>
      </c>
      <c r="BR122" s="6">
        <v>0</v>
      </c>
      <c r="BS122" s="6">
        <f t="shared" si="114"/>
        <v>0</v>
      </c>
      <c r="BT122" s="6">
        <f t="shared" si="115"/>
        <v>0</v>
      </c>
      <c r="BU122" s="6">
        <v>0</v>
      </c>
      <c r="BV122" s="6">
        <f t="shared" si="116"/>
        <v>0</v>
      </c>
      <c r="BW122" s="6">
        <f t="shared" si="117"/>
        <v>0</v>
      </c>
      <c r="BX122" s="6">
        <v>0</v>
      </c>
      <c r="BY122" s="6">
        <f t="shared" si="118"/>
        <v>0</v>
      </c>
      <c r="BZ122" s="6">
        <f t="shared" si="119"/>
        <v>0</v>
      </c>
      <c r="CA122" s="6">
        <v>0</v>
      </c>
      <c r="CB122" s="6">
        <f t="shared" si="120"/>
        <v>0</v>
      </c>
      <c r="CC122" s="6">
        <f t="shared" si="121"/>
        <v>0</v>
      </c>
      <c r="CD122" s="6">
        <v>0</v>
      </c>
      <c r="CE122" s="6">
        <f t="shared" si="122"/>
        <v>0</v>
      </c>
      <c r="CF122" s="6">
        <f t="shared" si="123"/>
        <v>0</v>
      </c>
      <c r="CG122" s="6">
        <v>0</v>
      </c>
      <c r="CH122" s="6">
        <f t="shared" si="124"/>
        <v>0</v>
      </c>
      <c r="CI122" s="6">
        <f t="shared" si="125"/>
        <v>0</v>
      </c>
      <c r="CJ122" s="6">
        <v>0</v>
      </c>
      <c r="CK122" s="6">
        <f t="shared" si="126"/>
        <v>0</v>
      </c>
      <c r="CL122" s="6">
        <f t="shared" si="127"/>
        <v>0</v>
      </c>
      <c r="CM122" s="6">
        <v>0</v>
      </c>
      <c r="CN122" s="6">
        <f t="shared" si="128"/>
        <v>0</v>
      </c>
      <c r="CO122" s="6">
        <f t="shared" si="129"/>
        <v>0</v>
      </c>
      <c r="CP122" s="6">
        <v>0</v>
      </c>
      <c r="CQ122" s="6">
        <f t="shared" si="130"/>
        <v>0</v>
      </c>
      <c r="CR122" s="6">
        <f t="shared" si="131"/>
        <v>0</v>
      </c>
      <c r="CS122" s="6">
        <v>0</v>
      </c>
      <c r="CT122" s="6">
        <f t="shared" si="132"/>
        <v>0</v>
      </c>
      <c r="CU122" s="6">
        <f t="shared" si="133"/>
        <v>0</v>
      </c>
      <c r="CV122" s="6">
        <v>0</v>
      </c>
      <c r="CW122" s="6">
        <f t="shared" si="134"/>
        <v>0</v>
      </c>
      <c r="CX122" s="6">
        <f t="shared" si="135"/>
        <v>0</v>
      </c>
      <c r="CY122" s="6">
        <v>0</v>
      </c>
      <c r="CZ122" s="6">
        <f t="shared" si="136"/>
        <v>0</v>
      </c>
      <c r="DA122" s="6">
        <f t="shared" si="137"/>
        <v>0</v>
      </c>
      <c r="DB122" s="6">
        <v>0</v>
      </c>
      <c r="DC122" s="6">
        <f t="shared" si="138"/>
        <v>0</v>
      </c>
      <c r="DD122" s="6">
        <f t="shared" si="139"/>
        <v>0</v>
      </c>
      <c r="DE122" s="6">
        <v>0</v>
      </c>
      <c r="DF122" s="6">
        <f t="shared" si="140"/>
        <v>0</v>
      </c>
      <c r="DG122" s="6">
        <f t="shared" si="141"/>
        <v>0</v>
      </c>
      <c r="DH122" s="6">
        <v>0</v>
      </c>
      <c r="DI122" s="6">
        <f t="shared" si="142"/>
        <v>0</v>
      </c>
      <c r="DJ122" s="6">
        <f t="shared" si="143"/>
        <v>0</v>
      </c>
      <c r="DK122" s="6">
        <v>0</v>
      </c>
      <c r="DL122" s="6">
        <f t="shared" si="144"/>
        <v>0</v>
      </c>
      <c r="DM122" s="6">
        <f t="shared" si="145"/>
        <v>0</v>
      </c>
      <c r="DN122" s="6">
        <v>0</v>
      </c>
      <c r="DO122" s="6">
        <f t="shared" si="146"/>
        <v>0</v>
      </c>
      <c r="DP122" s="6">
        <f t="shared" si="147"/>
        <v>0</v>
      </c>
    </row>
    <row r="123" spans="1:120" x14ac:dyDescent="0.2">
      <c r="A123" s="21">
        <v>85</v>
      </c>
      <c r="B123" s="21" t="s">
        <v>612</v>
      </c>
      <c r="C123" s="21">
        <v>85139</v>
      </c>
      <c r="D123" s="21" t="s">
        <v>702</v>
      </c>
      <c r="E123" s="21" t="s">
        <v>619</v>
      </c>
      <c r="F123" s="22" t="s">
        <v>666</v>
      </c>
      <c r="G123" s="4" t="s">
        <v>235</v>
      </c>
      <c r="H123" s="6">
        <v>58903.44</v>
      </c>
      <c r="I123" s="6">
        <f t="shared" si="155"/>
        <v>161.37928767123287</v>
      </c>
      <c r="J123" s="6">
        <v>41666</v>
      </c>
      <c r="K123" s="6"/>
      <c r="L123" s="6"/>
      <c r="M123" s="6">
        <v>33752</v>
      </c>
      <c r="N123" s="6"/>
      <c r="O123" s="6"/>
      <c r="P123" s="6">
        <v>0</v>
      </c>
      <c r="Q123" s="6"/>
      <c r="R123" s="6"/>
      <c r="S123" s="6">
        <v>0</v>
      </c>
      <c r="T123" s="6">
        <f t="shared" si="80"/>
        <v>0</v>
      </c>
      <c r="U123" s="6">
        <f t="shared" si="81"/>
        <v>0</v>
      </c>
      <c r="V123" s="6">
        <v>0</v>
      </c>
      <c r="W123" s="6">
        <f t="shared" si="82"/>
        <v>0</v>
      </c>
      <c r="X123" s="6">
        <f t="shared" si="83"/>
        <v>0</v>
      </c>
      <c r="Y123" s="6">
        <v>0</v>
      </c>
      <c r="Z123" s="6">
        <f t="shared" si="84"/>
        <v>0</v>
      </c>
      <c r="AA123" s="6">
        <f t="shared" si="85"/>
        <v>0</v>
      </c>
      <c r="AB123" s="6">
        <v>0</v>
      </c>
      <c r="AC123" s="6">
        <f t="shared" si="86"/>
        <v>0</v>
      </c>
      <c r="AD123" s="6">
        <f t="shared" si="87"/>
        <v>0</v>
      </c>
      <c r="AE123" s="6">
        <v>0</v>
      </c>
      <c r="AF123" s="6">
        <f t="shared" si="88"/>
        <v>0</v>
      </c>
      <c r="AG123" s="6">
        <f t="shared" si="89"/>
        <v>0</v>
      </c>
      <c r="AH123" s="6">
        <v>0</v>
      </c>
      <c r="AI123" s="6">
        <f t="shared" si="90"/>
        <v>0</v>
      </c>
      <c r="AJ123" s="6">
        <f t="shared" si="91"/>
        <v>0</v>
      </c>
      <c r="AK123" s="6">
        <v>0</v>
      </c>
      <c r="AL123" s="6">
        <f t="shared" si="92"/>
        <v>0</v>
      </c>
      <c r="AM123" s="6">
        <f t="shared" si="93"/>
        <v>0</v>
      </c>
      <c r="AN123" s="6">
        <v>0</v>
      </c>
      <c r="AO123" s="6">
        <f t="shared" si="94"/>
        <v>0</v>
      </c>
      <c r="AP123" s="6">
        <f t="shared" si="95"/>
        <v>0</v>
      </c>
      <c r="AQ123" s="6">
        <v>0</v>
      </c>
      <c r="AR123" s="6">
        <f t="shared" si="96"/>
        <v>0</v>
      </c>
      <c r="AS123" s="6">
        <f t="shared" si="97"/>
        <v>0</v>
      </c>
      <c r="AT123" s="6">
        <v>0</v>
      </c>
      <c r="AU123" s="6">
        <f t="shared" si="98"/>
        <v>0</v>
      </c>
      <c r="AV123" s="6">
        <f t="shared" si="99"/>
        <v>0</v>
      </c>
      <c r="AW123" s="6">
        <v>0</v>
      </c>
      <c r="AX123" s="6">
        <f t="shared" si="100"/>
        <v>0</v>
      </c>
      <c r="AY123" s="6">
        <f t="shared" si="101"/>
        <v>0</v>
      </c>
      <c r="AZ123" s="6">
        <v>0</v>
      </c>
      <c r="BA123" s="6">
        <f t="shared" si="102"/>
        <v>0</v>
      </c>
      <c r="BB123" s="6">
        <f t="shared" si="103"/>
        <v>0</v>
      </c>
      <c r="BC123" s="6">
        <v>0</v>
      </c>
      <c r="BD123" s="6">
        <f t="shared" si="104"/>
        <v>0</v>
      </c>
      <c r="BE123" s="6">
        <f t="shared" si="105"/>
        <v>0</v>
      </c>
      <c r="BF123" s="6">
        <v>0</v>
      </c>
      <c r="BG123" s="6">
        <f t="shared" si="106"/>
        <v>0</v>
      </c>
      <c r="BH123" s="6">
        <f t="shared" si="107"/>
        <v>0</v>
      </c>
      <c r="BI123" s="6">
        <v>0</v>
      </c>
      <c r="BJ123" s="6">
        <f t="shared" si="108"/>
        <v>0</v>
      </c>
      <c r="BK123" s="6">
        <f t="shared" si="109"/>
        <v>0</v>
      </c>
      <c r="BL123" s="6">
        <v>0</v>
      </c>
      <c r="BM123" s="6">
        <f t="shared" si="110"/>
        <v>0</v>
      </c>
      <c r="BN123" s="6">
        <f t="shared" si="111"/>
        <v>0</v>
      </c>
      <c r="BO123" s="6">
        <v>0</v>
      </c>
      <c r="BP123" s="6">
        <f t="shared" si="112"/>
        <v>0</v>
      </c>
      <c r="BQ123" s="6">
        <f t="shared" si="113"/>
        <v>0</v>
      </c>
      <c r="BR123" s="6">
        <v>0</v>
      </c>
      <c r="BS123" s="6">
        <f t="shared" si="114"/>
        <v>0</v>
      </c>
      <c r="BT123" s="6">
        <f t="shared" si="115"/>
        <v>0</v>
      </c>
      <c r="BU123" s="6">
        <v>0</v>
      </c>
      <c r="BV123" s="6">
        <f t="shared" si="116"/>
        <v>0</v>
      </c>
      <c r="BW123" s="6">
        <f t="shared" si="117"/>
        <v>0</v>
      </c>
      <c r="BX123" s="6">
        <v>0</v>
      </c>
      <c r="BY123" s="6">
        <f t="shared" si="118"/>
        <v>0</v>
      </c>
      <c r="BZ123" s="6">
        <f t="shared" si="119"/>
        <v>0</v>
      </c>
      <c r="CA123" s="6">
        <v>0</v>
      </c>
      <c r="CB123" s="6">
        <f t="shared" si="120"/>
        <v>0</v>
      </c>
      <c r="CC123" s="6">
        <f t="shared" si="121"/>
        <v>0</v>
      </c>
      <c r="CD123" s="6">
        <v>0</v>
      </c>
      <c r="CE123" s="6">
        <f t="shared" si="122"/>
        <v>0</v>
      </c>
      <c r="CF123" s="6">
        <f t="shared" si="123"/>
        <v>0</v>
      </c>
      <c r="CG123" s="6">
        <v>0</v>
      </c>
      <c r="CH123" s="6">
        <f t="shared" si="124"/>
        <v>0</v>
      </c>
      <c r="CI123" s="6">
        <f t="shared" si="125"/>
        <v>0</v>
      </c>
      <c r="CJ123" s="6">
        <v>0</v>
      </c>
      <c r="CK123" s="6">
        <f t="shared" si="126"/>
        <v>0</v>
      </c>
      <c r="CL123" s="6">
        <f t="shared" si="127"/>
        <v>0</v>
      </c>
      <c r="CM123" s="6">
        <v>0</v>
      </c>
      <c r="CN123" s="6">
        <f t="shared" si="128"/>
        <v>0</v>
      </c>
      <c r="CO123" s="6">
        <f t="shared" si="129"/>
        <v>0</v>
      </c>
      <c r="CP123" s="6">
        <v>0</v>
      </c>
      <c r="CQ123" s="6">
        <f t="shared" si="130"/>
        <v>0</v>
      </c>
      <c r="CR123" s="6">
        <f t="shared" si="131"/>
        <v>0</v>
      </c>
      <c r="CS123" s="6">
        <v>0</v>
      </c>
      <c r="CT123" s="6">
        <f t="shared" si="132"/>
        <v>0</v>
      </c>
      <c r="CU123" s="6">
        <f t="shared" si="133"/>
        <v>0</v>
      </c>
      <c r="CV123" s="6">
        <v>0</v>
      </c>
      <c r="CW123" s="6">
        <f t="shared" si="134"/>
        <v>0</v>
      </c>
      <c r="CX123" s="6">
        <f t="shared" si="135"/>
        <v>0</v>
      </c>
      <c r="CY123" s="6">
        <v>0</v>
      </c>
      <c r="CZ123" s="6">
        <f t="shared" si="136"/>
        <v>0</v>
      </c>
      <c r="DA123" s="6">
        <f t="shared" si="137"/>
        <v>0</v>
      </c>
      <c r="DB123" s="6">
        <v>0</v>
      </c>
      <c r="DC123" s="6">
        <f t="shared" si="138"/>
        <v>0</v>
      </c>
      <c r="DD123" s="6">
        <f t="shared" si="139"/>
        <v>0</v>
      </c>
      <c r="DE123" s="6">
        <v>0</v>
      </c>
      <c r="DF123" s="6">
        <f t="shared" si="140"/>
        <v>0</v>
      </c>
      <c r="DG123" s="6">
        <f t="shared" si="141"/>
        <v>0</v>
      </c>
      <c r="DH123" s="6">
        <v>0</v>
      </c>
      <c r="DI123" s="6">
        <f t="shared" si="142"/>
        <v>0</v>
      </c>
      <c r="DJ123" s="6">
        <f t="shared" si="143"/>
        <v>0</v>
      </c>
      <c r="DK123" s="6">
        <v>0</v>
      </c>
      <c r="DL123" s="6">
        <f t="shared" si="144"/>
        <v>0</v>
      </c>
      <c r="DM123" s="6">
        <f t="shared" si="145"/>
        <v>0</v>
      </c>
      <c r="DN123" s="6">
        <v>0</v>
      </c>
      <c r="DO123" s="6">
        <f t="shared" si="146"/>
        <v>0</v>
      </c>
      <c r="DP123" s="6">
        <f t="shared" si="147"/>
        <v>0</v>
      </c>
    </row>
    <row r="124" spans="1:120" x14ac:dyDescent="0.2">
      <c r="A124" s="21">
        <v>41</v>
      </c>
      <c r="B124" s="21" t="s">
        <v>687</v>
      </c>
      <c r="C124" s="21">
        <v>41001</v>
      </c>
      <c r="D124" s="21" t="s">
        <v>721</v>
      </c>
      <c r="E124" s="21" t="s">
        <v>522</v>
      </c>
      <c r="F124" s="22" t="s">
        <v>666</v>
      </c>
      <c r="G124" s="4" t="s">
        <v>236</v>
      </c>
      <c r="H124" s="6">
        <v>1555.95</v>
      </c>
      <c r="I124" s="6">
        <f t="shared" si="155"/>
        <v>4.262876712328767</v>
      </c>
      <c r="J124" s="6">
        <v>2115</v>
      </c>
      <c r="K124" s="6">
        <v>607.97</v>
      </c>
      <c r="L124" s="6">
        <f t="shared" ref="L124:L141" si="159">K124/366</f>
        <v>1.6611202185792351</v>
      </c>
      <c r="M124" s="6">
        <v>1850</v>
      </c>
      <c r="N124" s="6"/>
      <c r="O124" s="6"/>
      <c r="P124" s="6">
        <v>1624</v>
      </c>
      <c r="Q124" s="6"/>
      <c r="R124" s="6"/>
      <c r="S124" s="6">
        <v>1424</v>
      </c>
      <c r="T124" s="6">
        <f t="shared" si="80"/>
        <v>1424</v>
      </c>
      <c r="U124" s="6">
        <f t="shared" si="81"/>
        <v>3.9013698630136986</v>
      </c>
      <c r="V124" s="6">
        <v>1252</v>
      </c>
      <c r="W124" s="6">
        <f t="shared" si="82"/>
        <v>1252</v>
      </c>
      <c r="X124" s="6">
        <f t="shared" si="83"/>
        <v>3.43013698630137</v>
      </c>
      <c r="Y124" s="6">
        <v>1095</v>
      </c>
      <c r="Z124" s="6">
        <f t="shared" si="84"/>
        <v>1095</v>
      </c>
      <c r="AA124" s="6">
        <f t="shared" si="85"/>
        <v>3</v>
      </c>
      <c r="AB124" s="6">
        <v>960</v>
      </c>
      <c r="AC124" s="6">
        <f t="shared" si="86"/>
        <v>960</v>
      </c>
      <c r="AD124" s="6">
        <f t="shared" si="87"/>
        <v>2.6301369863013697</v>
      </c>
      <c r="AE124" s="6">
        <v>842</v>
      </c>
      <c r="AF124" s="6">
        <f t="shared" si="88"/>
        <v>842</v>
      </c>
      <c r="AG124" s="6">
        <f t="shared" si="89"/>
        <v>2.3068493150684932</v>
      </c>
      <c r="AH124" s="6">
        <v>741</v>
      </c>
      <c r="AI124" s="6">
        <f t="shared" si="90"/>
        <v>741</v>
      </c>
      <c r="AJ124" s="6">
        <f t="shared" si="91"/>
        <v>2.0301369863013701</v>
      </c>
      <c r="AK124" s="6">
        <v>0</v>
      </c>
      <c r="AL124" s="6">
        <f t="shared" si="92"/>
        <v>0</v>
      </c>
      <c r="AM124" s="6">
        <f t="shared" si="93"/>
        <v>0</v>
      </c>
      <c r="AN124" s="6">
        <v>0</v>
      </c>
      <c r="AO124" s="6">
        <f t="shared" si="94"/>
        <v>0</v>
      </c>
      <c r="AP124" s="6">
        <f t="shared" si="95"/>
        <v>0</v>
      </c>
      <c r="AQ124" s="6">
        <v>0</v>
      </c>
      <c r="AR124" s="6">
        <f t="shared" si="96"/>
        <v>0</v>
      </c>
      <c r="AS124" s="6">
        <f t="shared" si="97"/>
        <v>0</v>
      </c>
      <c r="AT124" s="6">
        <v>0</v>
      </c>
      <c r="AU124" s="6">
        <f t="shared" si="98"/>
        <v>0</v>
      </c>
      <c r="AV124" s="6">
        <f t="shared" si="99"/>
        <v>0</v>
      </c>
      <c r="AW124" s="6">
        <v>0</v>
      </c>
      <c r="AX124" s="6">
        <f t="shared" si="100"/>
        <v>0</v>
      </c>
      <c r="AY124" s="6">
        <f t="shared" si="101"/>
        <v>0</v>
      </c>
      <c r="AZ124" s="6">
        <v>0</v>
      </c>
      <c r="BA124" s="6">
        <f t="shared" si="102"/>
        <v>0</v>
      </c>
      <c r="BB124" s="6">
        <f t="shared" si="103"/>
        <v>0</v>
      </c>
      <c r="BC124" s="6">
        <v>0</v>
      </c>
      <c r="BD124" s="6">
        <f t="shared" si="104"/>
        <v>0</v>
      </c>
      <c r="BE124" s="6">
        <f t="shared" si="105"/>
        <v>0</v>
      </c>
      <c r="BF124" s="6">
        <v>0</v>
      </c>
      <c r="BG124" s="6">
        <f t="shared" si="106"/>
        <v>0</v>
      </c>
      <c r="BH124" s="6">
        <f t="shared" si="107"/>
        <v>0</v>
      </c>
      <c r="BI124" s="6">
        <v>0</v>
      </c>
      <c r="BJ124" s="6">
        <f t="shared" si="108"/>
        <v>0</v>
      </c>
      <c r="BK124" s="6">
        <f t="shared" si="109"/>
        <v>0</v>
      </c>
      <c r="BL124" s="6">
        <v>0</v>
      </c>
      <c r="BM124" s="6">
        <f t="shared" si="110"/>
        <v>0</v>
      </c>
      <c r="BN124" s="6">
        <f t="shared" si="111"/>
        <v>0</v>
      </c>
      <c r="BO124" s="6">
        <v>0</v>
      </c>
      <c r="BP124" s="6">
        <f t="shared" si="112"/>
        <v>0</v>
      </c>
      <c r="BQ124" s="6">
        <f t="shared" si="113"/>
        <v>0</v>
      </c>
      <c r="BR124" s="6">
        <v>0</v>
      </c>
      <c r="BS124" s="6">
        <f t="shared" si="114"/>
        <v>0</v>
      </c>
      <c r="BT124" s="6">
        <f t="shared" si="115"/>
        <v>0</v>
      </c>
      <c r="BU124" s="6">
        <v>0</v>
      </c>
      <c r="BV124" s="6">
        <f t="shared" si="116"/>
        <v>0</v>
      </c>
      <c r="BW124" s="6">
        <f t="shared" si="117"/>
        <v>0</v>
      </c>
      <c r="BX124" s="6">
        <v>0</v>
      </c>
      <c r="BY124" s="6">
        <f t="shared" si="118"/>
        <v>0</v>
      </c>
      <c r="BZ124" s="6">
        <f t="shared" si="119"/>
        <v>0</v>
      </c>
      <c r="CA124" s="6">
        <v>0</v>
      </c>
      <c r="CB124" s="6">
        <f t="shared" si="120"/>
        <v>0</v>
      </c>
      <c r="CC124" s="6">
        <f t="shared" si="121"/>
        <v>0</v>
      </c>
      <c r="CD124" s="6">
        <v>0</v>
      </c>
      <c r="CE124" s="6">
        <f t="shared" si="122"/>
        <v>0</v>
      </c>
      <c r="CF124" s="6">
        <f t="shared" si="123"/>
        <v>0</v>
      </c>
      <c r="CG124" s="6">
        <v>0</v>
      </c>
      <c r="CH124" s="6">
        <f t="shared" si="124"/>
        <v>0</v>
      </c>
      <c r="CI124" s="6">
        <f t="shared" si="125"/>
        <v>0</v>
      </c>
      <c r="CJ124" s="6">
        <v>0</v>
      </c>
      <c r="CK124" s="6">
        <f t="shared" si="126"/>
        <v>0</v>
      </c>
      <c r="CL124" s="6">
        <f t="shared" si="127"/>
        <v>0</v>
      </c>
      <c r="CM124" s="6">
        <v>0</v>
      </c>
      <c r="CN124" s="6">
        <f t="shared" si="128"/>
        <v>0</v>
      </c>
      <c r="CO124" s="6">
        <f t="shared" si="129"/>
        <v>0</v>
      </c>
      <c r="CP124" s="6">
        <v>0</v>
      </c>
      <c r="CQ124" s="6">
        <f t="shared" si="130"/>
        <v>0</v>
      </c>
      <c r="CR124" s="6">
        <f t="shared" si="131"/>
        <v>0</v>
      </c>
      <c r="CS124" s="6">
        <v>0</v>
      </c>
      <c r="CT124" s="6">
        <f t="shared" si="132"/>
        <v>0</v>
      </c>
      <c r="CU124" s="6">
        <f t="shared" si="133"/>
        <v>0</v>
      </c>
      <c r="CV124" s="6">
        <v>0</v>
      </c>
      <c r="CW124" s="6">
        <f t="shared" si="134"/>
        <v>0</v>
      </c>
      <c r="CX124" s="6">
        <f t="shared" si="135"/>
        <v>0</v>
      </c>
      <c r="CY124" s="6">
        <v>0</v>
      </c>
      <c r="CZ124" s="6">
        <f t="shared" si="136"/>
        <v>0</v>
      </c>
      <c r="DA124" s="6">
        <f t="shared" si="137"/>
        <v>0</v>
      </c>
      <c r="DB124" s="6">
        <v>0</v>
      </c>
      <c r="DC124" s="6">
        <f t="shared" si="138"/>
        <v>0</v>
      </c>
      <c r="DD124" s="6">
        <f t="shared" si="139"/>
        <v>0</v>
      </c>
      <c r="DE124" s="6">
        <v>0</v>
      </c>
      <c r="DF124" s="6">
        <f t="shared" si="140"/>
        <v>0</v>
      </c>
      <c r="DG124" s="6">
        <f t="shared" si="141"/>
        <v>0</v>
      </c>
      <c r="DH124" s="6">
        <v>0</v>
      </c>
      <c r="DI124" s="6">
        <f t="shared" si="142"/>
        <v>0</v>
      </c>
      <c r="DJ124" s="6">
        <f t="shared" si="143"/>
        <v>0</v>
      </c>
      <c r="DK124" s="6">
        <v>0</v>
      </c>
      <c r="DL124" s="6">
        <f t="shared" si="144"/>
        <v>0</v>
      </c>
      <c r="DM124" s="6">
        <f t="shared" si="145"/>
        <v>0</v>
      </c>
      <c r="DN124" s="6">
        <v>0</v>
      </c>
      <c r="DO124" s="6">
        <f t="shared" si="146"/>
        <v>0</v>
      </c>
      <c r="DP124" s="6">
        <f t="shared" si="147"/>
        <v>0</v>
      </c>
    </row>
    <row r="125" spans="1:120" x14ac:dyDescent="0.2">
      <c r="A125" s="21">
        <v>85</v>
      </c>
      <c r="B125" s="21" t="s">
        <v>612</v>
      </c>
      <c r="C125" s="21">
        <v>85139</v>
      </c>
      <c r="D125" s="21" t="s">
        <v>702</v>
      </c>
      <c r="E125" s="21" t="s">
        <v>699</v>
      </c>
      <c r="F125" s="22" t="s">
        <v>662</v>
      </c>
      <c r="G125" s="4" t="s">
        <v>237</v>
      </c>
      <c r="H125" s="6">
        <v>70522.899999999994</v>
      </c>
      <c r="I125" s="6">
        <f t="shared" si="155"/>
        <v>193.21342465753423</v>
      </c>
      <c r="J125" s="6">
        <v>93307.665399999998</v>
      </c>
      <c r="K125" s="6">
        <v>47433.43</v>
      </c>
      <c r="L125" s="6">
        <f t="shared" si="159"/>
        <v>129.59953551912568</v>
      </c>
      <c r="M125" s="6">
        <v>117836.74189999999</v>
      </c>
      <c r="N125" s="6">
        <v>45700.73</v>
      </c>
      <c r="O125" s="6">
        <f t="shared" ref="O125:O141" si="160">N125/365</f>
        <v>125.2074794520548</v>
      </c>
      <c r="P125" s="6">
        <v>170076</v>
      </c>
      <c r="Q125" s="6">
        <v>19329.18</v>
      </c>
      <c r="R125" s="6">
        <f t="shared" ref="R125:R133" si="161">Q125/181</f>
        <v>106.79104972375691</v>
      </c>
      <c r="S125" s="6">
        <v>143592</v>
      </c>
      <c r="T125" s="6">
        <f t="shared" si="80"/>
        <v>143592</v>
      </c>
      <c r="U125" s="6">
        <f t="shared" si="81"/>
        <v>393.40273972602739</v>
      </c>
      <c r="V125" s="6">
        <v>102870</v>
      </c>
      <c r="W125" s="6">
        <f t="shared" si="82"/>
        <v>102870</v>
      </c>
      <c r="X125" s="6">
        <f t="shared" si="83"/>
        <v>281.83561643835617</v>
      </c>
      <c r="Y125" s="6">
        <v>72178</v>
      </c>
      <c r="Z125" s="6">
        <f t="shared" si="84"/>
        <v>72178</v>
      </c>
      <c r="AA125" s="6">
        <f t="shared" si="85"/>
        <v>197.74794520547945</v>
      </c>
      <c r="AB125" s="6">
        <v>52683</v>
      </c>
      <c r="AC125" s="6">
        <f t="shared" si="86"/>
        <v>52683</v>
      </c>
      <c r="AD125" s="6">
        <f t="shared" si="87"/>
        <v>144.33698630136988</v>
      </c>
      <c r="AE125" s="6">
        <v>40002</v>
      </c>
      <c r="AF125" s="6">
        <f t="shared" si="88"/>
        <v>40002</v>
      </c>
      <c r="AG125" s="6">
        <f t="shared" si="89"/>
        <v>109.59452054794521</v>
      </c>
      <c r="AH125" s="6">
        <v>31210</v>
      </c>
      <c r="AI125" s="6">
        <f t="shared" si="90"/>
        <v>31210</v>
      </c>
      <c r="AJ125" s="6">
        <f t="shared" si="91"/>
        <v>85.506849315068493</v>
      </c>
      <c r="AK125" s="6">
        <v>0</v>
      </c>
      <c r="AL125" s="6">
        <f t="shared" si="92"/>
        <v>0</v>
      </c>
      <c r="AM125" s="6">
        <f t="shared" si="93"/>
        <v>0</v>
      </c>
      <c r="AN125" s="6">
        <v>0</v>
      </c>
      <c r="AO125" s="6">
        <f t="shared" si="94"/>
        <v>0</v>
      </c>
      <c r="AP125" s="6">
        <f t="shared" si="95"/>
        <v>0</v>
      </c>
      <c r="AQ125" s="6">
        <v>0</v>
      </c>
      <c r="AR125" s="6">
        <f t="shared" si="96"/>
        <v>0</v>
      </c>
      <c r="AS125" s="6">
        <f t="shared" si="97"/>
        <v>0</v>
      </c>
      <c r="AT125" s="6">
        <v>0</v>
      </c>
      <c r="AU125" s="6">
        <f t="shared" si="98"/>
        <v>0</v>
      </c>
      <c r="AV125" s="6">
        <f t="shared" si="99"/>
        <v>0</v>
      </c>
      <c r="AW125" s="6">
        <v>0</v>
      </c>
      <c r="AX125" s="6">
        <f t="shared" si="100"/>
        <v>0</v>
      </c>
      <c r="AY125" s="6">
        <f t="shared" si="101"/>
        <v>0</v>
      </c>
      <c r="AZ125" s="6">
        <v>0</v>
      </c>
      <c r="BA125" s="6">
        <f t="shared" si="102"/>
        <v>0</v>
      </c>
      <c r="BB125" s="6">
        <f t="shared" si="103"/>
        <v>0</v>
      </c>
      <c r="BC125" s="6">
        <v>0</v>
      </c>
      <c r="BD125" s="6">
        <f t="shared" si="104"/>
        <v>0</v>
      </c>
      <c r="BE125" s="6">
        <f t="shared" si="105"/>
        <v>0</v>
      </c>
      <c r="BF125" s="6">
        <v>0</v>
      </c>
      <c r="BG125" s="6">
        <f t="shared" si="106"/>
        <v>0</v>
      </c>
      <c r="BH125" s="6">
        <f t="shared" si="107"/>
        <v>0</v>
      </c>
      <c r="BI125" s="6">
        <v>0</v>
      </c>
      <c r="BJ125" s="6">
        <f t="shared" si="108"/>
        <v>0</v>
      </c>
      <c r="BK125" s="6">
        <f t="shared" si="109"/>
        <v>0</v>
      </c>
      <c r="BL125" s="6">
        <v>0</v>
      </c>
      <c r="BM125" s="6">
        <f t="shared" si="110"/>
        <v>0</v>
      </c>
      <c r="BN125" s="6">
        <f t="shared" si="111"/>
        <v>0</v>
      </c>
      <c r="BO125" s="6">
        <v>0</v>
      </c>
      <c r="BP125" s="6">
        <f t="shared" si="112"/>
        <v>0</v>
      </c>
      <c r="BQ125" s="6">
        <f t="shared" si="113"/>
        <v>0</v>
      </c>
      <c r="BR125" s="6">
        <v>0</v>
      </c>
      <c r="BS125" s="6">
        <f t="shared" si="114"/>
        <v>0</v>
      </c>
      <c r="BT125" s="6">
        <f t="shared" si="115"/>
        <v>0</v>
      </c>
      <c r="BU125" s="6">
        <v>0</v>
      </c>
      <c r="BV125" s="6">
        <f t="shared" si="116"/>
        <v>0</v>
      </c>
      <c r="BW125" s="6">
        <f t="shared" si="117"/>
        <v>0</v>
      </c>
      <c r="BX125" s="6">
        <v>0</v>
      </c>
      <c r="BY125" s="6">
        <f t="shared" si="118"/>
        <v>0</v>
      </c>
      <c r="BZ125" s="6">
        <f t="shared" si="119"/>
        <v>0</v>
      </c>
      <c r="CA125" s="6">
        <v>0</v>
      </c>
      <c r="CB125" s="6">
        <f t="shared" si="120"/>
        <v>0</v>
      </c>
      <c r="CC125" s="6">
        <f t="shared" si="121"/>
        <v>0</v>
      </c>
      <c r="CD125" s="6">
        <v>0</v>
      </c>
      <c r="CE125" s="6">
        <f t="shared" si="122"/>
        <v>0</v>
      </c>
      <c r="CF125" s="6">
        <f t="shared" si="123"/>
        <v>0</v>
      </c>
      <c r="CG125" s="6">
        <v>0</v>
      </c>
      <c r="CH125" s="6">
        <f t="shared" si="124"/>
        <v>0</v>
      </c>
      <c r="CI125" s="6">
        <f t="shared" si="125"/>
        <v>0</v>
      </c>
      <c r="CJ125" s="6">
        <v>0</v>
      </c>
      <c r="CK125" s="6">
        <f t="shared" si="126"/>
        <v>0</v>
      </c>
      <c r="CL125" s="6">
        <f t="shared" si="127"/>
        <v>0</v>
      </c>
      <c r="CM125" s="6">
        <v>0</v>
      </c>
      <c r="CN125" s="6">
        <f t="shared" si="128"/>
        <v>0</v>
      </c>
      <c r="CO125" s="6">
        <f t="shared" si="129"/>
        <v>0</v>
      </c>
      <c r="CP125" s="6">
        <v>0</v>
      </c>
      <c r="CQ125" s="6">
        <f t="shared" si="130"/>
        <v>0</v>
      </c>
      <c r="CR125" s="6">
        <f t="shared" si="131"/>
        <v>0</v>
      </c>
      <c r="CS125" s="6">
        <v>0</v>
      </c>
      <c r="CT125" s="6">
        <f t="shared" si="132"/>
        <v>0</v>
      </c>
      <c r="CU125" s="6">
        <f t="shared" si="133"/>
        <v>0</v>
      </c>
      <c r="CV125" s="6">
        <v>0</v>
      </c>
      <c r="CW125" s="6">
        <f t="shared" si="134"/>
        <v>0</v>
      </c>
      <c r="CX125" s="6">
        <f t="shared" si="135"/>
        <v>0</v>
      </c>
      <c r="CY125" s="6">
        <v>0</v>
      </c>
      <c r="CZ125" s="6">
        <f t="shared" si="136"/>
        <v>0</v>
      </c>
      <c r="DA125" s="6">
        <f t="shared" si="137"/>
        <v>0</v>
      </c>
      <c r="DB125" s="6">
        <v>0</v>
      </c>
      <c r="DC125" s="6">
        <f t="shared" si="138"/>
        <v>0</v>
      </c>
      <c r="DD125" s="6">
        <f t="shared" si="139"/>
        <v>0</v>
      </c>
      <c r="DE125" s="6">
        <v>0</v>
      </c>
      <c r="DF125" s="6">
        <f t="shared" si="140"/>
        <v>0</v>
      </c>
      <c r="DG125" s="6">
        <f t="shared" si="141"/>
        <v>0</v>
      </c>
      <c r="DH125" s="6">
        <v>0</v>
      </c>
      <c r="DI125" s="6">
        <f t="shared" si="142"/>
        <v>0</v>
      </c>
      <c r="DJ125" s="6">
        <f t="shared" si="143"/>
        <v>0</v>
      </c>
      <c r="DK125" s="6">
        <v>0</v>
      </c>
      <c r="DL125" s="6">
        <f t="shared" si="144"/>
        <v>0</v>
      </c>
      <c r="DM125" s="6">
        <f t="shared" si="145"/>
        <v>0</v>
      </c>
      <c r="DN125" s="6">
        <v>0</v>
      </c>
      <c r="DO125" s="6">
        <f t="shared" si="146"/>
        <v>0</v>
      </c>
      <c r="DP125" s="6">
        <f t="shared" si="147"/>
        <v>0</v>
      </c>
    </row>
    <row r="126" spans="1:120" x14ac:dyDescent="0.2">
      <c r="A126" s="21">
        <v>81</v>
      </c>
      <c r="B126" s="21" t="s">
        <v>132</v>
      </c>
      <c r="C126" s="21">
        <v>81065</v>
      </c>
      <c r="D126" s="21" t="s">
        <v>682</v>
      </c>
      <c r="E126" s="21" t="s">
        <v>683</v>
      </c>
      <c r="F126" s="22" t="s">
        <v>662</v>
      </c>
      <c r="G126" s="4" t="s">
        <v>238</v>
      </c>
      <c r="H126" s="6">
        <v>103739.35</v>
      </c>
      <c r="I126" s="6">
        <f t="shared" si="155"/>
        <v>284.21739726027397</v>
      </c>
      <c r="J126" s="6">
        <v>81977</v>
      </c>
      <c r="K126" s="6">
        <v>71421.66</v>
      </c>
      <c r="L126" s="6">
        <f t="shared" si="159"/>
        <v>195.14114754098361</v>
      </c>
      <c r="M126" s="6">
        <v>40367</v>
      </c>
      <c r="N126" s="6">
        <v>52745.78</v>
      </c>
      <c r="O126" s="6">
        <f t="shared" si="160"/>
        <v>144.50898630136987</v>
      </c>
      <c r="P126" s="6">
        <v>21534</v>
      </c>
      <c r="Q126" s="6">
        <v>95059.32</v>
      </c>
      <c r="R126" s="6">
        <f t="shared" si="161"/>
        <v>525.18961325966859</v>
      </c>
      <c r="S126" s="6">
        <v>0</v>
      </c>
      <c r="T126" s="6">
        <f t="shared" si="80"/>
        <v>0</v>
      </c>
      <c r="U126" s="6">
        <f t="shared" si="81"/>
        <v>0</v>
      </c>
      <c r="V126" s="6">
        <v>0</v>
      </c>
      <c r="W126" s="6">
        <f t="shared" si="82"/>
        <v>0</v>
      </c>
      <c r="X126" s="6">
        <f t="shared" si="83"/>
        <v>0</v>
      </c>
      <c r="Y126" s="6">
        <v>0</v>
      </c>
      <c r="Z126" s="6">
        <f t="shared" si="84"/>
        <v>0</v>
      </c>
      <c r="AA126" s="6">
        <f t="shared" si="85"/>
        <v>0</v>
      </c>
      <c r="AB126" s="6">
        <v>0</v>
      </c>
      <c r="AC126" s="6">
        <f t="shared" si="86"/>
        <v>0</v>
      </c>
      <c r="AD126" s="6">
        <f t="shared" si="87"/>
        <v>0</v>
      </c>
      <c r="AE126" s="6">
        <v>0</v>
      </c>
      <c r="AF126" s="6">
        <f t="shared" si="88"/>
        <v>0</v>
      </c>
      <c r="AG126" s="6">
        <f t="shared" si="89"/>
        <v>0</v>
      </c>
      <c r="AH126" s="6">
        <v>0</v>
      </c>
      <c r="AI126" s="6">
        <f t="shared" si="90"/>
        <v>0</v>
      </c>
      <c r="AJ126" s="6">
        <f t="shared" si="91"/>
        <v>0</v>
      </c>
      <c r="AK126" s="6">
        <v>0</v>
      </c>
      <c r="AL126" s="6">
        <f t="shared" si="92"/>
        <v>0</v>
      </c>
      <c r="AM126" s="6">
        <f t="shared" si="93"/>
        <v>0</v>
      </c>
      <c r="AN126" s="6">
        <v>0</v>
      </c>
      <c r="AO126" s="6">
        <f t="shared" si="94"/>
        <v>0</v>
      </c>
      <c r="AP126" s="6">
        <f t="shared" si="95"/>
        <v>0</v>
      </c>
      <c r="AQ126" s="6">
        <v>0</v>
      </c>
      <c r="AR126" s="6">
        <f t="shared" si="96"/>
        <v>0</v>
      </c>
      <c r="AS126" s="6">
        <f t="shared" si="97"/>
        <v>0</v>
      </c>
      <c r="AT126" s="6">
        <v>0</v>
      </c>
      <c r="AU126" s="6">
        <f t="shared" si="98"/>
        <v>0</v>
      </c>
      <c r="AV126" s="6">
        <f t="shared" si="99"/>
        <v>0</v>
      </c>
      <c r="AW126" s="6">
        <v>0</v>
      </c>
      <c r="AX126" s="6">
        <f t="shared" si="100"/>
        <v>0</v>
      </c>
      <c r="AY126" s="6">
        <f t="shared" si="101"/>
        <v>0</v>
      </c>
      <c r="AZ126" s="6">
        <v>0</v>
      </c>
      <c r="BA126" s="6">
        <f t="shared" si="102"/>
        <v>0</v>
      </c>
      <c r="BB126" s="6">
        <f t="shared" si="103"/>
        <v>0</v>
      </c>
      <c r="BC126" s="6">
        <v>0</v>
      </c>
      <c r="BD126" s="6">
        <f t="shared" si="104"/>
        <v>0</v>
      </c>
      <c r="BE126" s="6">
        <f t="shared" si="105"/>
        <v>0</v>
      </c>
      <c r="BF126" s="6">
        <v>0</v>
      </c>
      <c r="BG126" s="6">
        <f t="shared" si="106"/>
        <v>0</v>
      </c>
      <c r="BH126" s="6">
        <f t="shared" si="107"/>
        <v>0</v>
      </c>
      <c r="BI126" s="6">
        <v>0</v>
      </c>
      <c r="BJ126" s="6">
        <f t="shared" si="108"/>
        <v>0</v>
      </c>
      <c r="BK126" s="6">
        <f t="shared" si="109"/>
        <v>0</v>
      </c>
      <c r="BL126" s="6">
        <v>0</v>
      </c>
      <c r="BM126" s="6">
        <f t="shared" si="110"/>
        <v>0</v>
      </c>
      <c r="BN126" s="6">
        <f t="shared" si="111"/>
        <v>0</v>
      </c>
      <c r="BO126" s="6">
        <v>0</v>
      </c>
      <c r="BP126" s="6">
        <f t="shared" si="112"/>
        <v>0</v>
      </c>
      <c r="BQ126" s="6">
        <f t="shared" si="113"/>
        <v>0</v>
      </c>
      <c r="BR126" s="6">
        <v>0</v>
      </c>
      <c r="BS126" s="6">
        <f t="shared" si="114"/>
        <v>0</v>
      </c>
      <c r="BT126" s="6">
        <f t="shared" si="115"/>
        <v>0</v>
      </c>
      <c r="BU126" s="6">
        <v>0</v>
      </c>
      <c r="BV126" s="6">
        <f t="shared" si="116"/>
        <v>0</v>
      </c>
      <c r="BW126" s="6">
        <f t="shared" si="117"/>
        <v>0</v>
      </c>
      <c r="BX126" s="6">
        <v>0</v>
      </c>
      <c r="BY126" s="6">
        <f t="shared" si="118"/>
        <v>0</v>
      </c>
      <c r="BZ126" s="6">
        <f t="shared" si="119"/>
        <v>0</v>
      </c>
      <c r="CA126" s="6">
        <v>0</v>
      </c>
      <c r="CB126" s="6">
        <f t="shared" si="120"/>
        <v>0</v>
      </c>
      <c r="CC126" s="6">
        <f t="shared" si="121"/>
        <v>0</v>
      </c>
      <c r="CD126" s="6">
        <v>0</v>
      </c>
      <c r="CE126" s="6">
        <f t="shared" si="122"/>
        <v>0</v>
      </c>
      <c r="CF126" s="6">
        <f t="shared" si="123"/>
        <v>0</v>
      </c>
      <c r="CG126" s="6">
        <v>0</v>
      </c>
      <c r="CH126" s="6">
        <f t="shared" si="124"/>
        <v>0</v>
      </c>
      <c r="CI126" s="6">
        <f t="shared" si="125"/>
        <v>0</v>
      </c>
      <c r="CJ126" s="6">
        <v>0</v>
      </c>
      <c r="CK126" s="6">
        <f t="shared" si="126"/>
        <v>0</v>
      </c>
      <c r="CL126" s="6">
        <f t="shared" si="127"/>
        <v>0</v>
      </c>
      <c r="CM126" s="6">
        <v>0</v>
      </c>
      <c r="CN126" s="6">
        <f t="shared" si="128"/>
        <v>0</v>
      </c>
      <c r="CO126" s="6">
        <f t="shared" si="129"/>
        <v>0</v>
      </c>
      <c r="CP126" s="6">
        <v>0</v>
      </c>
      <c r="CQ126" s="6">
        <f t="shared" si="130"/>
        <v>0</v>
      </c>
      <c r="CR126" s="6">
        <f t="shared" si="131"/>
        <v>0</v>
      </c>
      <c r="CS126" s="6">
        <v>0</v>
      </c>
      <c r="CT126" s="6">
        <f t="shared" si="132"/>
        <v>0</v>
      </c>
      <c r="CU126" s="6">
        <f t="shared" si="133"/>
        <v>0</v>
      </c>
      <c r="CV126" s="6">
        <v>0</v>
      </c>
      <c r="CW126" s="6">
        <f t="shared" si="134"/>
        <v>0</v>
      </c>
      <c r="CX126" s="6">
        <f t="shared" si="135"/>
        <v>0</v>
      </c>
      <c r="CY126" s="6">
        <v>0</v>
      </c>
      <c r="CZ126" s="6">
        <f t="shared" si="136"/>
        <v>0</v>
      </c>
      <c r="DA126" s="6">
        <f t="shared" si="137"/>
        <v>0</v>
      </c>
      <c r="DB126" s="6">
        <v>0</v>
      </c>
      <c r="DC126" s="6">
        <f t="shared" si="138"/>
        <v>0</v>
      </c>
      <c r="DD126" s="6">
        <f t="shared" si="139"/>
        <v>0</v>
      </c>
      <c r="DE126" s="6">
        <v>0</v>
      </c>
      <c r="DF126" s="6">
        <f t="shared" si="140"/>
        <v>0</v>
      </c>
      <c r="DG126" s="6">
        <f t="shared" si="141"/>
        <v>0</v>
      </c>
      <c r="DH126" s="6">
        <v>0</v>
      </c>
      <c r="DI126" s="6">
        <f t="shared" si="142"/>
        <v>0</v>
      </c>
      <c r="DJ126" s="6">
        <f t="shared" si="143"/>
        <v>0</v>
      </c>
      <c r="DK126" s="6">
        <v>0</v>
      </c>
      <c r="DL126" s="6">
        <f t="shared" si="144"/>
        <v>0</v>
      </c>
      <c r="DM126" s="6">
        <f t="shared" si="145"/>
        <v>0</v>
      </c>
      <c r="DN126" s="6">
        <v>0</v>
      </c>
      <c r="DO126" s="6">
        <f t="shared" si="146"/>
        <v>0</v>
      </c>
      <c r="DP126" s="6">
        <f t="shared" si="147"/>
        <v>0</v>
      </c>
    </row>
    <row r="127" spans="1:120" x14ac:dyDescent="0.2">
      <c r="A127" s="21">
        <v>68</v>
      </c>
      <c r="B127" s="21" t="s">
        <v>673</v>
      </c>
      <c r="C127" s="21">
        <v>68575</v>
      </c>
      <c r="D127" s="21" t="s">
        <v>722</v>
      </c>
      <c r="E127" s="21" t="s">
        <v>522</v>
      </c>
      <c r="F127" s="22" t="s">
        <v>666</v>
      </c>
      <c r="G127" s="4" t="s">
        <v>239</v>
      </c>
      <c r="H127" s="6">
        <v>270012.09999999998</v>
      </c>
      <c r="I127" s="6">
        <f t="shared" si="155"/>
        <v>739.75917808219174</v>
      </c>
      <c r="J127" s="6">
        <v>222058</v>
      </c>
      <c r="K127" s="6">
        <v>272530.36</v>
      </c>
      <c r="L127" s="6">
        <f t="shared" si="159"/>
        <v>744.61846994535517</v>
      </c>
      <c r="M127" s="6">
        <v>127657</v>
      </c>
      <c r="N127" s="6">
        <v>225085.04</v>
      </c>
      <c r="O127" s="6">
        <f t="shared" si="160"/>
        <v>616.67134246575347</v>
      </c>
      <c r="P127" s="6">
        <v>75755</v>
      </c>
      <c r="Q127" s="6">
        <v>107462.43</v>
      </c>
      <c r="R127" s="6">
        <f t="shared" si="161"/>
        <v>593.71508287292818</v>
      </c>
      <c r="S127" s="6">
        <v>46217</v>
      </c>
      <c r="T127" s="6">
        <f t="shared" si="80"/>
        <v>46217</v>
      </c>
      <c r="U127" s="6">
        <f t="shared" si="81"/>
        <v>126.62191780821918</v>
      </c>
      <c r="V127" s="6">
        <v>0</v>
      </c>
      <c r="W127" s="6">
        <f t="shared" si="82"/>
        <v>0</v>
      </c>
      <c r="X127" s="6">
        <f t="shared" si="83"/>
        <v>0</v>
      </c>
      <c r="Y127" s="6">
        <v>0</v>
      </c>
      <c r="Z127" s="6">
        <f t="shared" si="84"/>
        <v>0</v>
      </c>
      <c r="AA127" s="6">
        <f t="shared" si="85"/>
        <v>0</v>
      </c>
      <c r="AB127" s="6">
        <v>0</v>
      </c>
      <c r="AC127" s="6">
        <f t="shared" si="86"/>
        <v>0</v>
      </c>
      <c r="AD127" s="6">
        <f t="shared" si="87"/>
        <v>0</v>
      </c>
      <c r="AE127" s="6">
        <v>0</v>
      </c>
      <c r="AF127" s="6">
        <f t="shared" si="88"/>
        <v>0</v>
      </c>
      <c r="AG127" s="6">
        <f t="shared" si="89"/>
        <v>0</v>
      </c>
      <c r="AH127" s="6">
        <v>0</v>
      </c>
      <c r="AI127" s="6">
        <f t="shared" si="90"/>
        <v>0</v>
      </c>
      <c r="AJ127" s="6">
        <f t="shared" si="91"/>
        <v>0</v>
      </c>
      <c r="AK127" s="6">
        <v>0</v>
      </c>
      <c r="AL127" s="6">
        <f t="shared" si="92"/>
        <v>0</v>
      </c>
      <c r="AM127" s="6">
        <f t="shared" si="93"/>
        <v>0</v>
      </c>
      <c r="AN127" s="6">
        <v>0</v>
      </c>
      <c r="AO127" s="6">
        <f t="shared" si="94"/>
        <v>0</v>
      </c>
      <c r="AP127" s="6">
        <f t="shared" si="95"/>
        <v>0</v>
      </c>
      <c r="AQ127" s="6">
        <v>0</v>
      </c>
      <c r="AR127" s="6">
        <f t="shared" si="96"/>
        <v>0</v>
      </c>
      <c r="AS127" s="6">
        <f t="shared" si="97"/>
        <v>0</v>
      </c>
      <c r="AT127" s="6">
        <v>0</v>
      </c>
      <c r="AU127" s="6">
        <f t="shared" si="98"/>
        <v>0</v>
      </c>
      <c r="AV127" s="6">
        <f t="shared" si="99"/>
        <v>0</v>
      </c>
      <c r="AW127" s="6">
        <v>0</v>
      </c>
      <c r="AX127" s="6">
        <f t="shared" si="100"/>
        <v>0</v>
      </c>
      <c r="AY127" s="6">
        <f t="shared" si="101"/>
        <v>0</v>
      </c>
      <c r="AZ127" s="6">
        <v>0</v>
      </c>
      <c r="BA127" s="6">
        <f t="shared" si="102"/>
        <v>0</v>
      </c>
      <c r="BB127" s="6">
        <f t="shared" si="103"/>
        <v>0</v>
      </c>
      <c r="BC127" s="6">
        <v>0</v>
      </c>
      <c r="BD127" s="6">
        <f t="shared" si="104"/>
        <v>0</v>
      </c>
      <c r="BE127" s="6">
        <f t="shared" si="105"/>
        <v>0</v>
      </c>
      <c r="BF127" s="6">
        <v>0</v>
      </c>
      <c r="BG127" s="6">
        <f t="shared" si="106"/>
        <v>0</v>
      </c>
      <c r="BH127" s="6">
        <f t="shared" si="107"/>
        <v>0</v>
      </c>
      <c r="BI127" s="6">
        <v>0</v>
      </c>
      <c r="BJ127" s="6">
        <f t="shared" si="108"/>
        <v>0</v>
      </c>
      <c r="BK127" s="6">
        <f t="shared" si="109"/>
        <v>0</v>
      </c>
      <c r="BL127" s="6">
        <v>0</v>
      </c>
      <c r="BM127" s="6">
        <f t="shared" si="110"/>
        <v>0</v>
      </c>
      <c r="BN127" s="6">
        <f t="shared" si="111"/>
        <v>0</v>
      </c>
      <c r="BO127" s="6">
        <v>0</v>
      </c>
      <c r="BP127" s="6">
        <f t="shared" si="112"/>
        <v>0</v>
      </c>
      <c r="BQ127" s="6">
        <f t="shared" si="113"/>
        <v>0</v>
      </c>
      <c r="BR127" s="6">
        <v>0</v>
      </c>
      <c r="BS127" s="6">
        <f t="shared" si="114"/>
        <v>0</v>
      </c>
      <c r="BT127" s="6">
        <f t="shared" si="115"/>
        <v>0</v>
      </c>
      <c r="BU127" s="6">
        <v>0</v>
      </c>
      <c r="BV127" s="6">
        <f t="shared" si="116"/>
        <v>0</v>
      </c>
      <c r="BW127" s="6">
        <f t="shared" si="117"/>
        <v>0</v>
      </c>
      <c r="BX127" s="6">
        <v>0</v>
      </c>
      <c r="BY127" s="6">
        <f t="shared" si="118"/>
        <v>0</v>
      </c>
      <c r="BZ127" s="6">
        <f t="shared" si="119"/>
        <v>0</v>
      </c>
      <c r="CA127" s="6">
        <v>0</v>
      </c>
      <c r="CB127" s="6">
        <f t="shared" si="120"/>
        <v>0</v>
      </c>
      <c r="CC127" s="6">
        <f t="shared" si="121"/>
        <v>0</v>
      </c>
      <c r="CD127" s="6">
        <v>0</v>
      </c>
      <c r="CE127" s="6">
        <f t="shared" si="122"/>
        <v>0</v>
      </c>
      <c r="CF127" s="6">
        <f t="shared" si="123"/>
        <v>0</v>
      </c>
      <c r="CG127" s="6">
        <v>0</v>
      </c>
      <c r="CH127" s="6">
        <f t="shared" si="124"/>
        <v>0</v>
      </c>
      <c r="CI127" s="6">
        <f t="shared" si="125"/>
        <v>0</v>
      </c>
      <c r="CJ127" s="6">
        <v>0</v>
      </c>
      <c r="CK127" s="6">
        <f t="shared" si="126"/>
        <v>0</v>
      </c>
      <c r="CL127" s="6">
        <f t="shared" si="127"/>
        <v>0</v>
      </c>
      <c r="CM127" s="6">
        <v>0</v>
      </c>
      <c r="CN127" s="6">
        <f t="shared" si="128"/>
        <v>0</v>
      </c>
      <c r="CO127" s="6">
        <f t="shared" si="129"/>
        <v>0</v>
      </c>
      <c r="CP127" s="6">
        <v>0</v>
      </c>
      <c r="CQ127" s="6">
        <f t="shared" si="130"/>
        <v>0</v>
      </c>
      <c r="CR127" s="6">
        <f t="shared" si="131"/>
        <v>0</v>
      </c>
      <c r="CS127" s="6">
        <v>0</v>
      </c>
      <c r="CT127" s="6">
        <f t="shared" si="132"/>
        <v>0</v>
      </c>
      <c r="CU127" s="6">
        <f t="shared" si="133"/>
        <v>0</v>
      </c>
      <c r="CV127" s="6">
        <v>0</v>
      </c>
      <c r="CW127" s="6">
        <f t="shared" si="134"/>
        <v>0</v>
      </c>
      <c r="CX127" s="6">
        <f t="shared" si="135"/>
        <v>0</v>
      </c>
      <c r="CY127" s="6">
        <v>0</v>
      </c>
      <c r="CZ127" s="6">
        <f t="shared" si="136"/>
        <v>0</v>
      </c>
      <c r="DA127" s="6">
        <f t="shared" si="137"/>
        <v>0</v>
      </c>
      <c r="DB127" s="6">
        <v>0</v>
      </c>
      <c r="DC127" s="6">
        <f t="shared" si="138"/>
        <v>0</v>
      </c>
      <c r="DD127" s="6">
        <f t="shared" si="139"/>
        <v>0</v>
      </c>
      <c r="DE127" s="6">
        <v>0</v>
      </c>
      <c r="DF127" s="6">
        <f t="shared" si="140"/>
        <v>0</v>
      </c>
      <c r="DG127" s="6">
        <f t="shared" si="141"/>
        <v>0</v>
      </c>
      <c r="DH127" s="6">
        <v>0</v>
      </c>
      <c r="DI127" s="6">
        <f t="shared" si="142"/>
        <v>0</v>
      </c>
      <c r="DJ127" s="6">
        <f t="shared" si="143"/>
        <v>0</v>
      </c>
      <c r="DK127" s="6">
        <v>0</v>
      </c>
      <c r="DL127" s="6">
        <f t="shared" si="144"/>
        <v>0</v>
      </c>
      <c r="DM127" s="6">
        <f t="shared" si="145"/>
        <v>0</v>
      </c>
      <c r="DN127" s="6">
        <v>0</v>
      </c>
      <c r="DO127" s="6">
        <f t="shared" si="146"/>
        <v>0</v>
      </c>
      <c r="DP127" s="6">
        <f t="shared" si="147"/>
        <v>0</v>
      </c>
    </row>
    <row r="128" spans="1:120" x14ac:dyDescent="0.2">
      <c r="A128" s="21">
        <v>85</v>
      </c>
      <c r="B128" s="21" t="s">
        <v>612</v>
      </c>
      <c r="C128" s="21">
        <v>85001</v>
      </c>
      <c r="D128" s="21" t="s">
        <v>698</v>
      </c>
      <c r="E128" s="21" t="s">
        <v>522</v>
      </c>
      <c r="F128" s="22" t="s">
        <v>662</v>
      </c>
      <c r="G128" s="4" t="s">
        <v>240</v>
      </c>
      <c r="H128" s="6">
        <v>738380.77</v>
      </c>
      <c r="I128" s="6">
        <f t="shared" si="155"/>
        <v>2022.9610136986303</v>
      </c>
      <c r="J128" s="6">
        <v>539141.21759999997</v>
      </c>
      <c r="K128" s="6">
        <v>556870.49</v>
      </c>
      <c r="L128" s="6">
        <f t="shared" si="159"/>
        <v>1521.5040710382514</v>
      </c>
      <c r="M128" s="6">
        <v>365832.1802</v>
      </c>
      <c r="N128" s="6">
        <v>493116.59</v>
      </c>
      <c r="O128" s="6">
        <f t="shared" si="160"/>
        <v>1351.0043561643836</v>
      </c>
      <c r="P128" s="6">
        <v>250429.26449999999</v>
      </c>
      <c r="Q128" s="6">
        <v>252894.34</v>
      </c>
      <c r="R128" s="6">
        <f t="shared" si="161"/>
        <v>1397.2062983425415</v>
      </c>
      <c r="S128" s="6">
        <v>172405.022</v>
      </c>
      <c r="T128" s="6">
        <f t="shared" si="80"/>
        <v>172405.022</v>
      </c>
      <c r="U128" s="6">
        <f t="shared" si="81"/>
        <v>472.34252602739724</v>
      </c>
      <c r="V128" s="6">
        <v>113063.4883</v>
      </c>
      <c r="W128" s="6">
        <f t="shared" si="82"/>
        <v>113063.4883</v>
      </c>
      <c r="X128" s="6">
        <f t="shared" si="83"/>
        <v>309.76298164383559</v>
      </c>
      <c r="Y128" s="6">
        <v>0</v>
      </c>
      <c r="Z128" s="6">
        <f t="shared" si="84"/>
        <v>0</v>
      </c>
      <c r="AA128" s="6">
        <f t="shared" si="85"/>
        <v>0</v>
      </c>
      <c r="AB128" s="6">
        <v>0</v>
      </c>
      <c r="AC128" s="6">
        <f t="shared" si="86"/>
        <v>0</v>
      </c>
      <c r="AD128" s="6">
        <f t="shared" si="87"/>
        <v>0</v>
      </c>
      <c r="AE128" s="6">
        <v>0</v>
      </c>
      <c r="AF128" s="6">
        <f t="shared" si="88"/>
        <v>0</v>
      </c>
      <c r="AG128" s="6">
        <f t="shared" si="89"/>
        <v>0</v>
      </c>
      <c r="AH128" s="6">
        <v>0</v>
      </c>
      <c r="AI128" s="6">
        <f t="shared" si="90"/>
        <v>0</v>
      </c>
      <c r="AJ128" s="6">
        <f t="shared" si="91"/>
        <v>0</v>
      </c>
      <c r="AK128" s="6">
        <v>0</v>
      </c>
      <c r="AL128" s="6">
        <f t="shared" si="92"/>
        <v>0</v>
      </c>
      <c r="AM128" s="6">
        <f t="shared" si="93"/>
        <v>0</v>
      </c>
      <c r="AN128" s="6">
        <v>0</v>
      </c>
      <c r="AO128" s="6">
        <f t="shared" si="94"/>
        <v>0</v>
      </c>
      <c r="AP128" s="6">
        <f t="shared" si="95"/>
        <v>0</v>
      </c>
      <c r="AQ128" s="6">
        <v>0</v>
      </c>
      <c r="AR128" s="6">
        <f t="shared" si="96"/>
        <v>0</v>
      </c>
      <c r="AS128" s="6">
        <f t="shared" si="97"/>
        <v>0</v>
      </c>
      <c r="AT128" s="6">
        <v>0</v>
      </c>
      <c r="AU128" s="6">
        <f t="shared" si="98"/>
        <v>0</v>
      </c>
      <c r="AV128" s="6">
        <f t="shared" si="99"/>
        <v>0</v>
      </c>
      <c r="AW128" s="6">
        <v>0</v>
      </c>
      <c r="AX128" s="6">
        <f t="shared" si="100"/>
        <v>0</v>
      </c>
      <c r="AY128" s="6">
        <f t="shared" si="101"/>
        <v>0</v>
      </c>
      <c r="AZ128" s="6">
        <v>0</v>
      </c>
      <c r="BA128" s="6">
        <f t="shared" si="102"/>
        <v>0</v>
      </c>
      <c r="BB128" s="6">
        <f t="shared" si="103"/>
        <v>0</v>
      </c>
      <c r="BC128" s="6">
        <v>0</v>
      </c>
      <c r="BD128" s="6">
        <f t="shared" si="104"/>
        <v>0</v>
      </c>
      <c r="BE128" s="6">
        <f t="shared" si="105"/>
        <v>0</v>
      </c>
      <c r="BF128" s="6">
        <v>0</v>
      </c>
      <c r="BG128" s="6">
        <f t="shared" si="106"/>
        <v>0</v>
      </c>
      <c r="BH128" s="6">
        <f t="shared" si="107"/>
        <v>0</v>
      </c>
      <c r="BI128" s="6">
        <v>0</v>
      </c>
      <c r="BJ128" s="6">
        <f t="shared" si="108"/>
        <v>0</v>
      </c>
      <c r="BK128" s="6">
        <f t="shared" si="109"/>
        <v>0</v>
      </c>
      <c r="BL128" s="6">
        <v>0</v>
      </c>
      <c r="BM128" s="6">
        <f t="shared" si="110"/>
        <v>0</v>
      </c>
      <c r="BN128" s="6">
        <f t="shared" si="111"/>
        <v>0</v>
      </c>
      <c r="BO128" s="6">
        <v>0</v>
      </c>
      <c r="BP128" s="6">
        <f t="shared" si="112"/>
        <v>0</v>
      </c>
      <c r="BQ128" s="6">
        <f t="shared" si="113"/>
        <v>0</v>
      </c>
      <c r="BR128" s="6">
        <v>0</v>
      </c>
      <c r="BS128" s="6">
        <f t="shared" si="114"/>
        <v>0</v>
      </c>
      <c r="BT128" s="6">
        <f t="shared" si="115"/>
        <v>0</v>
      </c>
      <c r="BU128" s="6">
        <v>0</v>
      </c>
      <c r="BV128" s="6">
        <f t="shared" si="116"/>
        <v>0</v>
      </c>
      <c r="BW128" s="6">
        <f t="shared" si="117"/>
        <v>0</v>
      </c>
      <c r="BX128" s="6">
        <v>0</v>
      </c>
      <c r="BY128" s="6">
        <f t="shared" si="118"/>
        <v>0</v>
      </c>
      <c r="BZ128" s="6">
        <f t="shared" si="119"/>
        <v>0</v>
      </c>
      <c r="CA128" s="6">
        <v>0</v>
      </c>
      <c r="CB128" s="6">
        <f t="shared" si="120"/>
        <v>0</v>
      </c>
      <c r="CC128" s="6">
        <f t="shared" si="121"/>
        <v>0</v>
      </c>
      <c r="CD128" s="6">
        <v>0</v>
      </c>
      <c r="CE128" s="6">
        <f t="shared" si="122"/>
        <v>0</v>
      </c>
      <c r="CF128" s="6">
        <f t="shared" si="123"/>
        <v>0</v>
      </c>
      <c r="CG128" s="6">
        <v>0</v>
      </c>
      <c r="CH128" s="6">
        <f t="shared" si="124"/>
        <v>0</v>
      </c>
      <c r="CI128" s="6">
        <f t="shared" si="125"/>
        <v>0</v>
      </c>
      <c r="CJ128" s="6">
        <v>0</v>
      </c>
      <c r="CK128" s="6">
        <f t="shared" si="126"/>
        <v>0</v>
      </c>
      <c r="CL128" s="6">
        <f t="shared" si="127"/>
        <v>0</v>
      </c>
      <c r="CM128" s="6">
        <v>0</v>
      </c>
      <c r="CN128" s="6">
        <f t="shared" si="128"/>
        <v>0</v>
      </c>
      <c r="CO128" s="6">
        <f t="shared" si="129"/>
        <v>0</v>
      </c>
      <c r="CP128" s="6">
        <v>0</v>
      </c>
      <c r="CQ128" s="6">
        <f t="shared" si="130"/>
        <v>0</v>
      </c>
      <c r="CR128" s="6">
        <f t="shared" si="131"/>
        <v>0</v>
      </c>
      <c r="CS128" s="6">
        <v>0</v>
      </c>
      <c r="CT128" s="6">
        <f t="shared" si="132"/>
        <v>0</v>
      </c>
      <c r="CU128" s="6">
        <f t="shared" si="133"/>
        <v>0</v>
      </c>
      <c r="CV128" s="6">
        <v>0</v>
      </c>
      <c r="CW128" s="6">
        <f t="shared" si="134"/>
        <v>0</v>
      </c>
      <c r="CX128" s="6">
        <f t="shared" si="135"/>
        <v>0</v>
      </c>
      <c r="CY128" s="6">
        <v>0</v>
      </c>
      <c r="CZ128" s="6">
        <f t="shared" si="136"/>
        <v>0</v>
      </c>
      <c r="DA128" s="6">
        <f t="shared" si="137"/>
        <v>0</v>
      </c>
      <c r="DB128" s="6">
        <v>0</v>
      </c>
      <c r="DC128" s="6">
        <f t="shared" si="138"/>
        <v>0</v>
      </c>
      <c r="DD128" s="6">
        <f t="shared" si="139"/>
        <v>0</v>
      </c>
      <c r="DE128" s="6">
        <v>0</v>
      </c>
      <c r="DF128" s="6">
        <f t="shared" si="140"/>
        <v>0</v>
      </c>
      <c r="DG128" s="6">
        <f t="shared" si="141"/>
        <v>0</v>
      </c>
      <c r="DH128" s="6">
        <v>0</v>
      </c>
      <c r="DI128" s="6">
        <f t="shared" si="142"/>
        <v>0</v>
      </c>
      <c r="DJ128" s="6">
        <f t="shared" si="143"/>
        <v>0</v>
      </c>
      <c r="DK128" s="6">
        <v>0</v>
      </c>
      <c r="DL128" s="6">
        <f t="shared" si="144"/>
        <v>0</v>
      </c>
      <c r="DM128" s="6">
        <f t="shared" si="145"/>
        <v>0</v>
      </c>
      <c r="DN128" s="6">
        <v>0</v>
      </c>
      <c r="DO128" s="6">
        <f t="shared" si="146"/>
        <v>0</v>
      </c>
      <c r="DP128" s="6">
        <f t="shared" si="147"/>
        <v>0</v>
      </c>
    </row>
    <row r="129" spans="1:120" x14ac:dyDescent="0.2">
      <c r="A129" s="21">
        <v>85</v>
      </c>
      <c r="B129" s="21" t="s">
        <v>612</v>
      </c>
      <c r="C129" s="21">
        <v>85001</v>
      </c>
      <c r="D129" s="21" t="s">
        <v>698</v>
      </c>
      <c r="E129" s="21" t="s">
        <v>522</v>
      </c>
      <c r="F129" s="22" t="s">
        <v>662</v>
      </c>
      <c r="G129" s="4" t="s">
        <v>241</v>
      </c>
      <c r="H129" s="6">
        <v>381090.28</v>
      </c>
      <c r="I129" s="6">
        <f t="shared" si="155"/>
        <v>1044.0829589041098</v>
      </c>
      <c r="J129" s="6">
        <v>197346.0778</v>
      </c>
      <c r="K129" s="6">
        <v>336893.74</v>
      </c>
      <c r="L129" s="6">
        <f t="shared" si="159"/>
        <v>920.47469945355192</v>
      </c>
      <c r="M129" s="6">
        <v>0</v>
      </c>
      <c r="N129" s="6">
        <v>281728.21999999997</v>
      </c>
      <c r="O129" s="6">
        <f t="shared" si="160"/>
        <v>771.85813698630125</v>
      </c>
      <c r="P129" s="6">
        <v>0</v>
      </c>
      <c r="Q129" s="6">
        <v>134682.54999999999</v>
      </c>
      <c r="R129" s="6">
        <f t="shared" si="161"/>
        <v>744.10248618784522</v>
      </c>
      <c r="S129" s="6">
        <v>0</v>
      </c>
      <c r="T129" s="6">
        <f t="shared" si="80"/>
        <v>0</v>
      </c>
      <c r="U129" s="6">
        <f t="shared" si="81"/>
        <v>0</v>
      </c>
      <c r="V129" s="6">
        <v>0</v>
      </c>
      <c r="W129" s="6">
        <f t="shared" si="82"/>
        <v>0</v>
      </c>
      <c r="X129" s="6">
        <f t="shared" si="83"/>
        <v>0</v>
      </c>
      <c r="Y129" s="6">
        <v>0</v>
      </c>
      <c r="Z129" s="6">
        <f t="shared" si="84"/>
        <v>0</v>
      </c>
      <c r="AA129" s="6">
        <f t="shared" si="85"/>
        <v>0</v>
      </c>
      <c r="AB129" s="6">
        <v>0</v>
      </c>
      <c r="AC129" s="6">
        <f t="shared" si="86"/>
        <v>0</v>
      </c>
      <c r="AD129" s="6">
        <f t="shared" si="87"/>
        <v>0</v>
      </c>
      <c r="AE129" s="6">
        <v>0</v>
      </c>
      <c r="AF129" s="6">
        <f t="shared" si="88"/>
        <v>0</v>
      </c>
      <c r="AG129" s="6">
        <f t="shared" si="89"/>
        <v>0</v>
      </c>
      <c r="AH129" s="6">
        <v>0</v>
      </c>
      <c r="AI129" s="6">
        <f t="shared" si="90"/>
        <v>0</v>
      </c>
      <c r="AJ129" s="6">
        <f t="shared" si="91"/>
        <v>0</v>
      </c>
      <c r="AK129" s="6">
        <v>0</v>
      </c>
      <c r="AL129" s="6">
        <f t="shared" si="92"/>
        <v>0</v>
      </c>
      <c r="AM129" s="6">
        <f t="shared" si="93"/>
        <v>0</v>
      </c>
      <c r="AN129" s="6">
        <v>0</v>
      </c>
      <c r="AO129" s="6">
        <f t="shared" si="94"/>
        <v>0</v>
      </c>
      <c r="AP129" s="6">
        <f t="shared" si="95"/>
        <v>0</v>
      </c>
      <c r="AQ129" s="6">
        <v>0</v>
      </c>
      <c r="AR129" s="6">
        <f t="shared" si="96"/>
        <v>0</v>
      </c>
      <c r="AS129" s="6">
        <f t="shared" si="97"/>
        <v>0</v>
      </c>
      <c r="AT129" s="6">
        <v>0</v>
      </c>
      <c r="AU129" s="6">
        <f t="shared" si="98"/>
        <v>0</v>
      </c>
      <c r="AV129" s="6">
        <f t="shared" si="99"/>
        <v>0</v>
      </c>
      <c r="AW129" s="6">
        <v>0</v>
      </c>
      <c r="AX129" s="6">
        <f t="shared" si="100"/>
        <v>0</v>
      </c>
      <c r="AY129" s="6">
        <f t="shared" si="101"/>
        <v>0</v>
      </c>
      <c r="AZ129" s="6">
        <v>0</v>
      </c>
      <c r="BA129" s="6">
        <f t="shared" si="102"/>
        <v>0</v>
      </c>
      <c r="BB129" s="6">
        <f t="shared" si="103"/>
        <v>0</v>
      </c>
      <c r="BC129" s="6">
        <v>0</v>
      </c>
      <c r="BD129" s="6">
        <f t="shared" si="104"/>
        <v>0</v>
      </c>
      <c r="BE129" s="6">
        <f t="shared" si="105"/>
        <v>0</v>
      </c>
      <c r="BF129" s="6">
        <v>0</v>
      </c>
      <c r="BG129" s="6">
        <f t="shared" si="106"/>
        <v>0</v>
      </c>
      <c r="BH129" s="6">
        <f t="shared" si="107"/>
        <v>0</v>
      </c>
      <c r="BI129" s="6">
        <v>0</v>
      </c>
      <c r="BJ129" s="6">
        <f t="shared" si="108"/>
        <v>0</v>
      </c>
      <c r="BK129" s="6">
        <f t="shared" si="109"/>
        <v>0</v>
      </c>
      <c r="BL129" s="6">
        <v>0</v>
      </c>
      <c r="BM129" s="6">
        <f t="shared" si="110"/>
        <v>0</v>
      </c>
      <c r="BN129" s="6">
        <f t="shared" si="111"/>
        <v>0</v>
      </c>
      <c r="BO129" s="6">
        <v>0</v>
      </c>
      <c r="BP129" s="6">
        <f t="shared" si="112"/>
        <v>0</v>
      </c>
      <c r="BQ129" s="6">
        <f t="shared" si="113"/>
        <v>0</v>
      </c>
      <c r="BR129" s="6">
        <v>0</v>
      </c>
      <c r="BS129" s="6">
        <f t="shared" si="114"/>
        <v>0</v>
      </c>
      <c r="BT129" s="6">
        <f t="shared" si="115"/>
        <v>0</v>
      </c>
      <c r="BU129" s="6">
        <v>0</v>
      </c>
      <c r="BV129" s="6">
        <f t="shared" si="116"/>
        <v>0</v>
      </c>
      <c r="BW129" s="6">
        <f t="shared" si="117"/>
        <v>0</v>
      </c>
      <c r="BX129" s="6">
        <v>0</v>
      </c>
      <c r="BY129" s="6">
        <f t="shared" si="118"/>
        <v>0</v>
      </c>
      <c r="BZ129" s="6">
        <f t="shared" si="119"/>
        <v>0</v>
      </c>
      <c r="CA129" s="6">
        <v>0</v>
      </c>
      <c r="CB129" s="6">
        <f t="shared" si="120"/>
        <v>0</v>
      </c>
      <c r="CC129" s="6">
        <f t="shared" si="121"/>
        <v>0</v>
      </c>
      <c r="CD129" s="6">
        <v>0</v>
      </c>
      <c r="CE129" s="6">
        <f t="shared" si="122"/>
        <v>0</v>
      </c>
      <c r="CF129" s="6">
        <f t="shared" si="123"/>
        <v>0</v>
      </c>
      <c r="CG129" s="6">
        <v>0</v>
      </c>
      <c r="CH129" s="6">
        <f t="shared" si="124"/>
        <v>0</v>
      </c>
      <c r="CI129" s="6">
        <f t="shared" si="125"/>
        <v>0</v>
      </c>
      <c r="CJ129" s="6">
        <v>0</v>
      </c>
      <c r="CK129" s="6">
        <f t="shared" si="126"/>
        <v>0</v>
      </c>
      <c r="CL129" s="6">
        <f t="shared" si="127"/>
        <v>0</v>
      </c>
      <c r="CM129" s="6">
        <v>0</v>
      </c>
      <c r="CN129" s="6">
        <f t="shared" si="128"/>
        <v>0</v>
      </c>
      <c r="CO129" s="6">
        <f t="shared" si="129"/>
        <v>0</v>
      </c>
      <c r="CP129" s="6">
        <v>0</v>
      </c>
      <c r="CQ129" s="6">
        <f t="shared" si="130"/>
        <v>0</v>
      </c>
      <c r="CR129" s="6">
        <f t="shared" si="131"/>
        <v>0</v>
      </c>
      <c r="CS129" s="6">
        <v>0</v>
      </c>
      <c r="CT129" s="6">
        <f t="shared" si="132"/>
        <v>0</v>
      </c>
      <c r="CU129" s="6">
        <f t="shared" si="133"/>
        <v>0</v>
      </c>
      <c r="CV129" s="6">
        <v>0</v>
      </c>
      <c r="CW129" s="6">
        <f t="shared" si="134"/>
        <v>0</v>
      </c>
      <c r="CX129" s="6">
        <f t="shared" si="135"/>
        <v>0</v>
      </c>
      <c r="CY129" s="6">
        <v>0</v>
      </c>
      <c r="CZ129" s="6">
        <f t="shared" si="136"/>
        <v>0</v>
      </c>
      <c r="DA129" s="6">
        <f t="shared" si="137"/>
        <v>0</v>
      </c>
      <c r="DB129" s="6">
        <v>0</v>
      </c>
      <c r="DC129" s="6">
        <f t="shared" si="138"/>
        <v>0</v>
      </c>
      <c r="DD129" s="6">
        <f t="shared" si="139"/>
        <v>0</v>
      </c>
      <c r="DE129" s="6">
        <v>0</v>
      </c>
      <c r="DF129" s="6">
        <f t="shared" si="140"/>
        <v>0</v>
      </c>
      <c r="DG129" s="6">
        <f t="shared" si="141"/>
        <v>0</v>
      </c>
      <c r="DH129" s="6">
        <v>0</v>
      </c>
      <c r="DI129" s="6">
        <f t="shared" si="142"/>
        <v>0</v>
      </c>
      <c r="DJ129" s="6">
        <f t="shared" si="143"/>
        <v>0</v>
      </c>
      <c r="DK129" s="6">
        <v>0</v>
      </c>
      <c r="DL129" s="6">
        <f t="shared" si="144"/>
        <v>0</v>
      </c>
      <c r="DM129" s="6">
        <f t="shared" si="145"/>
        <v>0</v>
      </c>
      <c r="DN129" s="6">
        <v>0</v>
      </c>
      <c r="DO129" s="6">
        <f t="shared" si="146"/>
        <v>0</v>
      </c>
      <c r="DP129" s="6">
        <f t="shared" si="147"/>
        <v>0</v>
      </c>
    </row>
    <row r="130" spans="1:120" x14ac:dyDescent="0.2">
      <c r="A130" s="21">
        <v>50</v>
      </c>
      <c r="B130" s="21" t="s">
        <v>675</v>
      </c>
      <c r="C130" s="21">
        <v>50573</v>
      </c>
      <c r="D130" s="21" t="s">
        <v>723</v>
      </c>
      <c r="E130" s="21" t="s">
        <v>724</v>
      </c>
      <c r="F130" s="22" t="s">
        <v>669</v>
      </c>
      <c r="G130" s="4" t="s">
        <v>242</v>
      </c>
      <c r="H130" s="6">
        <v>40398.050000000003</v>
      </c>
      <c r="I130" s="6">
        <f t="shared" si="155"/>
        <v>110.67958904109589</v>
      </c>
      <c r="J130" s="6">
        <v>32837.055099999998</v>
      </c>
      <c r="K130" s="6">
        <v>30450.79</v>
      </c>
      <c r="L130" s="6">
        <f t="shared" si="159"/>
        <v>83.198879781420771</v>
      </c>
      <c r="M130" s="6">
        <v>47935.461499999998</v>
      </c>
      <c r="N130" s="6">
        <v>23601.58</v>
      </c>
      <c r="O130" s="6">
        <f t="shared" si="160"/>
        <v>64.661863013698635</v>
      </c>
      <c r="P130" s="6">
        <v>166860.8591</v>
      </c>
      <c r="Q130" s="6">
        <v>7320.69</v>
      </c>
      <c r="R130" s="6">
        <f t="shared" si="161"/>
        <v>40.445801104972375</v>
      </c>
      <c r="S130" s="6">
        <v>132908.4025</v>
      </c>
      <c r="T130" s="6">
        <f t="shared" ref="T130:T193" si="162">S130</f>
        <v>132908.4025</v>
      </c>
      <c r="U130" s="6">
        <f t="shared" ref="U130:U193" si="163">T130/365</f>
        <v>364.13260958904107</v>
      </c>
      <c r="V130" s="6">
        <v>106174.7957</v>
      </c>
      <c r="W130" s="6">
        <f t="shared" ref="W130:W193" si="164">V130</f>
        <v>106174.7957</v>
      </c>
      <c r="X130" s="6">
        <f t="shared" ref="X130:X193" si="165">W130/365</f>
        <v>290.88985123287671</v>
      </c>
      <c r="Y130" s="6">
        <v>85094.679399999994</v>
      </c>
      <c r="Z130" s="6">
        <f t="shared" ref="Z130:Z193" si="166">Y130</f>
        <v>85094.679399999994</v>
      </c>
      <c r="AA130" s="6">
        <f t="shared" ref="AA130:AA193" si="167">Z130/365</f>
        <v>233.13610794520545</v>
      </c>
      <c r="AB130" s="6">
        <v>35709.633800000003</v>
      </c>
      <c r="AC130" s="6">
        <f t="shared" ref="AC130:AC193" si="168">AB130</f>
        <v>35709.633800000003</v>
      </c>
      <c r="AD130" s="6">
        <f t="shared" ref="AD130:AD193" si="169">AC130/365</f>
        <v>97.834613150684945</v>
      </c>
      <c r="AE130" s="6">
        <v>12732.038200000001</v>
      </c>
      <c r="AF130" s="6">
        <f t="shared" ref="AF130:AF193" si="170">AE130</f>
        <v>12732.038200000001</v>
      </c>
      <c r="AG130" s="6">
        <f t="shared" ref="AG130:AG193" si="171">AF130/365</f>
        <v>34.882296438356164</v>
      </c>
      <c r="AH130" s="6">
        <v>11463.245699999999</v>
      </c>
      <c r="AI130" s="6">
        <f t="shared" ref="AI130:AI193" si="172">AH130</f>
        <v>11463.245699999999</v>
      </c>
      <c r="AJ130" s="6">
        <f t="shared" ref="AJ130:AJ193" si="173">AI130/365</f>
        <v>31.406152602739724</v>
      </c>
      <c r="AK130" s="6">
        <v>8714.8629999999994</v>
      </c>
      <c r="AL130" s="6">
        <f t="shared" ref="AL130:AL193" si="174">AK130</f>
        <v>8714.8629999999994</v>
      </c>
      <c r="AM130" s="6">
        <f t="shared" ref="AM130:AM193" si="175">AL130/365</f>
        <v>23.876336986301368</v>
      </c>
      <c r="AN130" s="6">
        <v>0</v>
      </c>
      <c r="AO130" s="6">
        <f t="shared" ref="AO130:AO193" si="176">AN130</f>
        <v>0</v>
      </c>
      <c r="AP130" s="6">
        <f t="shared" ref="AP130:AP193" si="177">AO130/365</f>
        <v>0</v>
      </c>
      <c r="AQ130" s="6">
        <v>0</v>
      </c>
      <c r="AR130" s="6">
        <f t="shared" ref="AR130:AR193" si="178">AQ130</f>
        <v>0</v>
      </c>
      <c r="AS130" s="6">
        <f t="shared" ref="AS130:AS193" si="179">AR130/365</f>
        <v>0</v>
      </c>
      <c r="AT130" s="6">
        <v>0</v>
      </c>
      <c r="AU130" s="6">
        <f t="shared" ref="AU130:AU193" si="180">AT130</f>
        <v>0</v>
      </c>
      <c r="AV130" s="6">
        <f t="shared" ref="AV130:AV193" si="181">AU130/365</f>
        <v>0</v>
      </c>
      <c r="AW130" s="6">
        <v>0</v>
      </c>
      <c r="AX130" s="6">
        <f t="shared" ref="AX130:AX193" si="182">AW130</f>
        <v>0</v>
      </c>
      <c r="AY130" s="6">
        <f t="shared" ref="AY130:AY193" si="183">AX130/365</f>
        <v>0</v>
      </c>
      <c r="AZ130" s="6">
        <v>0</v>
      </c>
      <c r="BA130" s="6">
        <f t="shared" ref="BA130:BA193" si="184">AZ130</f>
        <v>0</v>
      </c>
      <c r="BB130" s="6">
        <f t="shared" ref="BB130:BB193" si="185">BA130/365</f>
        <v>0</v>
      </c>
      <c r="BC130" s="6">
        <v>0</v>
      </c>
      <c r="BD130" s="6">
        <f t="shared" ref="BD130:BD193" si="186">BC130</f>
        <v>0</v>
      </c>
      <c r="BE130" s="6">
        <f t="shared" ref="BE130:BE193" si="187">BD130/365</f>
        <v>0</v>
      </c>
      <c r="BF130" s="6">
        <v>0</v>
      </c>
      <c r="BG130" s="6">
        <f t="shared" ref="BG130:BG193" si="188">BF130</f>
        <v>0</v>
      </c>
      <c r="BH130" s="6">
        <f t="shared" ref="BH130:BH193" si="189">BG130/365</f>
        <v>0</v>
      </c>
      <c r="BI130" s="6">
        <v>0</v>
      </c>
      <c r="BJ130" s="6">
        <f t="shared" ref="BJ130:BJ193" si="190">BI130</f>
        <v>0</v>
      </c>
      <c r="BK130" s="6">
        <f t="shared" ref="BK130:BK193" si="191">BJ130/365</f>
        <v>0</v>
      </c>
      <c r="BL130" s="6">
        <v>0</v>
      </c>
      <c r="BM130" s="6">
        <f t="shared" ref="BM130:BM193" si="192">BL130</f>
        <v>0</v>
      </c>
      <c r="BN130" s="6">
        <f t="shared" ref="BN130:BN193" si="193">BM130/365</f>
        <v>0</v>
      </c>
      <c r="BO130" s="6">
        <v>0</v>
      </c>
      <c r="BP130" s="6">
        <f t="shared" ref="BP130:BP193" si="194">BO130</f>
        <v>0</v>
      </c>
      <c r="BQ130" s="6">
        <f t="shared" ref="BQ130:BQ193" si="195">BP130/365</f>
        <v>0</v>
      </c>
      <c r="BR130" s="6">
        <v>0</v>
      </c>
      <c r="BS130" s="6">
        <f t="shared" ref="BS130:BS193" si="196">BR130</f>
        <v>0</v>
      </c>
      <c r="BT130" s="6">
        <f t="shared" ref="BT130:BT193" si="197">BS130/365</f>
        <v>0</v>
      </c>
      <c r="BU130" s="6">
        <v>0</v>
      </c>
      <c r="BV130" s="6">
        <f t="shared" ref="BV130:BV193" si="198">BU130</f>
        <v>0</v>
      </c>
      <c r="BW130" s="6">
        <f t="shared" ref="BW130:BW193" si="199">BV130/365</f>
        <v>0</v>
      </c>
      <c r="BX130" s="6">
        <v>0</v>
      </c>
      <c r="BY130" s="6">
        <f t="shared" ref="BY130:BY193" si="200">BX130</f>
        <v>0</v>
      </c>
      <c r="BZ130" s="6">
        <f t="shared" ref="BZ130:BZ193" si="201">BY130/365</f>
        <v>0</v>
      </c>
      <c r="CA130" s="6">
        <v>0</v>
      </c>
      <c r="CB130" s="6">
        <f t="shared" ref="CB130:CB193" si="202">CA130</f>
        <v>0</v>
      </c>
      <c r="CC130" s="6">
        <f t="shared" ref="CC130:CC193" si="203">CB130/365</f>
        <v>0</v>
      </c>
      <c r="CD130" s="6">
        <v>0</v>
      </c>
      <c r="CE130" s="6">
        <f t="shared" ref="CE130:CE193" si="204">CD130</f>
        <v>0</v>
      </c>
      <c r="CF130" s="6">
        <f t="shared" ref="CF130:CF193" si="205">CE130/365</f>
        <v>0</v>
      </c>
      <c r="CG130" s="6">
        <v>0</v>
      </c>
      <c r="CH130" s="6">
        <f t="shared" ref="CH130:CH193" si="206">CG130</f>
        <v>0</v>
      </c>
      <c r="CI130" s="6">
        <f t="shared" ref="CI130:CI193" si="207">CH130/365</f>
        <v>0</v>
      </c>
      <c r="CJ130" s="6">
        <v>0</v>
      </c>
      <c r="CK130" s="6">
        <f t="shared" ref="CK130:CK193" si="208">CJ130</f>
        <v>0</v>
      </c>
      <c r="CL130" s="6">
        <f t="shared" ref="CL130:CL193" si="209">CK130/365</f>
        <v>0</v>
      </c>
      <c r="CM130" s="6">
        <v>0</v>
      </c>
      <c r="CN130" s="6">
        <f t="shared" ref="CN130:CN193" si="210">CM130</f>
        <v>0</v>
      </c>
      <c r="CO130" s="6">
        <f t="shared" ref="CO130:CO193" si="211">CN130/365</f>
        <v>0</v>
      </c>
      <c r="CP130" s="6">
        <v>0</v>
      </c>
      <c r="CQ130" s="6">
        <f t="shared" ref="CQ130:CQ193" si="212">CP130</f>
        <v>0</v>
      </c>
      <c r="CR130" s="6">
        <f t="shared" ref="CR130:CR193" si="213">CQ130/365</f>
        <v>0</v>
      </c>
      <c r="CS130" s="6">
        <v>0</v>
      </c>
      <c r="CT130" s="6">
        <f t="shared" ref="CT130:CT193" si="214">CS130</f>
        <v>0</v>
      </c>
      <c r="CU130" s="6">
        <f t="shared" ref="CU130:CU193" si="215">CT130/365</f>
        <v>0</v>
      </c>
      <c r="CV130" s="6">
        <v>0</v>
      </c>
      <c r="CW130" s="6">
        <f t="shared" ref="CW130:CW193" si="216">CV130</f>
        <v>0</v>
      </c>
      <c r="CX130" s="6">
        <f t="shared" ref="CX130:CX193" si="217">CW130/365</f>
        <v>0</v>
      </c>
      <c r="CY130" s="6">
        <v>0</v>
      </c>
      <c r="CZ130" s="6">
        <f t="shared" ref="CZ130:CZ193" si="218">CY130</f>
        <v>0</v>
      </c>
      <c r="DA130" s="6">
        <f t="shared" ref="DA130:DA193" si="219">CZ130/365</f>
        <v>0</v>
      </c>
      <c r="DB130" s="6">
        <v>0</v>
      </c>
      <c r="DC130" s="6">
        <f t="shared" ref="DC130:DC193" si="220">DB130</f>
        <v>0</v>
      </c>
      <c r="DD130" s="6">
        <f t="shared" ref="DD130:DD193" si="221">DC130/365</f>
        <v>0</v>
      </c>
      <c r="DE130" s="6">
        <v>0</v>
      </c>
      <c r="DF130" s="6">
        <f t="shared" ref="DF130:DF193" si="222">DE130</f>
        <v>0</v>
      </c>
      <c r="DG130" s="6">
        <f t="shared" ref="DG130:DG193" si="223">DF130/365</f>
        <v>0</v>
      </c>
      <c r="DH130" s="6">
        <v>0</v>
      </c>
      <c r="DI130" s="6">
        <f t="shared" ref="DI130:DI193" si="224">DH130</f>
        <v>0</v>
      </c>
      <c r="DJ130" s="6">
        <f t="shared" ref="DJ130:DJ193" si="225">DI130/365</f>
        <v>0</v>
      </c>
      <c r="DK130" s="6">
        <v>0</v>
      </c>
      <c r="DL130" s="6">
        <f t="shared" ref="DL130:DL193" si="226">DK130</f>
        <v>0</v>
      </c>
      <c r="DM130" s="6">
        <f t="shared" ref="DM130:DM193" si="227">DL130/365</f>
        <v>0</v>
      </c>
      <c r="DN130" s="6">
        <v>0</v>
      </c>
      <c r="DO130" s="6">
        <f t="shared" ref="DO130:DO193" si="228">DN130</f>
        <v>0</v>
      </c>
      <c r="DP130" s="6">
        <f t="shared" ref="DP130:DP193" si="229">DO130/365</f>
        <v>0</v>
      </c>
    </row>
    <row r="131" spans="1:120" x14ac:dyDescent="0.2">
      <c r="A131" s="21">
        <v>81</v>
      </c>
      <c r="B131" s="21" t="s">
        <v>132</v>
      </c>
      <c r="C131" s="21">
        <v>81001</v>
      </c>
      <c r="D131" s="21" t="s">
        <v>132</v>
      </c>
      <c r="E131" s="21" t="s">
        <v>683</v>
      </c>
      <c r="F131" s="22" t="s">
        <v>662</v>
      </c>
      <c r="G131" s="4" t="s">
        <v>243</v>
      </c>
      <c r="H131" s="6">
        <v>12943.23</v>
      </c>
      <c r="I131" s="6">
        <f t="shared" si="155"/>
        <v>35.460904109589038</v>
      </c>
      <c r="J131" s="6">
        <v>9033.7981999999993</v>
      </c>
      <c r="K131" s="6">
        <v>9829.56</v>
      </c>
      <c r="L131" s="6">
        <f t="shared" si="159"/>
        <v>26.856721311475408</v>
      </c>
      <c r="M131" s="6">
        <v>6124.3743000000004</v>
      </c>
      <c r="N131" s="6">
        <v>5282.17</v>
      </c>
      <c r="O131" s="6">
        <f t="shared" si="160"/>
        <v>14.471698630136986</v>
      </c>
      <c r="P131" s="6">
        <v>4166</v>
      </c>
      <c r="Q131" s="6">
        <v>2895.83</v>
      </c>
      <c r="R131" s="6">
        <f t="shared" si="161"/>
        <v>15.999060773480663</v>
      </c>
      <c r="S131" s="6">
        <v>0</v>
      </c>
      <c r="T131" s="6">
        <f t="shared" si="162"/>
        <v>0</v>
      </c>
      <c r="U131" s="6">
        <f t="shared" si="163"/>
        <v>0</v>
      </c>
      <c r="V131" s="6">
        <v>0</v>
      </c>
      <c r="W131" s="6">
        <f t="shared" si="164"/>
        <v>0</v>
      </c>
      <c r="X131" s="6">
        <f t="shared" si="165"/>
        <v>0</v>
      </c>
      <c r="Y131" s="6">
        <v>0</v>
      </c>
      <c r="Z131" s="6">
        <f t="shared" si="166"/>
        <v>0</v>
      </c>
      <c r="AA131" s="6">
        <f t="shared" si="167"/>
        <v>0</v>
      </c>
      <c r="AB131" s="6">
        <v>0</v>
      </c>
      <c r="AC131" s="6">
        <f t="shared" si="168"/>
        <v>0</v>
      </c>
      <c r="AD131" s="6">
        <f t="shared" si="169"/>
        <v>0</v>
      </c>
      <c r="AE131" s="6">
        <v>0</v>
      </c>
      <c r="AF131" s="6">
        <f t="shared" si="170"/>
        <v>0</v>
      </c>
      <c r="AG131" s="6">
        <f t="shared" si="171"/>
        <v>0</v>
      </c>
      <c r="AH131" s="6">
        <v>0</v>
      </c>
      <c r="AI131" s="6">
        <f t="shared" si="172"/>
        <v>0</v>
      </c>
      <c r="AJ131" s="6">
        <f t="shared" si="173"/>
        <v>0</v>
      </c>
      <c r="AK131" s="6">
        <v>0</v>
      </c>
      <c r="AL131" s="6">
        <f t="shared" si="174"/>
        <v>0</v>
      </c>
      <c r="AM131" s="6">
        <f t="shared" si="175"/>
        <v>0</v>
      </c>
      <c r="AN131" s="6">
        <v>0</v>
      </c>
      <c r="AO131" s="6">
        <f t="shared" si="176"/>
        <v>0</v>
      </c>
      <c r="AP131" s="6">
        <f t="shared" si="177"/>
        <v>0</v>
      </c>
      <c r="AQ131" s="6">
        <v>0</v>
      </c>
      <c r="AR131" s="6">
        <f t="shared" si="178"/>
        <v>0</v>
      </c>
      <c r="AS131" s="6">
        <f t="shared" si="179"/>
        <v>0</v>
      </c>
      <c r="AT131" s="6">
        <v>0</v>
      </c>
      <c r="AU131" s="6">
        <f t="shared" si="180"/>
        <v>0</v>
      </c>
      <c r="AV131" s="6">
        <f t="shared" si="181"/>
        <v>0</v>
      </c>
      <c r="AW131" s="6">
        <v>0</v>
      </c>
      <c r="AX131" s="6">
        <f t="shared" si="182"/>
        <v>0</v>
      </c>
      <c r="AY131" s="6">
        <f t="shared" si="183"/>
        <v>0</v>
      </c>
      <c r="AZ131" s="6">
        <v>0</v>
      </c>
      <c r="BA131" s="6">
        <f t="shared" si="184"/>
        <v>0</v>
      </c>
      <c r="BB131" s="6">
        <f t="shared" si="185"/>
        <v>0</v>
      </c>
      <c r="BC131" s="6">
        <v>0</v>
      </c>
      <c r="BD131" s="6">
        <f t="shared" si="186"/>
        <v>0</v>
      </c>
      <c r="BE131" s="6">
        <f t="shared" si="187"/>
        <v>0</v>
      </c>
      <c r="BF131" s="6">
        <v>0</v>
      </c>
      <c r="BG131" s="6">
        <f t="shared" si="188"/>
        <v>0</v>
      </c>
      <c r="BH131" s="6">
        <f t="shared" si="189"/>
        <v>0</v>
      </c>
      <c r="BI131" s="6">
        <v>0</v>
      </c>
      <c r="BJ131" s="6">
        <f t="shared" si="190"/>
        <v>0</v>
      </c>
      <c r="BK131" s="6">
        <f t="shared" si="191"/>
        <v>0</v>
      </c>
      <c r="BL131" s="6">
        <v>0</v>
      </c>
      <c r="BM131" s="6">
        <f t="shared" si="192"/>
        <v>0</v>
      </c>
      <c r="BN131" s="6">
        <f t="shared" si="193"/>
        <v>0</v>
      </c>
      <c r="BO131" s="6">
        <v>0</v>
      </c>
      <c r="BP131" s="6">
        <f t="shared" si="194"/>
        <v>0</v>
      </c>
      <c r="BQ131" s="6">
        <f t="shared" si="195"/>
        <v>0</v>
      </c>
      <c r="BR131" s="6">
        <v>0</v>
      </c>
      <c r="BS131" s="6">
        <f t="shared" si="196"/>
        <v>0</v>
      </c>
      <c r="BT131" s="6">
        <f t="shared" si="197"/>
        <v>0</v>
      </c>
      <c r="BU131" s="6">
        <v>0</v>
      </c>
      <c r="BV131" s="6">
        <f t="shared" si="198"/>
        <v>0</v>
      </c>
      <c r="BW131" s="6">
        <f t="shared" si="199"/>
        <v>0</v>
      </c>
      <c r="BX131" s="6">
        <v>0</v>
      </c>
      <c r="BY131" s="6">
        <f t="shared" si="200"/>
        <v>0</v>
      </c>
      <c r="BZ131" s="6">
        <f t="shared" si="201"/>
        <v>0</v>
      </c>
      <c r="CA131" s="6">
        <v>0</v>
      </c>
      <c r="CB131" s="6">
        <f t="shared" si="202"/>
        <v>0</v>
      </c>
      <c r="CC131" s="6">
        <f t="shared" si="203"/>
        <v>0</v>
      </c>
      <c r="CD131" s="6">
        <v>0</v>
      </c>
      <c r="CE131" s="6">
        <f t="shared" si="204"/>
        <v>0</v>
      </c>
      <c r="CF131" s="6">
        <f t="shared" si="205"/>
        <v>0</v>
      </c>
      <c r="CG131" s="6">
        <v>0</v>
      </c>
      <c r="CH131" s="6">
        <f t="shared" si="206"/>
        <v>0</v>
      </c>
      <c r="CI131" s="6">
        <f t="shared" si="207"/>
        <v>0</v>
      </c>
      <c r="CJ131" s="6">
        <v>0</v>
      </c>
      <c r="CK131" s="6">
        <f t="shared" si="208"/>
        <v>0</v>
      </c>
      <c r="CL131" s="6">
        <f t="shared" si="209"/>
        <v>0</v>
      </c>
      <c r="CM131" s="6">
        <v>0</v>
      </c>
      <c r="CN131" s="6">
        <f t="shared" si="210"/>
        <v>0</v>
      </c>
      <c r="CO131" s="6">
        <f t="shared" si="211"/>
        <v>0</v>
      </c>
      <c r="CP131" s="6">
        <v>0</v>
      </c>
      <c r="CQ131" s="6">
        <f t="shared" si="212"/>
        <v>0</v>
      </c>
      <c r="CR131" s="6">
        <f t="shared" si="213"/>
        <v>0</v>
      </c>
      <c r="CS131" s="6">
        <v>0</v>
      </c>
      <c r="CT131" s="6">
        <f t="shared" si="214"/>
        <v>0</v>
      </c>
      <c r="CU131" s="6">
        <f t="shared" si="215"/>
        <v>0</v>
      </c>
      <c r="CV131" s="6">
        <v>0</v>
      </c>
      <c r="CW131" s="6">
        <f t="shared" si="216"/>
        <v>0</v>
      </c>
      <c r="CX131" s="6">
        <f t="shared" si="217"/>
        <v>0</v>
      </c>
      <c r="CY131" s="6">
        <v>0</v>
      </c>
      <c r="CZ131" s="6">
        <f t="shared" si="218"/>
        <v>0</v>
      </c>
      <c r="DA131" s="6">
        <f t="shared" si="219"/>
        <v>0</v>
      </c>
      <c r="DB131" s="6">
        <v>0</v>
      </c>
      <c r="DC131" s="6">
        <f t="shared" si="220"/>
        <v>0</v>
      </c>
      <c r="DD131" s="6">
        <f t="shared" si="221"/>
        <v>0</v>
      </c>
      <c r="DE131" s="6">
        <v>0</v>
      </c>
      <c r="DF131" s="6">
        <f t="shared" si="222"/>
        <v>0</v>
      </c>
      <c r="DG131" s="6">
        <f t="shared" si="223"/>
        <v>0</v>
      </c>
      <c r="DH131" s="6">
        <v>0</v>
      </c>
      <c r="DI131" s="6">
        <f t="shared" si="224"/>
        <v>0</v>
      </c>
      <c r="DJ131" s="6">
        <f t="shared" si="225"/>
        <v>0</v>
      </c>
      <c r="DK131" s="6">
        <v>0</v>
      </c>
      <c r="DL131" s="6">
        <f t="shared" si="226"/>
        <v>0</v>
      </c>
      <c r="DM131" s="6">
        <f t="shared" si="227"/>
        <v>0</v>
      </c>
      <c r="DN131" s="6">
        <v>0</v>
      </c>
      <c r="DO131" s="6">
        <f t="shared" si="228"/>
        <v>0</v>
      </c>
      <c r="DP131" s="6">
        <f t="shared" si="229"/>
        <v>0</v>
      </c>
    </row>
    <row r="132" spans="1:120" x14ac:dyDescent="0.2">
      <c r="A132" s="21">
        <v>68</v>
      </c>
      <c r="B132" s="21" t="s">
        <v>673</v>
      </c>
      <c r="C132" s="21">
        <v>68575</v>
      </c>
      <c r="D132" s="21" t="s">
        <v>722</v>
      </c>
      <c r="E132" s="21" t="s">
        <v>522</v>
      </c>
      <c r="F132" s="22" t="s">
        <v>666</v>
      </c>
      <c r="G132" s="4" t="s">
        <v>244</v>
      </c>
      <c r="H132" s="6">
        <v>168557.31</v>
      </c>
      <c r="I132" s="6">
        <f t="shared" si="155"/>
        <v>461.80084931506849</v>
      </c>
      <c r="J132" s="6">
        <v>142508</v>
      </c>
      <c r="K132" s="6">
        <v>130702.45</v>
      </c>
      <c r="L132" s="6">
        <f t="shared" si="159"/>
        <v>357.11051912568303</v>
      </c>
      <c r="M132" s="6">
        <v>120158</v>
      </c>
      <c r="N132" s="6">
        <v>215500.98</v>
      </c>
      <c r="O132" s="6">
        <f t="shared" si="160"/>
        <v>590.41364383561643</v>
      </c>
      <c r="P132" s="6">
        <v>96489</v>
      </c>
      <c r="Q132" s="6">
        <v>106908.84</v>
      </c>
      <c r="R132" s="6">
        <f t="shared" si="161"/>
        <v>590.65657458563533</v>
      </c>
      <c r="S132" s="6">
        <v>79075</v>
      </c>
      <c r="T132" s="6">
        <f t="shared" si="162"/>
        <v>79075</v>
      </c>
      <c r="U132" s="6">
        <f t="shared" si="163"/>
        <v>216.64383561643837</v>
      </c>
      <c r="V132" s="6">
        <v>66133</v>
      </c>
      <c r="W132" s="6">
        <f t="shared" si="164"/>
        <v>66133</v>
      </c>
      <c r="X132" s="6">
        <f t="shared" si="165"/>
        <v>181.186301369863</v>
      </c>
      <c r="Y132" s="6">
        <v>55823</v>
      </c>
      <c r="Z132" s="6">
        <f t="shared" si="166"/>
        <v>55823</v>
      </c>
      <c r="AA132" s="6">
        <f t="shared" si="167"/>
        <v>152.93972602739726</v>
      </c>
      <c r="AB132" s="6">
        <v>47845</v>
      </c>
      <c r="AC132" s="6">
        <f t="shared" si="168"/>
        <v>47845</v>
      </c>
      <c r="AD132" s="6">
        <f t="shared" si="169"/>
        <v>131.08219178082192</v>
      </c>
      <c r="AE132" s="6">
        <v>41400</v>
      </c>
      <c r="AF132" s="6">
        <f t="shared" si="170"/>
        <v>41400</v>
      </c>
      <c r="AG132" s="6">
        <f t="shared" si="171"/>
        <v>113.42465753424658</v>
      </c>
      <c r="AH132" s="6">
        <v>0</v>
      </c>
      <c r="AI132" s="6">
        <f t="shared" si="172"/>
        <v>0</v>
      </c>
      <c r="AJ132" s="6">
        <f t="shared" si="173"/>
        <v>0</v>
      </c>
      <c r="AK132" s="6">
        <v>0</v>
      </c>
      <c r="AL132" s="6">
        <f t="shared" si="174"/>
        <v>0</v>
      </c>
      <c r="AM132" s="6">
        <f t="shared" si="175"/>
        <v>0</v>
      </c>
      <c r="AN132" s="6">
        <v>0</v>
      </c>
      <c r="AO132" s="6">
        <f t="shared" si="176"/>
        <v>0</v>
      </c>
      <c r="AP132" s="6">
        <f t="shared" si="177"/>
        <v>0</v>
      </c>
      <c r="AQ132" s="6">
        <v>0</v>
      </c>
      <c r="AR132" s="6">
        <f t="shared" si="178"/>
        <v>0</v>
      </c>
      <c r="AS132" s="6">
        <f t="shared" si="179"/>
        <v>0</v>
      </c>
      <c r="AT132" s="6">
        <v>0</v>
      </c>
      <c r="AU132" s="6">
        <f t="shared" si="180"/>
        <v>0</v>
      </c>
      <c r="AV132" s="6">
        <f t="shared" si="181"/>
        <v>0</v>
      </c>
      <c r="AW132" s="6">
        <v>0</v>
      </c>
      <c r="AX132" s="6">
        <f t="shared" si="182"/>
        <v>0</v>
      </c>
      <c r="AY132" s="6">
        <f t="shared" si="183"/>
        <v>0</v>
      </c>
      <c r="AZ132" s="6">
        <v>0</v>
      </c>
      <c r="BA132" s="6">
        <f t="shared" si="184"/>
        <v>0</v>
      </c>
      <c r="BB132" s="6">
        <f t="shared" si="185"/>
        <v>0</v>
      </c>
      <c r="BC132" s="6">
        <v>0</v>
      </c>
      <c r="BD132" s="6">
        <f t="shared" si="186"/>
        <v>0</v>
      </c>
      <c r="BE132" s="6">
        <f t="shared" si="187"/>
        <v>0</v>
      </c>
      <c r="BF132" s="6">
        <v>0</v>
      </c>
      <c r="BG132" s="6">
        <f t="shared" si="188"/>
        <v>0</v>
      </c>
      <c r="BH132" s="6">
        <f t="shared" si="189"/>
        <v>0</v>
      </c>
      <c r="BI132" s="6">
        <v>0</v>
      </c>
      <c r="BJ132" s="6">
        <f t="shared" si="190"/>
        <v>0</v>
      </c>
      <c r="BK132" s="6">
        <f t="shared" si="191"/>
        <v>0</v>
      </c>
      <c r="BL132" s="6">
        <v>0</v>
      </c>
      <c r="BM132" s="6">
        <f t="shared" si="192"/>
        <v>0</v>
      </c>
      <c r="BN132" s="6">
        <f t="shared" si="193"/>
        <v>0</v>
      </c>
      <c r="BO132" s="6">
        <v>0</v>
      </c>
      <c r="BP132" s="6">
        <f t="shared" si="194"/>
        <v>0</v>
      </c>
      <c r="BQ132" s="6">
        <f t="shared" si="195"/>
        <v>0</v>
      </c>
      <c r="BR132" s="6">
        <v>0</v>
      </c>
      <c r="BS132" s="6">
        <f t="shared" si="196"/>
        <v>0</v>
      </c>
      <c r="BT132" s="6">
        <f t="shared" si="197"/>
        <v>0</v>
      </c>
      <c r="BU132" s="6">
        <v>0</v>
      </c>
      <c r="BV132" s="6">
        <f t="shared" si="198"/>
        <v>0</v>
      </c>
      <c r="BW132" s="6">
        <f t="shared" si="199"/>
        <v>0</v>
      </c>
      <c r="BX132" s="6">
        <v>0</v>
      </c>
      <c r="BY132" s="6">
        <f t="shared" si="200"/>
        <v>0</v>
      </c>
      <c r="BZ132" s="6">
        <f t="shared" si="201"/>
        <v>0</v>
      </c>
      <c r="CA132" s="6">
        <v>0</v>
      </c>
      <c r="CB132" s="6">
        <f t="shared" si="202"/>
        <v>0</v>
      </c>
      <c r="CC132" s="6">
        <f t="shared" si="203"/>
        <v>0</v>
      </c>
      <c r="CD132" s="6">
        <v>0</v>
      </c>
      <c r="CE132" s="6">
        <f t="shared" si="204"/>
        <v>0</v>
      </c>
      <c r="CF132" s="6">
        <f t="shared" si="205"/>
        <v>0</v>
      </c>
      <c r="CG132" s="6">
        <v>0</v>
      </c>
      <c r="CH132" s="6">
        <f t="shared" si="206"/>
        <v>0</v>
      </c>
      <c r="CI132" s="6">
        <f t="shared" si="207"/>
        <v>0</v>
      </c>
      <c r="CJ132" s="6">
        <v>0</v>
      </c>
      <c r="CK132" s="6">
        <f t="shared" si="208"/>
        <v>0</v>
      </c>
      <c r="CL132" s="6">
        <f t="shared" si="209"/>
        <v>0</v>
      </c>
      <c r="CM132" s="6">
        <v>0</v>
      </c>
      <c r="CN132" s="6">
        <f t="shared" si="210"/>
        <v>0</v>
      </c>
      <c r="CO132" s="6">
        <f t="shared" si="211"/>
        <v>0</v>
      </c>
      <c r="CP132" s="6">
        <v>0</v>
      </c>
      <c r="CQ132" s="6">
        <f t="shared" si="212"/>
        <v>0</v>
      </c>
      <c r="CR132" s="6">
        <f t="shared" si="213"/>
        <v>0</v>
      </c>
      <c r="CS132" s="6">
        <v>0</v>
      </c>
      <c r="CT132" s="6">
        <f t="shared" si="214"/>
        <v>0</v>
      </c>
      <c r="CU132" s="6">
        <f t="shared" si="215"/>
        <v>0</v>
      </c>
      <c r="CV132" s="6">
        <v>0</v>
      </c>
      <c r="CW132" s="6">
        <f t="shared" si="216"/>
        <v>0</v>
      </c>
      <c r="CX132" s="6">
        <f t="shared" si="217"/>
        <v>0</v>
      </c>
      <c r="CY132" s="6">
        <v>0</v>
      </c>
      <c r="CZ132" s="6">
        <f t="shared" si="218"/>
        <v>0</v>
      </c>
      <c r="DA132" s="6">
        <f t="shared" si="219"/>
        <v>0</v>
      </c>
      <c r="DB132" s="6">
        <v>0</v>
      </c>
      <c r="DC132" s="6">
        <f t="shared" si="220"/>
        <v>0</v>
      </c>
      <c r="DD132" s="6">
        <f t="shared" si="221"/>
        <v>0</v>
      </c>
      <c r="DE132" s="6">
        <v>0</v>
      </c>
      <c r="DF132" s="6">
        <f t="shared" si="222"/>
        <v>0</v>
      </c>
      <c r="DG132" s="6">
        <f t="shared" si="223"/>
        <v>0</v>
      </c>
      <c r="DH132" s="6">
        <v>0</v>
      </c>
      <c r="DI132" s="6">
        <f t="shared" si="224"/>
        <v>0</v>
      </c>
      <c r="DJ132" s="6">
        <f t="shared" si="225"/>
        <v>0</v>
      </c>
      <c r="DK132" s="6">
        <v>0</v>
      </c>
      <c r="DL132" s="6">
        <f t="shared" si="226"/>
        <v>0</v>
      </c>
      <c r="DM132" s="6">
        <f t="shared" si="227"/>
        <v>0</v>
      </c>
      <c r="DN132" s="6">
        <v>0</v>
      </c>
      <c r="DO132" s="6">
        <f t="shared" si="228"/>
        <v>0</v>
      </c>
      <c r="DP132" s="6">
        <f t="shared" si="229"/>
        <v>0</v>
      </c>
    </row>
    <row r="133" spans="1:120" x14ac:dyDescent="0.2">
      <c r="A133" s="21">
        <v>15</v>
      </c>
      <c r="B133" s="21" t="s">
        <v>660</v>
      </c>
      <c r="C133" s="21">
        <v>15223</v>
      </c>
      <c r="D133" s="21" t="s">
        <v>725</v>
      </c>
      <c r="E133" s="21" t="s">
        <v>522</v>
      </c>
      <c r="F133" s="22" t="s">
        <v>659</v>
      </c>
      <c r="G133" s="4" t="s">
        <v>245</v>
      </c>
      <c r="H133" s="6">
        <v>229538.15</v>
      </c>
      <c r="I133" s="6">
        <f t="shared" si="155"/>
        <v>628.8716438356164</v>
      </c>
      <c r="J133" s="6">
        <v>266647.69329999998</v>
      </c>
      <c r="K133" s="6">
        <v>215270.09</v>
      </c>
      <c r="L133" s="6">
        <f t="shared" si="159"/>
        <v>588.16964480874321</v>
      </c>
      <c r="M133" s="6">
        <v>263793.00890000002</v>
      </c>
      <c r="N133" s="6">
        <v>170563.71</v>
      </c>
      <c r="O133" s="6">
        <f t="shared" si="160"/>
        <v>467.29783561643831</v>
      </c>
      <c r="P133" s="6">
        <v>261420.269</v>
      </c>
      <c r="Q133" s="6">
        <v>78890.87</v>
      </c>
      <c r="R133" s="6">
        <f t="shared" si="161"/>
        <v>435.86116022099446</v>
      </c>
      <c r="S133" s="6">
        <v>258996.80669999999</v>
      </c>
      <c r="T133" s="6">
        <f t="shared" si="162"/>
        <v>258996.80669999999</v>
      </c>
      <c r="U133" s="6">
        <f t="shared" si="163"/>
        <v>709.58029232876709</v>
      </c>
      <c r="V133" s="6">
        <v>257383.59760000001</v>
      </c>
      <c r="W133" s="6">
        <f t="shared" si="164"/>
        <v>257383.59760000001</v>
      </c>
      <c r="X133" s="6">
        <f t="shared" si="165"/>
        <v>705.16054136986304</v>
      </c>
      <c r="Y133" s="6">
        <v>254106.3126</v>
      </c>
      <c r="Z133" s="6">
        <f t="shared" si="166"/>
        <v>254106.3126</v>
      </c>
      <c r="AA133" s="6">
        <f t="shared" si="167"/>
        <v>696.18167835616441</v>
      </c>
      <c r="AB133" s="6">
        <v>251508.9909</v>
      </c>
      <c r="AC133" s="6">
        <f t="shared" si="168"/>
        <v>251508.9909</v>
      </c>
      <c r="AD133" s="6">
        <f t="shared" si="169"/>
        <v>689.06572849315069</v>
      </c>
      <c r="AE133" s="6">
        <v>224555.45920000001</v>
      </c>
      <c r="AF133" s="6">
        <f t="shared" si="170"/>
        <v>224555.45920000001</v>
      </c>
      <c r="AG133" s="6">
        <f t="shared" si="171"/>
        <v>615.22043616438361</v>
      </c>
      <c r="AH133" s="6">
        <v>70806.539600000004</v>
      </c>
      <c r="AI133" s="6">
        <f t="shared" si="172"/>
        <v>70806.539600000004</v>
      </c>
      <c r="AJ133" s="6">
        <f t="shared" si="173"/>
        <v>193.9905194520548</v>
      </c>
      <c r="AK133" s="6">
        <v>0</v>
      </c>
      <c r="AL133" s="6">
        <f t="shared" si="174"/>
        <v>0</v>
      </c>
      <c r="AM133" s="6">
        <f t="shared" si="175"/>
        <v>0</v>
      </c>
      <c r="AN133" s="6">
        <v>0</v>
      </c>
      <c r="AO133" s="6">
        <f t="shared" si="176"/>
        <v>0</v>
      </c>
      <c r="AP133" s="6">
        <f t="shared" si="177"/>
        <v>0</v>
      </c>
      <c r="AQ133" s="6">
        <v>0</v>
      </c>
      <c r="AR133" s="6">
        <f t="shared" si="178"/>
        <v>0</v>
      </c>
      <c r="AS133" s="6">
        <f t="shared" si="179"/>
        <v>0</v>
      </c>
      <c r="AT133" s="6">
        <v>0</v>
      </c>
      <c r="AU133" s="6">
        <f t="shared" si="180"/>
        <v>0</v>
      </c>
      <c r="AV133" s="6">
        <f t="shared" si="181"/>
        <v>0</v>
      </c>
      <c r="AW133" s="6">
        <v>0</v>
      </c>
      <c r="AX133" s="6">
        <f t="shared" si="182"/>
        <v>0</v>
      </c>
      <c r="AY133" s="6">
        <f t="shared" si="183"/>
        <v>0</v>
      </c>
      <c r="AZ133" s="6">
        <v>0</v>
      </c>
      <c r="BA133" s="6">
        <f t="shared" si="184"/>
        <v>0</v>
      </c>
      <c r="BB133" s="6">
        <f t="shared" si="185"/>
        <v>0</v>
      </c>
      <c r="BC133" s="6">
        <v>0</v>
      </c>
      <c r="BD133" s="6">
        <f t="shared" si="186"/>
        <v>0</v>
      </c>
      <c r="BE133" s="6">
        <f t="shared" si="187"/>
        <v>0</v>
      </c>
      <c r="BF133" s="6">
        <v>0</v>
      </c>
      <c r="BG133" s="6">
        <f t="shared" si="188"/>
        <v>0</v>
      </c>
      <c r="BH133" s="6">
        <f t="shared" si="189"/>
        <v>0</v>
      </c>
      <c r="BI133" s="6">
        <v>0</v>
      </c>
      <c r="BJ133" s="6">
        <f t="shared" si="190"/>
        <v>0</v>
      </c>
      <c r="BK133" s="6">
        <f t="shared" si="191"/>
        <v>0</v>
      </c>
      <c r="BL133" s="6">
        <v>0</v>
      </c>
      <c r="BM133" s="6">
        <f t="shared" si="192"/>
        <v>0</v>
      </c>
      <c r="BN133" s="6">
        <f t="shared" si="193"/>
        <v>0</v>
      </c>
      <c r="BO133" s="6">
        <v>0</v>
      </c>
      <c r="BP133" s="6">
        <f t="shared" si="194"/>
        <v>0</v>
      </c>
      <c r="BQ133" s="6">
        <f t="shared" si="195"/>
        <v>0</v>
      </c>
      <c r="BR133" s="6">
        <v>0</v>
      </c>
      <c r="BS133" s="6">
        <f t="shared" si="196"/>
        <v>0</v>
      </c>
      <c r="BT133" s="6">
        <f t="shared" si="197"/>
        <v>0</v>
      </c>
      <c r="BU133" s="6">
        <v>0</v>
      </c>
      <c r="BV133" s="6">
        <f t="shared" si="198"/>
        <v>0</v>
      </c>
      <c r="BW133" s="6">
        <f t="shared" si="199"/>
        <v>0</v>
      </c>
      <c r="BX133" s="6">
        <v>0</v>
      </c>
      <c r="BY133" s="6">
        <f t="shared" si="200"/>
        <v>0</v>
      </c>
      <c r="BZ133" s="6">
        <f t="shared" si="201"/>
        <v>0</v>
      </c>
      <c r="CA133" s="6">
        <v>0</v>
      </c>
      <c r="CB133" s="6">
        <f t="shared" si="202"/>
        <v>0</v>
      </c>
      <c r="CC133" s="6">
        <f t="shared" si="203"/>
        <v>0</v>
      </c>
      <c r="CD133" s="6">
        <v>0</v>
      </c>
      <c r="CE133" s="6">
        <f t="shared" si="204"/>
        <v>0</v>
      </c>
      <c r="CF133" s="6">
        <f t="shared" si="205"/>
        <v>0</v>
      </c>
      <c r="CG133" s="6">
        <v>0</v>
      </c>
      <c r="CH133" s="6">
        <f t="shared" si="206"/>
        <v>0</v>
      </c>
      <c r="CI133" s="6">
        <f t="shared" si="207"/>
        <v>0</v>
      </c>
      <c r="CJ133" s="6">
        <v>0</v>
      </c>
      <c r="CK133" s="6">
        <f t="shared" si="208"/>
        <v>0</v>
      </c>
      <c r="CL133" s="6">
        <f t="shared" si="209"/>
        <v>0</v>
      </c>
      <c r="CM133" s="6">
        <v>0</v>
      </c>
      <c r="CN133" s="6">
        <f t="shared" si="210"/>
        <v>0</v>
      </c>
      <c r="CO133" s="6">
        <f t="shared" si="211"/>
        <v>0</v>
      </c>
      <c r="CP133" s="6">
        <v>0</v>
      </c>
      <c r="CQ133" s="6">
        <f t="shared" si="212"/>
        <v>0</v>
      </c>
      <c r="CR133" s="6">
        <f t="shared" si="213"/>
        <v>0</v>
      </c>
      <c r="CS133" s="6">
        <v>0</v>
      </c>
      <c r="CT133" s="6">
        <f t="shared" si="214"/>
        <v>0</v>
      </c>
      <c r="CU133" s="6">
        <f t="shared" si="215"/>
        <v>0</v>
      </c>
      <c r="CV133" s="6">
        <v>0</v>
      </c>
      <c r="CW133" s="6">
        <f t="shared" si="216"/>
        <v>0</v>
      </c>
      <c r="CX133" s="6">
        <f t="shared" si="217"/>
        <v>0</v>
      </c>
      <c r="CY133" s="6">
        <v>0</v>
      </c>
      <c r="CZ133" s="6">
        <f t="shared" si="218"/>
        <v>0</v>
      </c>
      <c r="DA133" s="6">
        <f t="shared" si="219"/>
        <v>0</v>
      </c>
      <c r="DB133" s="6">
        <v>0</v>
      </c>
      <c r="DC133" s="6">
        <f t="shared" si="220"/>
        <v>0</v>
      </c>
      <c r="DD133" s="6">
        <f t="shared" si="221"/>
        <v>0</v>
      </c>
      <c r="DE133" s="6">
        <v>0</v>
      </c>
      <c r="DF133" s="6">
        <f t="shared" si="222"/>
        <v>0</v>
      </c>
      <c r="DG133" s="6">
        <f t="shared" si="223"/>
        <v>0</v>
      </c>
      <c r="DH133" s="6">
        <v>0</v>
      </c>
      <c r="DI133" s="6">
        <f t="shared" si="224"/>
        <v>0</v>
      </c>
      <c r="DJ133" s="6">
        <f t="shared" si="225"/>
        <v>0</v>
      </c>
      <c r="DK133" s="6">
        <v>0</v>
      </c>
      <c r="DL133" s="6">
        <f t="shared" si="226"/>
        <v>0</v>
      </c>
      <c r="DM133" s="6">
        <f t="shared" si="227"/>
        <v>0</v>
      </c>
      <c r="DN133" s="6">
        <v>0</v>
      </c>
      <c r="DO133" s="6">
        <f t="shared" si="228"/>
        <v>0</v>
      </c>
      <c r="DP133" s="6">
        <f t="shared" si="229"/>
        <v>0</v>
      </c>
    </row>
    <row r="134" spans="1:120" x14ac:dyDescent="0.2">
      <c r="A134" s="21">
        <v>15</v>
      </c>
      <c r="B134" s="21" t="s">
        <v>660</v>
      </c>
      <c r="C134" s="21">
        <v>15572</v>
      </c>
      <c r="D134" s="21" t="s">
        <v>661</v>
      </c>
      <c r="E134" s="21" t="s">
        <v>522</v>
      </c>
      <c r="F134" s="22" t="s">
        <v>662</v>
      </c>
      <c r="G134" s="4" t="s">
        <v>246</v>
      </c>
      <c r="H134" s="6">
        <v>690117.52</v>
      </c>
      <c r="I134" s="6">
        <f t="shared" si="155"/>
        <v>1890.7329315068494</v>
      </c>
      <c r="J134" s="6">
        <v>625725</v>
      </c>
      <c r="K134" s="6">
        <v>679311.83</v>
      </c>
      <c r="L134" s="6">
        <f t="shared" si="159"/>
        <v>1856.0432513661201</v>
      </c>
      <c r="M134" s="6">
        <v>533030</v>
      </c>
      <c r="N134" s="6">
        <v>411854.78</v>
      </c>
      <c r="O134" s="6">
        <f t="shared" si="160"/>
        <v>1128.3692602739727</v>
      </c>
      <c r="P134" s="6">
        <v>453872</v>
      </c>
      <c r="Q134" s="6"/>
      <c r="R134" s="6"/>
      <c r="S134" s="6">
        <v>383140</v>
      </c>
      <c r="T134" s="6">
        <f t="shared" si="162"/>
        <v>383140</v>
      </c>
      <c r="U134" s="6">
        <f t="shared" si="163"/>
        <v>1049.6986301369864</v>
      </c>
      <c r="V134" s="6">
        <v>324150</v>
      </c>
      <c r="W134" s="6">
        <f t="shared" si="164"/>
        <v>324150</v>
      </c>
      <c r="X134" s="6">
        <f t="shared" si="165"/>
        <v>888.08219178082197</v>
      </c>
      <c r="Y134" s="6">
        <v>271433</v>
      </c>
      <c r="Z134" s="6">
        <f t="shared" si="166"/>
        <v>271433</v>
      </c>
      <c r="AA134" s="6">
        <f t="shared" si="167"/>
        <v>743.6520547945205</v>
      </c>
      <c r="AB134" s="6">
        <v>0</v>
      </c>
      <c r="AC134" s="6">
        <f t="shared" si="168"/>
        <v>0</v>
      </c>
      <c r="AD134" s="6">
        <f t="shared" si="169"/>
        <v>0</v>
      </c>
      <c r="AE134" s="6">
        <v>0</v>
      </c>
      <c r="AF134" s="6">
        <f t="shared" si="170"/>
        <v>0</v>
      </c>
      <c r="AG134" s="6">
        <f t="shared" si="171"/>
        <v>0</v>
      </c>
      <c r="AH134" s="6">
        <v>0</v>
      </c>
      <c r="AI134" s="6">
        <f t="shared" si="172"/>
        <v>0</v>
      </c>
      <c r="AJ134" s="6">
        <f t="shared" si="173"/>
        <v>0</v>
      </c>
      <c r="AK134" s="6">
        <v>0</v>
      </c>
      <c r="AL134" s="6">
        <f t="shared" si="174"/>
        <v>0</v>
      </c>
      <c r="AM134" s="6">
        <f t="shared" si="175"/>
        <v>0</v>
      </c>
      <c r="AN134" s="6">
        <v>0</v>
      </c>
      <c r="AO134" s="6">
        <f t="shared" si="176"/>
        <v>0</v>
      </c>
      <c r="AP134" s="6">
        <f t="shared" si="177"/>
        <v>0</v>
      </c>
      <c r="AQ134" s="6">
        <v>0</v>
      </c>
      <c r="AR134" s="6">
        <f t="shared" si="178"/>
        <v>0</v>
      </c>
      <c r="AS134" s="6">
        <f t="shared" si="179"/>
        <v>0</v>
      </c>
      <c r="AT134" s="6">
        <v>0</v>
      </c>
      <c r="AU134" s="6">
        <f t="shared" si="180"/>
        <v>0</v>
      </c>
      <c r="AV134" s="6">
        <f t="shared" si="181"/>
        <v>0</v>
      </c>
      <c r="AW134" s="6">
        <v>0</v>
      </c>
      <c r="AX134" s="6">
        <f t="shared" si="182"/>
        <v>0</v>
      </c>
      <c r="AY134" s="6">
        <f t="shared" si="183"/>
        <v>0</v>
      </c>
      <c r="AZ134" s="6">
        <v>0</v>
      </c>
      <c r="BA134" s="6">
        <f t="shared" si="184"/>
        <v>0</v>
      </c>
      <c r="BB134" s="6">
        <f t="shared" si="185"/>
        <v>0</v>
      </c>
      <c r="BC134" s="6">
        <v>0</v>
      </c>
      <c r="BD134" s="6">
        <f t="shared" si="186"/>
        <v>0</v>
      </c>
      <c r="BE134" s="6">
        <f t="shared" si="187"/>
        <v>0</v>
      </c>
      <c r="BF134" s="6">
        <v>0</v>
      </c>
      <c r="BG134" s="6">
        <f t="shared" si="188"/>
        <v>0</v>
      </c>
      <c r="BH134" s="6">
        <f t="shared" si="189"/>
        <v>0</v>
      </c>
      <c r="BI134" s="6">
        <v>0</v>
      </c>
      <c r="BJ134" s="6">
        <f t="shared" si="190"/>
        <v>0</v>
      </c>
      <c r="BK134" s="6">
        <f t="shared" si="191"/>
        <v>0</v>
      </c>
      <c r="BL134" s="6">
        <v>0</v>
      </c>
      <c r="BM134" s="6">
        <f t="shared" si="192"/>
        <v>0</v>
      </c>
      <c r="BN134" s="6">
        <f t="shared" si="193"/>
        <v>0</v>
      </c>
      <c r="BO134" s="6">
        <v>0</v>
      </c>
      <c r="BP134" s="6">
        <f t="shared" si="194"/>
        <v>0</v>
      </c>
      <c r="BQ134" s="6">
        <f t="shared" si="195"/>
        <v>0</v>
      </c>
      <c r="BR134" s="6">
        <v>0</v>
      </c>
      <c r="BS134" s="6">
        <f t="shared" si="196"/>
        <v>0</v>
      </c>
      <c r="BT134" s="6">
        <f t="shared" si="197"/>
        <v>0</v>
      </c>
      <c r="BU134" s="6">
        <v>0</v>
      </c>
      <c r="BV134" s="6">
        <f t="shared" si="198"/>
        <v>0</v>
      </c>
      <c r="BW134" s="6">
        <f t="shared" si="199"/>
        <v>0</v>
      </c>
      <c r="BX134" s="6">
        <v>0</v>
      </c>
      <c r="BY134" s="6">
        <f t="shared" si="200"/>
        <v>0</v>
      </c>
      <c r="BZ134" s="6">
        <f t="shared" si="201"/>
        <v>0</v>
      </c>
      <c r="CA134" s="6">
        <v>0</v>
      </c>
      <c r="CB134" s="6">
        <f t="shared" si="202"/>
        <v>0</v>
      </c>
      <c r="CC134" s="6">
        <f t="shared" si="203"/>
        <v>0</v>
      </c>
      <c r="CD134" s="6">
        <v>0</v>
      </c>
      <c r="CE134" s="6">
        <f t="shared" si="204"/>
        <v>0</v>
      </c>
      <c r="CF134" s="6">
        <f t="shared" si="205"/>
        <v>0</v>
      </c>
      <c r="CG134" s="6">
        <v>0</v>
      </c>
      <c r="CH134" s="6">
        <f t="shared" si="206"/>
        <v>0</v>
      </c>
      <c r="CI134" s="6">
        <f t="shared" si="207"/>
        <v>0</v>
      </c>
      <c r="CJ134" s="6">
        <v>0</v>
      </c>
      <c r="CK134" s="6">
        <f t="shared" si="208"/>
        <v>0</v>
      </c>
      <c r="CL134" s="6">
        <f t="shared" si="209"/>
        <v>0</v>
      </c>
      <c r="CM134" s="6">
        <v>0</v>
      </c>
      <c r="CN134" s="6">
        <f t="shared" si="210"/>
        <v>0</v>
      </c>
      <c r="CO134" s="6">
        <f t="shared" si="211"/>
        <v>0</v>
      </c>
      <c r="CP134" s="6">
        <v>0</v>
      </c>
      <c r="CQ134" s="6">
        <f t="shared" si="212"/>
        <v>0</v>
      </c>
      <c r="CR134" s="6">
        <f t="shared" si="213"/>
        <v>0</v>
      </c>
      <c r="CS134" s="6">
        <v>0</v>
      </c>
      <c r="CT134" s="6">
        <f t="shared" si="214"/>
        <v>0</v>
      </c>
      <c r="CU134" s="6">
        <f t="shared" si="215"/>
        <v>0</v>
      </c>
      <c r="CV134" s="6">
        <v>0</v>
      </c>
      <c r="CW134" s="6">
        <f t="shared" si="216"/>
        <v>0</v>
      </c>
      <c r="CX134" s="6">
        <f t="shared" si="217"/>
        <v>0</v>
      </c>
      <c r="CY134" s="6">
        <v>0</v>
      </c>
      <c r="CZ134" s="6">
        <f t="shared" si="218"/>
        <v>0</v>
      </c>
      <c r="DA134" s="6">
        <f t="shared" si="219"/>
        <v>0</v>
      </c>
      <c r="DB134" s="6">
        <v>0</v>
      </c>
      <c r="DC134" s="6">
        <f t="shared" si="220"/>
        <v>0</v>
      </c>
      <c r="DD134" s="6">
        <f t="shared" si="221"/>
        <v>0</v>
      </c>
      <c r="DE134" s="6">
        <v>0</v>
      </c>
      <c r="DF134" s="6">
        <f t="shared" si="222"/>
        <v>0</v>
      </c>
      <c r="DG134" s="6">
        <f t="shared" si="223"/>
        <v>0</v>
      </c>
      <c r="DH134" s="6">
        <v>0</v>
      </c>
      <c r="DI134" s="6">
        <f t="shared" si="224"/>
        <v>0</v>
      </c>
      <c r="DJ134" s="6">
        <f t="shared" si="225"/>
        <v>0</v>
      </c>
      <c r="DK134" s="6">
        <v>0</v>
      </c>
      <c r="DL134" s="6">
        <f t="shared" si="226"/>
        <v>0</v>
      </c>
      <c r="DM134" s="6">
        <f t="shared" si="227"/>
        <v>0</v>
      </c>
      <c r="DN134" s="6">
        <v>0</v>
      </c>
      <c r="DO134" s="6">
        <f t="shared" si="228"/>
        <v>0</v>
      </c>
      <c r="DP134" s="6">
        <f t="shared" si="229"/>
        <v>0</v>
      </c>
    </row>
    <row r="135" spans="1:120" x14ac:dyDescent="0.2">
      <c r="A135" s="21">
        <v>85</v>
      </c>
      <c r="B135" s="21" t="s">
        <v>612</v>
      </c>
      <c r="C135" s="21">
        <v>85230</v>
      </c>
      <c r="D135" s="21" t="s">
        <v>614</v>
      </c>
      <c r="E135" s="21" t="s">
        <v>542</v>
      </c>
      <c r="F135" s="22" t="s">
        <v>669</v>
      </c>
      <c r="G135" s="4" t="s">
        <v>247</v>
      </c>
      <c r="H135" s="6">
        <v>45120.42</v>
      </c>
      <c r="I135" s="6">
        <f t="shared" si="155"/>
        <v>123.61758904109588</v>
      </c>
      <c r="J135" s="6">
        <v>39109</v>
      </c>
      <c r="K135" s="6">
        <v>38890.239999999998</v>
      </c>
      <c r="L135" s="6">
        <f t="shared" si="159"/>
        <v>106.2574863387978</v>
      </c>
      <c r="M135" s="6">
        <v>33147</v>
      </c>
      <c r="N135" s="6">
        <v>52394.39</v>
      </c>
      <c r="O135" s="6">
        <f t="shared" si="160"/>
        <v>143.54627397260273</v>
      </c>
      <c r="P135" s="6">
        <v>28176</v>
      </c>
      <c r="Q135" s="6">
        <v>15858.53</v>
      </c>
      <c r="R135" s="6">
        <f>Q135/181</f>
        <v>87.61618784530387</v>
      </c>
      <c r="S135" s="6">
        <v>23955</v>
      </c>
      <c r="T135" s="6">
        <f t="shared" si="162"/>
        <v>23955</v>
      </c>
      <c r="U135" s="6">
        <f t="shared" si="163"/>
        <v>65.630136986301366</v>
      </c>
      <c r="V135" s="6">
        <v>20415</v>
      </c>
      <c r="W135" s="6">
        <f t="shared" si="164"/>
        <v>20415</v>
      </c>
      <c r="X135" s="6">
        <f t="shared" si="165"/>
        <v>55.93150684931507</v>
      </c>
      <c r="Y135" s="6">
        <v>17303</v>
      </c>
      <c r="Z135" s="6">
        <f t="shared" si="166"/>
        <v>17303</v>
      </c>
      <c r="AA135" s="6">
        <f t="shared" si="167"/>
        <v>47.405479452054792</v>
      </c>
      <c r="AB135" s="6">
        <v>14708</v>
      </c>
      <c r="AC135" s="6">
        <f t="shared" si="168"/>
        <v>14708</v>
      </c>
      <c r="AD135" s="6">
        <f t="shared" si="169"/>
        <v>40.295890410958904</v>
      </c>
      <c r="AE135" s="6">
        <v>12505</v>
      </c>
      <c r="AF135" s="6">
        <f t="shared" si="170"/>
        <v>12505</v>
      </c>
      <c r="AG135" s="6">
        <f t="shared" si="171"/>
        <v>34.260273972602739</v>
      </c>
      <c r="AH135" s="6">
        <v>10657</v>
      </c>
      <c r="AI135" s="6">
        <f t="shared" si="172"/>
        <v>10657</v>
      </c>
      <c r="AJ135" s="6">
        <f t="shared" si="173"/>
        <v>29.197260273972603</v>
      </c>
      <c r="AK135" s="6">
        <v>9032</v>
      </c>
      <c r="AL135" s="6">
        <f t="shared" si="174"/>
        <v>9032</v>
      </c>
      <c r="AM135" s="6">
        <f t="shared" si="175"/>
        <v>24.745205479452054</v>
      </c>
      <c r="AN135" s="6">
        <v>7677</v>
      </c>
      <c r="AO135" s="6">
        <f t="shared" si="176"/>
        <v>7677</v>
      </c>
      <c r="AP135" s="6">
        <f t="shared" si="177"/>
        <v>21.032876712328768</v>
      </c>
      <c r="AQ135" s="6">
        <v>6526</v>
      </c>
      <c r="AR135" s="6">
        <f t="shared" si="178"/>
        <v>6526</v>
      </c>
      <c r="AS135" s="6">
        <f t="shared" si="179"/>
        <v>17.87945205479452</v>
      </c>
      <c r="AT135" s="6">
        <v>0</v>
      </c>
      <c r="AU135" s="6">
        <f t="shared" si="180"/>
        <v>0</v>
      </c>
      <c r="AV135" s="6">
        <f t="shared" si="181"/>
        <v>0</v>
      </c>
      <c r="AW135" s="6">
        <v>0</v>
      </c>
      <c r="AX135" s="6">
        <f t="shared" si="182"/>
        <v>0</v>
      </c>
      <c r="AY135" s="6">
        <f t="shared" si="183"/>
        <v>0</v>
      </c>
      <c r="AZ135" s="6">
        <v>0</v>
      </c>
      <c r="BA135" s="6">
        <f t="shared" si="184"/>
        <v>0</v>
      </c>
      <c r="BB135" s="6">
        <f t="shared" si="185"/>
        <v>0</v>
      </c>
      <c r="BC135" s="6">
        <v>0</v>
      </c>
      <c r="BD135" s="6">
        <f t="shared" si="186"/>
        <v>0</v>
      </c>
      <c r="BE135" s="6">
        <f t="shared" si="187"/>
        <v>0</v>
      </c>
      <c r="BF135" s="6">
        <v>0</v>
      </c>
      <c r="BG135" s="6">
        <f t="shared" si="188"/>
        <v>0</v>
      </c>
      <c r="BH135" s="6">
        <f t="shared" si="189"/>
        <v>0</v>
      </c>
      <c r="BI135" s="6">
        <v>0</v>
      </c>
      <c r="BJ135" s="6">
        <f t="shared" si="190"/>
        <v>0</v>
      </c>
      <c r="BK135" s="6">
        <f t="shared" si="191"/>
        <v>0</v>
      </c>
      <c r="BL135" s="6">
        <v>0</v>
      </c>
      <c r="BM135" s="6">
        <f t="shared" si="192"/>
        <v>0</v>
      </c>
      <c r="BN135" s="6">
        <f t="shared" si="193"/>
        <v>0</v>
      </c>
      <c r="BO135" s="6">
        <v>0</v>
      </c>
      <c r="BP135" s="6">
        <f t="shared" si="194"/>
        <v>0</v>
      </c>
      <c r="BQ135" s="6">
        <f t="shared" si="195"/>
        <v>0</v>
      </c>
      <c r="BR135" s="6">
        <v>0</v>
      </c>
      <c r="BS135" s="6">
        <f t="shared" si="196"/>
        <v>0</v>
      </c>
      <c r="BT135" s="6">
        <f t="shared" si="197"/>
        <v>0</v>
      </c>
      <c r="BU135" s="6">
        <v>0</v>
      </c>
      <c r="BV135" s="6">
        <f t="shared" si="198"/>
        <v>0</v>
      </c>
      <c r="BW135" s="6">
        <f t="shared" si="199"/>
        <v>0</v>
      </c>
      <c r="BX135" s="6">
        <v>0</v>
      </c>
      <c r="BY135" s="6">
        <f t="shared" si="200"/>
        <v>0</v>
      </c>
      <c r="BZ135" s="6">
        <f t="shared" si="201"/>
        <v>0</v>
      </c>
      <c r="CA135" s="6">
        <v>0</v>
      </c>
      <c r="CB135" s="6">
        <f t="shared" si="202"/>
        <v>0</v>
      </c>
      <c r="CC135" s="6">
        <f t="shared" si="203"/>
        <v>0</v>
      </c>
      <c r="CD135" s="6">
        <v>0</v>
      </c>
      <c r="CE135" s="6">
        <f t="shared" si="204"/>
        <v>0</v>
      </c>
      <c r="CF135" s="6">
        <f t="shared" si="205"/>
        <v>0</v>
      </c>
      <c r="CG135" s="6">
        <v>0</v>
      </c>
      <c r="CH135" s="6">
        <f t="shared" si="206"/>
        <v>0</v>
      </c>
      <c r="CI135" s="6">
        <f t="shared" si="207"/>
        <v>0</v>
      </c>
      <c r="CJ135" s="6">
        <v>0</v>
      </c>
      <c r="CK135" s="6">
        <f t="shared" si="208"/>
        <v>0</v>
      </c>
      <c r="CL135" s="6">
        <f t="shared" si="209"/>
        <v>0</v>
      </c>
      <c r="CM135" s="6">
        <v>0</v>
      </c>
      <c r="CN135" s="6">
        <f t="shared" si="210"/>
        <v>0</v>
      </c>
      <c r="CO135" s="6">
        <f t="shared" si="211"/>
        <v>0</v>
      </c>
      <c r="CP135" s="6">
        <v>0</v>
      </c>
      <c r="CQ135" s="6">
        <f t="shared" si="212"/>
        <v>0</v>
      </c>
      <c r="CR135" s="6">
        <f t="shared" si="213"/>
        <v>0</v>
      </c>
      <c r="CS135" s="6">
        <v>0</v>
      </c>
      <c r="CT135" s="6">
        <f t="shared" si="214"/>
        <v>0</v>
      </c>
      <c r="CU135" s="6">
        <f t="shared" si="215"/>
        <v>0</v>
      </c>
      <c r="CV135" s="6">
        <v>0</v>
      </c>
      <c r="CW135" s="6">
        <f t="shared" si="216"/>
        <v>0</v>
      </c>
      <c r="CX135" s="6">
        <f t="shared" si="217"/>
        <v>0</v>
      </c>
      <c r="CY135" s="6">
        <v>0</v>
      </c>
      <c r="CZ135" s="6">
        <f t="shared" si="218"/>
        <v>0</v>
      </c>
      <c r="DA135" s="6">
        <f t="shared" si="219"/>
        <v>0</v>
      </c>
      <c r="DB135" s="6">
        <v>0</v>
      </c>
      <c r="DC135" s="6">
        <f t="shared" si="220"/>
        <v>0</v>
      </c>
      <c r="DD135" s="6">
        <f t="shared" si="221"/>
        <v>0</v>
      </c>
      <c r="DE135" s="6">
        <v>0</v>
      </c>
      <c r="DF135" s="6">
        <f t="shared" si="222"/>
        <v>0</v>
      </c>
      <c r="DG135" s="6">
        <f t="shared" si="223"/>
        <v>0</v>
      </c>
      <c r="DH135" s="6">
        <v>0</v>
      </c>
      <c r="DI135" s="6">
        <f t="shared" si="224"/>
        <v>0</v>
      </c>
      <c r="DJ135" s="6">
        <f t="shared" si="225"/>
        <v>0</v>
      </c>
      <c r="DK135" s="6">
        <v>0</v>
      </c>
      <c r="DL135" s="6">
        <f t="shared" si="226"/>
        <v>0</v>
      </c>
      <c r="DM135" s="6">
        <f t="shared" si="227"/>
        <v>0</v>
      </c>
      <c r="DN135" s="6">
        <v>0</v>
      </c>
      <c r="DO135" s="6">
        <f t="shared" si="228"/>
        <v>0</v>
      </c>
      <c r="DP135" s="6">
        <f t="shared" si="229"/>
        <v>0</v>
      </c>
    </row>
    <row r="136" spans="1:120" x14ac:dyDescent="0.2">
      <c r="A136" s="21">
        <v>85</v>
      </c>
      <c r="B136" s="21" t="s">
        <v>612</v>
      </c>
      <c r="C136" s="21">
        <v>85230</v>
      </c>
      <c r="D136" s="21" t="s">
        <v>614</v>
      </c>
      <c r="E136" s="21" t="s">
        <v>542</v>
      </c>
      <c r="F136" s="22" t="s">
        <v>669</v>
      </c>
      <c r="G136" s="4" t="s">
        <v>248</v>
      </c>
      <c r="H136" s="6">
        <v>38401.480000000003</v>
      </c>
      <c r="I136" s="6">
        <f t="shared" si="155"/>
        <v>105.20953424657534</v>
      </c>
      <c r="J136" s="6">
        <v>28363</v>
      </c>
      <c r="K136" s="6">
        <v>33366.92</v>
      </c>
      <c r="L136" s="6">
        <f t="shared" si="159"/>
        <v>91.166448087431689</v>
      </c>
      <c r="M136" s="6">
        <v>26009</v>
      </c>
      <c r="N136" s="6">
        <v>24840.17</v>
      </c>
      <c r="O136" s="6">
        <f t="shared" si="160"/>
        <v>68.055260273972593</v>
      </c>
      <c r="P136" s="6">
        <v>20077</v>
      </c>
      <c r="Q136" s="6">
        <v>9207.51</v>
      </c>
      <c r="R136" s="6">
        <f>Q136/181</f>
        <v>50.87022099447514</v>
      </c>
      <c r="S136" s="6">
        <v>4922</v>
      </c>
      <c r="T136" s="6">
        <f t="shared" si="162"/>
        <v>4922</v>
      </c>
      <c r="U136" s="6">
        <f t="shared" si="163"/>
        <v>13.484931506849316</v>
      </c>
      <c r="V136" s="6">
        <v>0</v>
      </c>
      <c r="W136" s="6">
        <f t="shared" si="164"/>
        <v>0</v>
      </c>
      <c r="X136" s="6">
        <f t="shared" si="165"/>
        <v>0</v>
      </c>
      <c r="Y136" s="6">
        <v>0</v>
      </c>
      <c r="Z136" s="6">
        <f t="shared" si="166"/>
        <v>0</v>
      </c>
      <c r="AA136" s="6">
        <f t="shared" si="167"/>
        <v>0</v>
      </c>
      <c r="AB136" s="6">
        <v>0</v>
      </c>
      <c r="AC136" s="6">
        <f t="shared" si="168"/>
        <v>0</v>
      </c>
      <c r="AD136" s="6">
        <f t="shared" si="169"/>
        <v>0</v>
      </c>
      <c r="AE136" s="6">
        <v>0</v>
      </c>
      <c r="AF136" s="6">
        <f t="shared" si="170"/>
        <v>0</v>
      </c>
      <c r="AG136" s="6">
        <f t="shared" si="171"/>
        <v>0</v>
      </c>
      <c r="AH136" s="6">
        <v>0</v>
      </c>
      <c r="AI136" s="6">
        <f t="shared" si="172"/>
        <v>0</v>
      </c>
      <c r="AJ136" s="6">
        <f t="shared" si="173"/>
        <v>0</v>
      </c>
      <c r="AK136" s="6">
        <v>0</v>
      </c>
      <c r="AL136" s="6">
        <f t="shared" si="174"/>
        <v>0</v>
      </c>
      <c r="AM136" s="6">
        <f t="shared" si="175"/>
        <v>0</v>
      </c>
      <c r="AN136" s="6">
        <v>0</v>
      </c>
      <c r="AO136" s="6">
        <f t="shared" si="176"/>
        <v>0</v>
      </c>
      <c r="AP136" s="6">
        <f t="shared" si="177"/>
        <v>0</v>
      </c>
      <c r="AQ136" s="6">
        <v>0</v>
      </c>
      <c r="AR136" s="6">
        <f t="shared" si="178"/>
        <v>0</v>
      </c>
      <c r="AS136" s="6">
        <f t="shared" si="179"/>
        <v>0</v>
      </c>
      <c r="AT136" s="6">
        <v>0</v>
      </c>
      <c r="AU136" s="6">
        <f t="shared" si="180"/>
        <v>0</v>
      </c>
      <c r="AV136" s="6">
        <f t="shared" si="181"/>
        <v>0</v>
      </c>
      <c r="AW136" s="6">
        <v>0</v>
      </c>
      <c r="AX136" s="6">
        <f t="shared" si="182"/>
        <v>0</v>
      </c>
      <c r="AY136" s="6">
        <f t="shared" si="183"/>
        <v>0</v>
      </c>
      <c r="AZ136" s="6">
        <v>0</v>
      </c>
      <c r="BA136" s="6">
        <f t="shared" si="184"/>
        <v>0</v>
      </c>
      <c r="BB136" s="6">
        <f t="shared" si="185"/>
        <v>0</v>
      </c>
      <c r="BC136" s="6">
        <v>0</v>
      </c>
      <c r="BD136" s="6">
        <f t="shared" si="186"/>
        <v>0</v>
      </c>
      <c r="BE136" s="6">
        <f t="shared" si="187"/>
        <v>0</v>
      </c>
      <c r="BF136" s="6">
        <v>0</v>
      </c>
      <c r="BG136" s="6">
        <f t="shared" si="188"/>
        <v>0</v>
      </c>
      <c r="BH136" s="6">
        <f t="shared" si="189"/>
        <v>0</v>
      </c>
      <c r="BI136" s="6">
        <v>0</v>
      </c>
      <c r="BJ136" s="6">
        <f t="shared" si="190"/>
        <v>0</v>
      </c>
      <c r="BK136" s="6">
        <f t="shared" si="191"/>
        <v>0</v>
      </c>
      <c r="BL136" s="6">
        <v>0</v>
      </c>
      <c r="BM136" s="6">
        <f t="shared" si="192"/>
        <v>0</v>
      </c>
      <c r="BN136" s="6">
        <f t="shared" si="193"/>
        <v>0</v>
      </c>
      <c r="BO136" s="6">
        <v>0</v>
      </c>
      <c r="BP136" s="6">
        <f t="shared" si="194"/>
        <v>0</v>
      </c>
      <c r="BQ136" s="6">
        <f t="shared" si="195"/>
        <v>0</v>
      </c>
      <c r="BR136" s="6">
        <v>0</v>
      </c>
      <c r="BS136" s="6">
        <f t="shared" si="196"/>
        <v>0</v>
      </c>
      <c r="BT136" s="6">
        <f t="shared" si="197"/>
        <v>0</v>
      </c>
      <c r="BU136" s="6">
        <v>0</v>
      </c>
      <c r="BV136" s="6">
        <f t="shared" si="198"/>
        <v>0</v>
      </c>
      <c r="BW136" s="6">
        <f t="shared" si="199"/>
        <v>0</v>
      </c>
      <c r="BX136" s="6">
        <v>0</v>
      </c>
      <c r="BY136" s="6">
        <f t="shared" si="200"/>
        <v>0</v>
      </c>
      <c r="BZ136" s="6">
        <f t="shared" si="201"/>
        <v>0</v>
      </c>
      <c r="CA136" s="6">
        <v>0</v>
      </c>
      <c r="CB136" s="6">
        <f t="shared" si="202"/>
        <v>0</v>
      </c>
      <c r="CC136" s="6">
        <f t="shared" si="203"/>
        <v>0</v>
      </c>
      <c r="CD136" s="6">
        <v>0</v>
      </c>
      <c r="CE136" s="6">
        <f t="shared" si="204"/>
        <v>0</v>
      </c>
      <c r="CF136" s="6">
        <f t="shared" si="205"/>
        <v>0</v>
      </c>
      <c r="CG136" s="6">
        <v>0</v>
      </c>
      <c r="CH136" s="6">
        <f t="shared" si="206"/>
        <v>0</v>
      </c>
      <c r="CI136" s="6">
        <f t="shared" si="207"/>
        <v>0</v>
      </c>
      <c r="CJ136" s="6">
        <v>0</v>
      </c>
      <c r="CK136" s="6">
        <f t="shared" si="208"/>
        <v>0</v>
      </c>
      <c r="CL136" s="6">
        <f t="shared" si="209"/>
        <v>0</v>
      </c>
      <c r="CM136" s="6">
        <v>0</v>
      </c>
      <c r="CN136" s="6">
        <f t="shared" si="210"/>
        <v>0</v>
      </c>
      <c r="CO136" s="6">
        <f t="shared" si="211"/>
        <v>0</v>
      </c>
      <c r="CP136" s="6">
        <v>0</v>
      </c>
      <c r="CQ136" s="6">
        <f t="shared" si="212"/>
        <v>0</v>
      </c>
      <c r="CR136" s="6">
        <f t="shared" si="213"/>
        <v>0</v>
      </c>
      <c r="CS136" s="6">
        <v>0</v>
      </c>
      <c r="CT136" s="6">
        <f t="shared" si="214"/>
        <v>0</v>
      </c>
      <c r="CU136" s="6">
        <f t="shared" si="215"/>
        <v>0</v>
      </c>
      <c r="CV136" s="6">
        <v>0</v>
      </c>
      <c r="CW136" s="6">
        <f t="shared" si="216"/>
        <v>0</v>
      </c>
      <c r="CX136" s="6">
        <f t="shared" si="217"/>
        <v>0</v>
      </c>
      <c r="CY136" s="6">
        <v>0</v>
      </c>
      <c r="CZ136" s="6">
        <f t="shared" si="218"/>
        <v>0</v>
      </c>
      <c r="DA136" s="6">
        <f t="shared" si="219"/>
        <v>0</v>
      </c>
      <c r="DB136" s="6">
        <v>0</v>
      </c>
      <c r="DC136" s="6">
        <f t="shared" si="220"/>
        <v>0</v>
      </c>
      <c r="DD136" s="6">
        <f t="shared" si="221"/>
        <v>0</v>
      </c>
      <c r="DE136" s="6">
        <v>0</v>
      </c>
      <c r="DF136" s="6">
        <f t="shared" si="222"/>
        <v>0</v>
      </c>
      <c r="DG136" s="6">
        <f t="shared" si="223"/>
        <v>0</v>
      </c>
      <c r="DH136" s="6">
        <v>0</v>
      </c>
      <c r="DI136" s="6">
        <f t="shared" si="224"/>
        <v>0</v>
      </c>
      <c r="DJ136" s="6">
        <f t="shared" si="225"/>
        <v>0</v>
      </c>
      <c r="DK136" s="6">
        <v>0</v>
      </c>
      <c r="DL136" s="6">
        <f t="shared" si="226"/>
        <v>0</v>
      </c>
      <c r="DM136" s="6">
        <f t="shared" si="227"/>
        <v>0</v>
      </c>
      <c r="DN136" s="6">
        <v>0</v>
      </c>
      <c r="DO136" s="6">
        <f t="shared" si="228"/>
        <v>0</v>
      </c>
      <c r="DP136" s="6">
        <f t="shared" si="229"/>
        <v>0</v>
      </c>
    </row>
    <row r="137" spans="1:120" x14ac:dyDescent="0.2">
      <c r="A137" s="21">
        <v>85</v>
      </c>
      <c r="B137" s="21" t="s">
        <v>612</v>
      </c>
      <c r="C137" s="21">
        <v>85440</v>
      </c>
      <c r="D137" s="21" t="s">
        <v>677</v>
      </c>
      <c r="E137" s="21" t="s">
        <v>562</v>
      </c>
      <c r="F137" s="22" t="s">
        <v>669</v>
      </c>
      <c r="G137" s="4" t="s">
        <v>249</v>
      </c>
      <c r="H137" s="6">
        <v>59710.76</v>
      </c>
      <c r="I137" s="6">
        <f t="shared" si="155"/>
        <v>163.59112328767125</v>
      </c>
      <c r="J137" s="6">
        <v>166919.64629999999</v>
      </c>
      <c r="K137" s="6">
        <v>24433.94</v>
      </c>
      <c r="L137" s="6">
        <f t="shared" si="159"/>
        <v>66.759398907103815</v>
      </c>
      <c r="M137" s="6">
        <v>140493.383</v>
      </c>
      <c r="N137" s="6">
        <v>9651.76</v>
      </c>
      <c r="O137" s="6">
        <f t="shared" si="160"/>
        <v>26.443178082191782</v>
      </c>
      <c r="P137" s="6">
        <v>79533.090899999996</v>
      </c>
      <c r="Q137" s="6"/>
      <c r="R137" s="6"/>
      <c r="S137" s="6">
        <v>54083.173300000002</v>
      </c>
      <c r="T137" s="6">
        <f t="shared" si="162"/>
        <v>54083.173300000002</v>
      </c>
      <c r="U137" s="6">
        <f t="shared" si="163"/>
        <v>148.17307753424657</v>
      </c>
      <c r="V137" s="6">
        <v>32734.037100000001</v>
      </c>
      <c r="W137" s="6">
        <f t="shared" si="164"/>
        <v>32734.037100000001</v>
      </c>
      <c r="X137" s="6">
        <f t="shared" si="165"/>
        <v>89.682293424657544</v>
      </c>
      <c r="Y137" s="6">
        <v>23420.416499999999</v>
      </c>
      <c r="Z137" s="6">
        <f t="shared" si="166"/>
        <v>23420.416499999999</v>
      </c>
      <c r="AA137" s="6">
        <f t="shared" si="167"/>
        <v>64.165524657534249</v>
      </c>
      <c r="AB137" s="6">
        <v>14464.1638</v>
      </c>
      <c r="AC137" s="6">
        <f t="shared" si="168"/>
        <v>14464.1638</v>
      </c>
      <c r="AD137" s="6">
        <f t="shared" si="169"/>
        <v>39.627846027397261</v>
      </c>
      <c r="AE137" s="6">
        <v>0</v>
      </c>
      <c r="AF137" s="6">
        <f t="shared" si="170"/>
        <v>0</v>
      </c>
      <c r="AG137" s="6">
        <f t="shared" si="171"/>
        <v>0</v>
      </c>
      <c r="AH137" s="6">
        <v>0</v>
      </c>
      <c r="AI137" s="6">
        <f t="shared" si="172"/>
        <v>0</v>
      </c>
      <c r="AJ137" s="6">
        <f t="shared" si="173"/>
        <v>0</v>
      </c>
      <c r="AK137" s="6">
        <v>0</v>
      </c>
      <c r="AL137" s="6">
        <f t="shared" si="174"/>
        <v>0</v>
      </c>
      <c r="AM137" s="6">
        <f t="shared" si="175"/>
        <v>0</v>
      </c>
      <c r="AN137" s="6">
        <v>0</v>
      </c>
      <c r="AO137" s="6">
        <f t="shared" si="176"/>
        <v>0</v>
      </c>
      <c r="AP137" s="6">
        <f t="shared" si="177"/>
        <v>0</v>
      </c>
      <c r="AQ137" s="6">
        <v>0</v>
      </c>
      <c r="AR137" s="6">
        <f t="shared" si="178"/>
        <v>0</v>
      </c>
      <c r="AS137" s="6">
        <f t="shared" si="179"/>
        <v>0</v>
      </c>
      <c r="AT137" s="6">
        <v>0</v>
      </c>
      <c r="AU137" s="6">
        <f t="shared" si="180"/>
        <v>0</v>
      </c>
      <c r="AV137" s="6">
        <f t="shared" si="181"/>
        <v>0</v>
      </c>
      <c r="AW137" s="6">
        <v>0</v>
      </c>
      <c r="AX137" s="6">
        <f t="shared" si="182"/>
        <v>0</v>
      </c>
      <c r="AY137" s="6">
        <f t="shared" si="183"/>
        <v>0</v>
      </c>
      <c r="AZ137" s="6">
        <v>0</v>
      </c>
      <c r="BA137" s="6">
        <f t="shared" si="184"/>
        <v>0</v>
      </c>
      <c r="BB137" s="6">
        <f t="shared" si="185"/>
        <v>0</v>
      </c>
      <c r="BC137" s="6">
        <v>0</v>
      </c>
      <c r="BD137" s="6">
        <f t="shared" si="186"/>
        <v>0</v>
      </c>
      <c r="BE137" s="6">
        <f t="shared" si="187"/>
        <v>0</v>
      </c>
      <c r="BF137" s="6">
        <v>0</v>
      </c>
      <c r="BG137" s="6">
        <f t="shared" si="188"/>
        <v>0</v>
      </c>
      <c r="BH137" s="6">
        <f t="shared" si="189"/>
        <v>0</v>
      </c>
      <c r="BI137" s="6">
        <v>0</v>
      </c>
      <c r="BJ137" s="6">
        <f t="shared" si="190"/>
        <v>0</v>
      </c>
      <c r="BK137" s="6">
        <f t="shared" si="191"/>
        <v>0</v>
      </c>
      <c r="BL137" s="6">
        <v>0</v>
      </c>
      <c r="BM137" s="6">
        <f t="shared" si="192"/>
        <v>0</v>
      </c>
      <c r="BN137" s="6">
        <f t="shared" si="193"/>
        <v>0</v>
      </c>
      <c r="BO137" s="6">
        <v>0</v>
      </c>
      <c r="BP137" s="6">
        <f t="shared" si="194"/>
        <v>0</v>
      </c>
      <c r="BQ137" s="6">
        <f t="shared" si="195"/>
        <v>0</v>
      </c>
      <c r="BR137" s="6">
        <v>0</v>
      </c>
      <c r="BS137" s="6">
        <f t="shared" si="196"/>
        <v>0</v>
      </c>
      <c r="BT137" s="6">
        <f t="shared" si="197"/>
        <v>0</v>
      </c>
      <c r="BU137" s="6">
        <v>0</v>
      </c>
      <c r="BV137" s="6">
        <f t="shared" si="198"/>
        <v>0</v>
      </c>
      <c r="BW137" s="6">
        <f t="shared" si="199"/>
        <v>0</v>
      </c>
      <c r="BX137" s="6">
        <v>0</v>
      </c>
      <c r="BY137" s="6">
        <f t="shared" si="200"/>
        <v>0</v>
      </c>
      <c r="BZ137" s="6">
        <f t="shared" si="201"/>
        <v>0</v>
      </c>
      <c r="CA137" s="6">
        <v>0</v>
      </c>
      <c r="CB137" s="6">
        <f t="shared" si="202"/>
        <v>0</v>
      </c>
      <c r="CC137" s="6">
        <f t="shared" si="203"/>
        <v>0</v>
      </c>
      <c r="CD137" s="6">
        <v>0</v>
      </c>
      <c r="CE137" s="6">
        <f t="shared" si="204"/>
        <v>0</v>
      </c>
      <c r="CF137" s="6">
        <f t="shared" si="205"/>
        <v>0</v>
      </c>
      <c r="CG137" s="6">
        <v>0</v>
      </c>
      <c r="CH137" s="6">
        <f t="shared" si="206"/>
        <v>0</v>
      </c>
      <c r="CI137" s="6">
        <f t="shared" si="207"/>
        <v>0</v>
      </c>
      <c r="CJ137" s="6">
        <v>0</v>
      </c>
      <c r="CK137" s="6">
        <f t="shared" si="208"/>
        <v>0</v>
      </c>
      <c r="CL137" s="6">
        <f t="shared" si="209"/>
        <v>0</v>
      </c>
      <c r="CM137" s="6">
        <v>0</v>
      </c>
      <c r="CN137" s="6">
        <f t="shared" si="210"/>
        <v>0</v>
      </c>
      <c r="CO137" s="6">
        <f t="shared" si="211"/>
        <v>0</v>
      </c>
      <c r="CP137" s="6">
        <v>0</v>
      </c>
      <c r="CQ137" s="6">
        <f t="shared" si="212"/>
        <v>0</v>
      </c>
      <c r="CR137" s="6">
        <f t="shared" si="213"/>
        <v>0</v>
      </c>
      <c r="CS137" s="6">
        <v>0</v>
      </c>
      <c r="CT137" s="6">
        <f t="shared" si="214"/>
        <v>0</v>
      </c>
      <c r="CU137" s="6">
        <f t="shared" si="215"/>
        <v>0</v>
      </c>
      <c r="CV137" s="6">
        <v>0</v>
      </c>
      <c r="CW137" s="6">
        <f t="shared" si="216"/>
        <v>0</v>
      </c>
      <c r="CX137" s="6">
        <f t="shared" si="217"/>
        <v>0</v>
      </c>
      <c r="CY137" s="6">
        <v>0</v>
      </c>
      <c r="CZ137" s="6">
        <f t="shared" si="218"/>
        <v>0</v>
      </c>
      <c r="DA137" s="6">
        <f t="shared" si="219"/>
        <v>0</v>
      </c>
      <c r="DB137" s="6">
        <v>0</v>
      </c>
      <c r="DC137" s="6">
        <f t="shared" si="220"/>
        <v>0</v>
      </c>
      <c r="DD137" s="6">
        <f t="shared" si="221"/>
        <v>0</v>
      </c>
      <c r="DE137" s="6">
        <v>0</v>
      </c>
      <c r="DF137" s="6">
        <f t="shared" si="222"/>
        <v>0</v>
      </c>
      <c r="DG137" s="6">
        <f t="shared" si="223"/>
        <v>0</v>
      </c>
      <c r="DH137" s="6">
        <v>0</v>
      </c>
      <c r="DI137" s="6">
        <f t="shared" si="224"/>
        <v>0</v>
      </c>
      <c r="DJ137" s="6">
        <f t="shared" si="225"/>
        <v>0</v>
      </c>
      <c r="DK137" s="6">
        <v>0</v>
      </c>
      <c r="DL137" s="6">
        <f t="shared" si="226"/>
        <v>0</v>
      </c>
      <c r="DM137" s="6">
        <f t="shared" si="227"/>
        <v>0</v>
      </c>
      <c r="DN137" s="6">
        <v>0</v>
      </c>
      <c r="DO137" s="6">
        <f t="shared" si="228"/>
        <v>0</v>
      </c>
      <c r="DP137" s="6">
        <f t="shared" si="229"/>
        <v>0</v>
      </c>
    </row>
    <row r="138" spans="1:120" x14ac:dyDescent="0.2">
      <c r="A138" s="21">
        <v>85</v>
      </c>
      <c r="B138" s="21" t="s">
        <v>612</v>
      </c>
      <c r="C138" s="21">
        <v>85325</v>
      </c>
      <c r="D138" s="21" t="s">
        <v>670</v>
      </c>
      <c r="E138" s="21" t="s">
        <v>611</v>
      </c>
      <c r="F138" s="22" t="s">
        <v>662</v>
      </c>
      <c r="G138" s="4" t="s">
        <v>250</v>
      </c>
      <c r="H138" s="6">
        <v>35353.919999999998</v>
      </c>
      <c r="I138" s="6">
        <f t="shared" si="155"/>
        <v>96.860054794520536</v>
      </c>
      <c r="J138" s="6">
        <v>34345.754399999998</v>
      </c>
      <c r="K138" s="6">
        <v>30278.07</v>
      </c>
      <c r="L138" s="6">
        <f t="shared" si="159"/>
        <v>82.726967213114747</v>
      </c>
      <c r="M138" s="6">
        <v>61172.1302</v>
      </c>
      <c r="N138" s="6">
        <v>16741.22</v>
      </c>
      <c r="O138" s="6">
        <f t="shared" si="160"/>
        <v>45.866356164383568</v>
      </c>
      <c r="P138" s="6">
        <v>102624.8879</v>
      </c>
      <c r="Q138" s="6">
        <v>8573.89</v>
      </c>
      <c r="R138" s="6">
        <f>Q138/181</f>
        <v>47.369558011049719</v>
      </c>
      <c r="S138" s="6">
        <v>99800.798200000005</v>
      </c>
      <c r="T138" s="6">
        <f t="shared" si="162"/>
        <v>99800.798200000005</v>
      </c>
      <c r="U138" s="6">
        <f t="shared" si="163"/>
        <v>273.42684438356167</v>
      </c>
      <c r="V138" s="6">
        <v>72830.839399999997</v>
      </c>
      <c r="W138" s="6">
        <f t="shared" si="164"/>
        <v>72830.839399999997</v>
      </c>
      <c r="X138" s="6">
        <f t="shared" si="165"/>
        <v>199.53654630136987</v>
      </c>
      <c r="Y138" s="6">
        <v>55505.058100000002</v>
      </c>
      <c r="Z138" s="6">
        <f t="shared" si="166"/>
        <v>55505.058100000002</v>
      </c>
      <c r="AA138" s="6">
        <f t="shared" si="167"/>
        <v>152.06865232876712</v>
      </c>
      <c r="AB138" s="6">
        <v>44051.090199999999</v>
      </c>
      <c r="AC138" s="6">
        <f t="shared" si="168"/>
        <v>44051.090199999999</v>
      </c>
      <c r="AD138" s="6">
        <f t="shared" si="169"/>
        <v>120.68791835616437</v>
      </c>
      <c r="AE138" s="6">
        <v>25694.358499999998</v>
      </c>
      <c r="AF138" s="6">
        <f t="shared" si="170"/>
        <v>25694.358499999998</v>
      </c>
      <c r="AG138" s="6">
        <f t="shared" si="171"/>
        <v>70.395502739726027</v>
      </c>
      <c r="AH138" s="6">
        <v>0</v>
      </c>
      <c r="AI138" s="6">
        <f t="shared" si="172"/>
        <v>0</v>
      </c>
      <c r="AJ138" s="6">
        <f t="shared" si="173"/>
        <v>0</v>
      </c>
      <c r="AK138" s="6">
        <v>0</v>
      </c>
      <c r="AL138" s="6">
        <f t="shared" si="174"/>
        <v>0</v>
      </c>
      <c r="AM138" s="6">
        <f t="shared" si="175"/>
        <v>0</v>
      </c>
      <c r="AN138" s="6">
        <v>0</v>
      </c>
      <c r="AO138" s="6">
        <f t="shared" si="176"/>
        <v>0</v>
      </c>
      <c r="AP138" s="6">
        <f t="shared" si="177"/>
        <v>0</v>
      </c>
      <c r="AQ138" s="6">
        <v>0</v>
      </c>
      <c r="AR138" s="6">
        <f t="shared" si="178"/>
        <v>0</v>
      </c>
      <c r="AS138" s="6">
        <f t="shared" si="179"/>
        <v>0</v>
      </c>
      <c r="AT138" s="6">
        <v>0</v>
      </c>
      <c r="AU138" s="6">
        <f t="shared" si="180"/>
        <v>0</v>
      </c>
      <c r="AV138" s="6">
        <f t="shared" si="181"/>
        <v>0</v>
      </c>
      <c r="AW138" s="6">
        <v>0</v>
      </c>
      <c r="AX138" s="6">
        <f t="shared" si="182"/>
        <v>0</v>
      </c>
      <c r="AY138" s="6">
        <f t="shared" si="183"/>
        <v>0</v>
      </c>
      <c r="AZ138" s="6">
        <v>0</v>
      </c>
      <c r="BA138" s="6">
        <f t="shared" si="184"/>
        <v>0</v>
      </c>
      <c r="BB138" s="6">
        <f t="shared" si="185"/>
        <v>0</v>
      </c>
      <c r="BC138" s="6">
        <v>0</v>
      </c>
      <c r="BD138" s="6">
        <f t="shared" si="186"/>
        <v>0</v>
      </c>
      <c r="BE138" s="6">
        <f t="shared" si="187"/>
        <v>0</v>
      </c>
      <c r="BF138" s="6">
        <v>0</v>
      </c>
      <c r="BG138" s="6">
        <f t="shared" si="188"/>
        <v>0</v>
      </c>
      <c r="BH138" s="6">
        <f t="shared" si="189"/>
        <v>0</v>
      </c>
      <c r="BI138" s="6">
        <v>0</v>
      </c>
      <c r="BJ138" s="6">
        <f t="shared" si="190"/>
        <v>0</v>
      </c>
      <c r="BK138" s="6">
        <f t="shared" si="191"/>
        <v>0</v>
      </c>
      <c r="BL138" s="6">
        <v>0</v>
      </c>
      <c r="BM138" s="6">
        <f t="shared" si="192"/>
        <v>0</v>
      </c>
      <c r="BN138" s="6">
        <f t="shared" si="193"/>
        <v>0</v>
      </c>
      <c r="BO138" s="6">
        <v>0</v>
      </c>
      <c r="BP138" s="6">
        <f t="shared" si="194"/>
        <v>0</v>
      </c>
      <c r="BQ138" s="6">
        <f t="shared" si="195"/>
        <v>0</v>
      </c>
      <c r="BR138" s="6">
        <v>0</v>
      </c>
      <c r="BS138" s="6">
        <f t="shared" si="196"/>
        <v>0</v>
      </c>
      <c r="BT138" s="6">
        <f t="shared" si="197"/>
        <v>0</v>
      </c>
      <c r="BU138" s="6">
        <v>0</v>
      </c>
      <c r="BV138" s="6">
        <f t="shared" si="198"/>
        <v>0</v>
      </c>
      <c r="BW138" s="6">
        <f t="shared" si="199"/>
        <v>0</v>
      </c>
      <c r="BX138" s="6">
        <v>0</v>
      </c>
      <c r="BY138" s="6">
        <f t="shared" si="200"/>
        <v>0</v>
      </c>
      <c r="BZ138" s="6">
        <f t="shared" si="201"/>
        <v>0</v>
      </c>
      <c r="CA138" s="6">
        <v>0</v>
      </c>
      <c r="CB138" s="6">
        <f t="shared" si="202"/>
        <v>0</v>
      </c>
      <c r="CC138" s="6">
        <f t="shared" si="203"/>
        <v>0</v>
      </c>
      <c r="CD138" s="6">
        <v>0</v>
      </c>
      <c r="CE138" s="6">
        <f t="shared" si="204"/>
        <v>0</v>
      </c>
      <c r="CF138" s="6">
        <f t="shared" si="205"/>
        <v>0</v>
      </c>
      <c r="CG138" s="6">
        <v>0</v>
      </c>
      <c r="CH138" s="6">
        <f t="shared" si="206"/>
        <v>0</v>
      </c>
      <c r="CI138" s="6">
        <f t="shared" si="207"/>
        <v>0</v>
      </c>
      <c r="CJ138" s="6">
        <v>0</v>
      </c>
      <c r="CK138" s="6">
        <f t="shared" si="208"/>
        <v>0</v>
      </c>
      <c r="CL138" s="6">
        <f t="shared" si="209"/>
        <v>0</v>
      </c>
      <c r="CM138" s="6">
        <v>0</v>
      </c>
      <c r="CN138" s="6">
        <f t="shared" si="210"/>
        <v>0</v>
      </c>
      <c r="CO138" s="6">
        <f t="shared" si="211"/>
        <v>0</v>
      </c>
      <c r="CP138" s="6">
        <v>0</v>
      </c>
      <c r="CQ138" s="6">
        <f t="shared" si="212"/>
        <v>0</v>
      </c>
      <c r="CR138" s="6">
        <f t="shared" si="213"/>
        <v>0</v>
      </c>
      <c r="CS138" s="6">
        <v>0</v>
      </c>
      <c r="CT138" s="6">
        <f t="shared" si="214"/>
        <v>0</v>
      </c>
      <c r="CU138" s="6">
        <f t="shared" si="215"/>
        <v>0</v>
      </c>
      <c r="CV138" s="6">
        <v>0</v>
      </c>
      <c r="CW138" s="6">
        <f t="shared" si="216"/>
        <v>0</v>
      </c>
      <c r="CX138" s="6">
        <f t="shared" si="217"/>
        <v>0</v>
      </c>
      <c r="CY138" s="6">
        <v>0</v>
      </c>
      <c r="CZ138" s="6">
        <f t="shared" si="218"/>
        <v>0</v>
      </c>
      <c r="DA138" s="6">
        <f t="shared" si="219"/>
        <v>0</v>
      </c>
      <c r="DB138" s="6">
        <v>0</v>
      </c>
      <c r="DC138" s="6">
        <f t="shared" si="220"/>
        <v>0</v>
      </c>
      <c r="DD138" s="6">
        <f t="shared" si="221"/>
        <v>0</v>
      </c>
      <c r="DE138" s="6">
        <v>0</v>
      </c>
      <c r="DF138" s="6">
        <f t="shared" si="222"/>
        <v>0</v>
      </c>
      <c r="DG138" s="6">
        <f t="shared" si="223"/>
        <v>0</v>
      </c>
      <c r="DH138" s="6">
        <v>0</v>
      </c>
      <c r="DI138" s="6">
        <f t="shared" si="224"/>
        <v>0</v>
      </c>
      <c r="DJ138" s="6">
        <f t="shared" si="225"/>
        <v>0</v>
      </c>
      <c r="DK138" s="6">
        <v>0</v>
      </c>
      <c r="DL138" s="6">
        <f t="shared" si="226"/>
        <v>0</v>
      </c>
      <c r="DM138" s="6">
        <f t="shared" si="227"/>
        <v>0</v>
      </c>
      <c r="DN138" s="6">
        <v>0</v>
      </c>
      <c r="DO138" s="6">
        <f t="shared" si="228"/>
        <v>0</v>
      </c>
      <c r="DP138" s="6">
        <f t="shared" si="229"/>
        <v>0</v>
      </c>
    </row>
    <row r="139" spans="1:120" x14ac:dyDescent="0.2">
      <c r="A139" s="21">
        <v>73</v>
      </c>
      <c r="B139" s="21" t="s">
        <v>582</v>
      </c>
      <c r="C139" s="21">
        <v>73449</v>
      </c>
      <c r="D139" s="21" t="s">
        <v>720</v>
      </c>
      <c r="E139" s="21" t="s">
        <v>575</v>
      </c>
      <c r="F139" s="22" t="s">
        <v>662</v>
      </c>
      <c r="G139" s="4" t="s">
        <v>251</v>
      </c>
      <c r="H139" s="6">
        <v>1271578.1499999999</v>
      </c>
      <c r="I139" s="6">
        <f t="shared" si="155"/>
        <v>3483.7757534246571</v>
      </c>
      <c r="J139" s="6">
        <v>1217453</v>
      </c>
      <c r="K139" s="6">
        <v>1154255.3500000001</v>
      </c>
      <c r="L139" s="6">
        <f t="shared" si="159"/>
        <v>3153.7031420765029</v>
      </c>
      <c r="M139" s="6">
        <v>997890</v>
      </c>
      <c r="N139" s="6">
        <v>1037731.63</v>
      </c>
      <c r="O139" s="6">
        <f t="shared" si="160"/>
        <v>2843.1003561643834</v>
      </c>
      <c r="P139" s="6">
        <v>816319</v>
      </c>
      <c r="Q139" s="6">
        <v>433203.68</v>
      </c>
      <c r="R139" s="6">
        <f>Q139/181</f>
        <v>2393.390497237569</v>
      </c>
      <c r="S139" s="6">
        <v>674913</v>
      </c>
      <c r="T139" s="6">
        <f t="shared" si="162"/>
        <v>674913</v>
      </c>
      <c r="U139" s="6">
        <f t="shared" si="163"/>
        <v>1849.0767123287671</v>
      </c>
      <c r="V139" s="6">
        <v>556463</v>
      </c>
      <c r="W139" s="6">
        <f t="shared" si="164"/>
        <v>556463</v>
      </c>
      <c r="X139" s="6">
        <f t="shared" si="165"/>
        <v>1524.5561643835617</v>
      </c>
      <c r="Y139" s="6">
        <v>445853</v>
      </c>
      <c r="Z139" s="6">
        <f t="shared" si="166"/>
        <v>445853</v>
      </c>
      <c r="AA139" s="6">
        <f t="shared" si="167"/>
        <v>1221.5150684931507</v>
      </c>
      <c r="AB139" s="6">
        <v>370161</v>
      </c>
      <c r="AC139" s="6">
        <f t="shared" si="168"/>
        <v>370161</v>
      </c>
      <c r="AD139" s="6">
        <f t="shared" si="169"/>
        <v>1014.1397260273973</v>
      </c>
      <c r="AE139" s="6">
        <v>300998</v>
      </c>
      <c r="AF139" s="6">
        <f t="shared" si="170"/>
        <v>300998</v>
      </c>
      <c r="AG139" s="6">
        <f t="shared" si="171"/>
        <v>824.6520547945205</v>
      </c>
      <c r="AH139" s="6">
        <v>233065</v>
      </c>
      <c r="AI139" s="6">
        <f t="shared" si="172"/>
        <v>233065</v>
      </c>
      <c r="AJ139" s="6">
        <f t="shared" si="173"/>
        <v>638.53424657534242</v>
      </c>
      <c r="AK139" s="6">
        <v>185523</v>
      </c>
      <c r="AL139" s="6">
        <f t="shared" si="174"/>
        <v>185523</v>
      </c>
      <c r="AM139" s="6">
        <f t="shared" si="175"/>
        <v>508.2821917808219</v>
      </c>
      <c r="AN139" s="6">
        <v>0</v>
      </c>
      <c r="AO139" s="6">
        <f t="shared" si="176"/>
        <v>0</v>
      </c>
      <c r="AP139" s="6">
        <f t="shared" si="177"/>
        <v>0</v>
      </c>
      <c r="AQ139" s="6">
        <v>0</v>
      </c>
      <c r="AR139" s="6">
        <f t="shared" si="178"/>
        <v>0</v>
      </c>
      <c r="AS139" s="6">
        <f t="shared" si="179"/>
        <v>0</v>
      </c>
      <c r="AT139" s="6">
        <v>0</v>
      </c>
      <c r="AU139" s="6">
        <f t="shared" si="180"/>
        <v>0</v>
      </c>
      <c r="AV139" s="6">
        <f t="shared" si="181"/>
        <v>0</v>
      </c>
      <c r="AW139" s="6">
        <v>0</v>
      </c>
      <c r="AX139" s="6">
        <f t="shared" si="182"/>
        <v>0</v>
      </c>
      <c r="AY139" s="6">
        <f t="shared" si="183"/>
        <v>0</v>
      </c>
      <c r="AZ139" s="6">
        <v>0</v>
      </c>
      <c r="BA139" s="6">
        <f t="shared" si="184"/>
        <v>0</v>
      </c>
      <c r="BB139" s="6">
        <f t="shared" si="185"/>
        <v>0</v>
      </c>
      <c r="BC139" s="6">
        <v>0</v>
      </c>
      <c r="BD139" s="6">
        <f t="shared" si="186"/>
        <v>0</v>
      </c>
      <c r="BE139" s="6">
        <f t="shared" si="187"/>
        <v>0</v>
      </c>
      <c r="BF139" s="6">
        <v>0</v>
      </c>
      <c r="BG139" s="6">
        <f t="shared" si="188"/>
        <v>0</v>
      </c>
      <c r="BH139" s="6">
        <f t="shared" si="189"/>
        <v>0</v>
      </c>
      <c r="BI139" s="6">
        <v>0</v>
      </c>
      <c r="BJ139" s="6">
        <f t="shared" si="190"/>
        <v>0</v>
      </c>
      <c r="BK139" s="6">
        <f t="shared" si="191"/>
        <v>0</v>
      </c>
      <c r="BL139" s="6">
        <v>0</v>
      </c>
      <c r="BM139" s="6">
        <f t="shared" si="192"/>
        <v>0</v>
      </c>
      <c r="BN139" s="6">
        <f t="shared" si="193"/>
        <v>0</v>
      </c>
      <c r="BO139" s="6">
        <v>0</v>
      </c>
      <c r="BP139" s="6">
        <f t="shared" si="194"/>
        <v>0</v>
      </c>
      <c r="BQ139" s="6">
        <f t="shared" si="195"/>
        <v>0</v>
      </c>
      <c r="BR139" s="6">
        <v>0</v>
      </c>
      <c r="BS139" s="6">
        <f t="shared" si="196"/>
        <v>0</v>
      </c>
      <c r="BT139" s="6">
        <f t="shared" si="197"/>
        <v>0</v>
      </c>
      <c r="BU139" s="6">
        <v>0</v>
      </c>
      <c r="BV139" s="6">
        <f t="shared" si="198"/>
        <v>0</v>
      </c>
      <c r="BW139" s="6">
        <f t="shared" si="199"/>
        <v>0</v>
      </c>
      <c r="BX139" s="6">
        <v>0</v>
      </c>
      <c r="BY139" s="6">
        <f t="shared" si="200"/>
        <v>0</v>
      </c>
      <c r="BZ139" s="6">
        <f t="shared" si="201"/>
        <v>0</v>
      </c>
      <c r="CA139" s="6">
        <v>0</v>
      </c>
      <c r="CB139" s="6">
        <f t="shared" si="202"/>
        <v>0</v>
      </c>
      <c r="CC139" s="6">
        <f t="shared" si="203"/>
        <v>0</v>
      </c>
      <c r="CD139" s="6">
        <v>0</v>
      </c>
      <c r="CE139" s="6">
        <f t="shared" si="204"/>
        <v>0</v>
      </c>
      <c r="CF139" s="6">
        <f t="shared" si="205"/>
        <v>0</v>
      </c>
      <c r="CG139" s="6">
        <v>0</v>
      </c>
      <c r="CH139" s="6">
        <f t="shared" si="206"/>
        <v>0</v>
      </c>
      <c r="CI139" s="6">
        <f t="shared" si="207"/>
        <v>0</v>
      </c>
      <c r="CJ139" s="6">
        <v>0</v>
      </c>
      <c r="CK139" s="6">
        <f t="shared" si="208"/>
        <v>0</v>
      </c>
      <c r="CL139" s="6">
        <f t="shared" si="209"/>
        <v>0</v>
      </c>
      <c r="CM139" s="6">
        <v>0</v>
      </c>
      <c r="CN139" s="6">
        <f t="shared" si="210"/>
        <v>0</v>
      </c>
      <c r="CO139" s="6">
        <f t="shared" si="211"/>
        <v>0</v>
      </c>
      <c r="CP139" s="6">
        <v>0</v>
      </c>
      <c r="CQ139" s="6">
        <f t="shared" si="212"/>
        <v>0</v>
      </c>
      <c r="CR139" s="6">
        <f t="shared" si="213"/>
        <v>0</v>
      </c>
      <c r="CS139" s="6">
        <v>0</v>
      </c>
      <c r="CT139" s="6">
        <f t="shared" si="214"/>
        <v>0</v>
      </c>
      <c r="CU139" s="6">
        <f t="shared" si="215"/>
        <v>0</v>
      </c>
      <c r="CV139" s="6">
        <v>0</v>
      </c>
      <c r="CW139" s="6">
        <f t="shared" si="216"/>
        <v>0</v>
      </c>
      <c r="CX139" s="6">
        <f t="shared" si="217"/>
        <v>0</v>
      </c>
      <c r="CY139" s="6">
        <v>0</v>
      </c>
      <c r="CZ139" s="6">
        <f t="shared" si="218"/>
        <v>0</v>
      </c>
      <c r="DA139" s="6">
        <f t="shared" si="219"/>
        <v>0</v>
      </c>
      <c r="DB139" s="6">
        <v>0</v>
      </c>
      <c r="DC139" s="6">
        <f t="shared" si="220"/>
        <v>0</v>
      </c>
      <c r="DD139" s="6">
        <f t="shared" si="221"/>
        <v>0</v>
      </c>
      <c r="DE139" s="6">
        <v>0</v>
      </c>
      <c r="DF139" s="6">
        <f t="shared" si="222"/>
        <v>0</v>
      </c>
      <c r="DG139" s="6">
        <f t="shared" si="223"/>
        <v>0</v>
      </c>
      <c r="DH139" s="6">
        <v>0</v>
      </c>
      <c r="DI139" s="6">
        <f t="shared" si="224"/>
        <v>0</v>
      </c>
      <c r="DJ139" s="6">
        <f t="shared" si="225"/>
        <v>0</v>
      </c>
      <c r="DK139" s="6">
        <v>0</v>
      </c>
      <c r="DL139" s="6">
        <f t="shared" si="226"/>
        <v>0</v>
      </c>
      <c r="DM139" s="6">
        <f t="shared" si="227"/>
        <v>0</v>
      </c>
      <c r="DN139" s="6">
        <v>0</v>
      </c>
      <c r="DO139" s="6">
        <f t="shared" si="228"/>
        <v>0</v>
      </c>
      <c r="DP139" s="6">
        <f t="shared" si="229"/>
        <v>0</v>
      </c>
    </row>
    <row r="140" spans="1:120" x14ac:dyDescent="0.2">
      <c r="A140" s="21">
        <v>73</v>
      </c>
      <c r="B140" s="21" t="s">
        <v>582</v>
      </c>
      <c r="C140" s="21">
        <v>73449</v>
      </c>
      <c r="D140" s="21" t="s">
        <v>720</v>
      </c>
      <c r="E140" s="21" t="s">
        <v>575</v>
      </c>
      <c r="F140" s="22" t="s">
        <v>662</v>
      </c>
      <c r="G140" s="4" t="s">
        <v>252</v>
      </c>
      <c r="H140" s="6">
        <v>569813.62</v>
      </c>
      <c r="I140" s="6">
        <f t="shared" si="155"/>
        <v>1561.133205479452</v>
      </c>
      <c r="J140" s="6">
        <v>504587</v>
      </c>
      <c r="K140" s="6">
        <v>497760</v>
      </c>
      <c r="L140" s="6">
        <f t="shared" si="159"/>
        <v>1360</v>
      </c>
      <c r="M140" s="6">
        <v>408160</v>
      </c>
      <c r="N140" s="6">
        <v>449151.46</v>
      </c>
      <c r="O140" s="6">
        <f t="shared" si="160"/>
        <v>1230.5519452054796</v>
      </c>
      <c r="P140" s="6">
        <v>320010</v>
      </c>
      <c r="Q140" s="6">
        <v>199316.91</v>
      </c>
      <c r="R140" s="6">
        <f>Q140/181</f>
        <v>1101.1983977900552</v>
      </c>
      <c r="S140" s="6">
        <v>251704</v>
      </c>
      <c r="T140" s="6">
        <f t="shared" si="162"/>
        <v>251704</v>
      </c>
      <c r="U140" s="6">
        <f t="shared" si="163"/>
        <v>689.6</v>
      </c>
      <c r="V140" s="6">
        <v>198262</v>
      </c>
      <c r="W140" s="6">
        <f t="shared" si="164"/>
        <v>198262</v>
      </c>
      <c r="X140" s="6">
        <f t="shared" si="165"/>
        <v>543.18356164383556</v>
      </c>
      <c r="Y140" s="6">
        <v>156456</v>
      </c>
      <c r="Z140" s="6">
        <f t="shared" si="166"/>
        <v>156456</v>
      </c>
      <c r="AA140" s="6">
        <f t="shared" si="167"/>
        <v>428.64657534246578</v>
      </c>
      <c r="AB140" s="6">
        <v>123665</v>
      </c>
      <c r="AC140" s="6">
        <f t="shared" si="168"/>
        <v>123665</v>
      </c>
      <c r="AD140" s="6">
        <f t="shared" si="169"/>
        <v>338.8082191780822</v>
      </c>
      <c r="AE140" s="6">
        <v>98230</v>
      </c>
      <c r="AF140" s="6">
        <f t="shared" si="170"/>
        <v>98230</v>
      </c>
      <c r="AG140" s="6">
        <f t="shared" si="171"/>
        <v>269.1232876712329</v>
      </c>
      <c r="AH140" s="6">
        <v>78725</v>
      </c>
      <c r="AI140" s="6">
        <f t="shared" si="172"/>
        <v>78725</v>
      </c>
      <c r="AJ140" s="6">
        <f t="shared" si="173"/>
        <v>215.68493150684932</v>
      </c>
      <c r="AK140" s="6">
        <v>62931</v>
      </c>
      <c r="AL140" s="6">
        <f t="shared" si="174"/>
        <v>62931</v>
      </c>
      <c r="AM140" s="6">
        <f t="shared" si="175"/>
        <v>172.41369863013699</v>
      </c>
      <c r="AN140" s="6">
        <v>50109</v>
      </c>
      <c r="AO140" s="6">
        <f t="shared" si="176"/>
        <v>50109</v>
      </c>
      <c r="AP140" s="6">
        <f t="shared" si="177"/>
        <v>137.28493150684932</v>
      </c>
      <c r="AQ140" s="6">
        <v>39295</v>
      </c>
      <c r="AR140" s="6">
        <f t="shared" si="178"/>
        <v>39295</v>
      </c>
      <c r="AS140" s="6">
        <f t="shared" si="179"/>
        <v>107.65753424657534</v>
      </c>
      <c r="AT140" s="6">
        <v>31420</v>
      </c>
      <c r="AU140" s="6">
        <f t="shared" si="180"/>
        <v>31420</v>
      </c>
      <c r="AV140" s="6">
        <f t="shared" si="181"/>
        <v>86.082191780821915</v>
      </c>
      <c r="AW140" s="6">
        <v>0</v>
      </c>
      <c r="AX140" s="6">
        <f t="shared" si="182"/>
        <v>0</v>
      </c>
      <c r="AY140" s="6">
        <f t="shared" si="183"/>
        <v>0</v>
      </c>
      <c r="AZ140" s="6">
        <v>0</v>
      </c>
      <c r="BA140" s="6">
        <f t="shared" si="184"/>
        <v>0</v>
      </c>
      <c r="BB140" s="6">
        <f t="shared" si="185"/>
        <v>0</v>
      </c>
      <c r="BC140" s="6">
        <v>0</v>
      </c>
      <c r="BD140" s="6">
        <f t="shared" si="186"/>
        <v>0</v>
      </c>
      <c r="BE140" s="6">
        <f t="shared" si="187"/>
        <v>0</v>
      </c>
      <c r="BF140" s="6">
        <v>0</v>
      </c>
      <c r="BG140" s="6">
        <f t="shared" si="188"/>
        <v>0</v>
      </c>
      <c r="BH140" s="6">
        <f t="shared" si="189"/>
        <v>0</v>
      </c>
      <c r="BI140" s="6">
        <v>0</v>
      </c>
      <c r="BJ140" s="6">
        <f t="shared" si="190"/>
        <v>0</v>
      </c>
      <c r="BK140" s="6">
        <f t="shared" si="191"/>
        <v>0</v>
      </c>
      <c r="BL140" s="6">
        <v>0</v>
      </c>
      <c r="BM140" s="6">
        <f t="shared" si="192"/>
        <v>0</v>
      </c>
      <c r="BN140" s="6">
        <f t="shared" si="193"/>
        <v>0</v>
      </c>
      <c r="BO140" s="6">
        <v>0</v>
      </c>
      <c r="BP140" s="6">
        <f t="shared" si="194"/>
        <v>0</v>
      </c>
      <c r="BQ140" s="6">
        <f t="shared" si="195"/>
        <v>0</v>
      </c>
      <c r="BR140" s="6">
        <v>0</v>
      </c>
      <c r="BS140" s="6">
        <f t="shared" si="196"/>
        <v>0</v>
      </c>
      <c r="BT140" s="6">
        <f t="shared" si="197"/>
        <v>0</v>
      </c>
      <c r="BU140" s="6">
        <v>0</v>
      </c>
      <c r="BV140" s="6">
        <f t="shared" si="198"/>
        <v>0</v>
      </c>
      <c r="BW140" s="6">
        <f t="shared" si="199"/>
        <v>0</v>
      </c>
      <c r="BX140" s="6">
        <v>0</v>
      </c>
      <c r="BY140" s="6">
        <f t="shared" si="200"/>
        <v>0</v>
      </c>
      <c r="BZ140" s="6">
        <f t="shared" si="201"/>
        <v>0</v>
      </c>
      <c r="CA140" s="6">
        <v>0</v>
      </c>
      <c r="CB140" s="6">
        <f t="shared" si="202"/>
        <v>0</v>
      </c>
      <c r="CC140" s="6">
        <f t="shared" si="203"/>
        <v>0</v>
      </c>
      <c r="CD140" s="6">
        <v>0</v>
      </c>
      <c r="CE140" s="6">
        <f t="shared" si="204"/>
        <v>0</v>
      </c>
      <c r="CF140" s="6">
        <f t="shared" si="205"/>
        <v>0</v>
      </c>
      <c r="CG140" s="6">
        <v>0</v>
      </c>
      <c r="CH140" s="6">
        <f t="shared" si="206"/>
        <v>0</v>
      </c>
      <c r="CI140" s="6">
        <f t="shared" si="207"/>
        <v>0</v>
      </c>
      <c r="CJ140" s="6">
        <v>0</v>
      </c>
      <c r="CK140" s="6">
        <f t="shared" si="208"/>
        <v>0</v>
      </c>
      <c r="CL140" s="6">
        <f t="shared" si="209"/>
        <v>0</v>
      </c>
      <c r="CM140" s="6">
        <v>0</v>
      </c>
      <c r="CN140" s="6">
        <f t="shared" si="210"/>
        <v>0</v>
      </c>
      <c r="CO140" s="6">
        <f t="shared" si="211"/>
        <v>0</v>
      </c>
      <c r="CP140" s="6">
        <v>0</v>
      </c>
      <c r="CQ140" s="6">
        <f t="shared" si="212"/>
        <v>0</v>
      </c>
      <c r="CR140" s="6">
        <f t="shared" si="213"/>
        <v>0</v>
      </c>
      <c r="CS140" s="6">
        <v>0</v>
      </c>
      <c r="CT140" s="6">
        <f t="shared" si="214"/>
        <v>0</v>
      </c>
      <c r="CU140" s="6">
        <f t="shared" si="215"/>
        <v>0</v>
      </c>
      <c r="CV140" s="6">
        <v>0</v>
      </c>
      <c r="CW140" s="6">
        <f t="shared" si="216"/>
        <v>0</v>
      </c>
      <c r="CX140" s="6">
        <f t="shared" si="217"/>
        <v>0</v>
      </c>
      <c r="CY140" s="6">
        <v>0</v>
      </c>
      <c r="CZ140" s="6">
        <f t="shared" si="218"/>
        <v>0</v>
      </c>
      <c r="DA140" s="6">
        <f t="shared" si="219"/>
        <v>0</v>
      </c>
      <c r="DB140" s="6">
        <v>0</v>
      </c>
      <c r="DC140" s="6">
        <f t="shared" si="220"/>
        <v>0</v>
      </c>
      <c r="DD140" s="6">
        <f t="shared" si="221"/>
        <v>0</v>
      </c>
      <c r="DE140" s="6">
        <v>0</v>
      </c>
      <c r="DF140" s="6">
        <f t="shared" si="222"/>
        <v>0</v>
      </c>
      <c r="DG140" s="6">
        <f t="shared" si="223"/>
        <v>0</v>
      </c>
      <c r="DH140" s="6">
        <v>0</v>
      </c>
      <c r="DI140" s="6">
        <f t="shared" si="224"/>
        <v>0</v>
      </c>
      <c r="DJ140" s="6">
        <f t="shared" si="225"/>
        <v>0</v>
      </c>
      <c r="DK140" s="6">
        <v>0</v>
      </c>
      <c r="DL140" s="6">
        <f t="shared" si="226"/>
        <v>0</v>
      </c>
      <c r="DM140" s="6">
        <f t="shared" si="227"/>
        <v>0</v>
      </c>
      <c r="DN140" s="6">
        <v>0</v>
      </c>
      <c r="DO140" s="6">
        <f t="shared" si="228"/>
        <v>0</v>
      </c>
      <c r="DP140" s="6">
        <f t="shared" si="229"/>
        <v>0</v>
      </c>
    </row>
    <row r="141" spans="1:120" x14ac:dyDescent="0.2">
      <c r="A141" s="21">
        <v>85</v>
      </c>
      <c r="B141" s="21" t="s">
        <v>612</v>
      </c>
      <c r="C141" s="21">
        <v>85230</v>
      </c>
      <c r="D141" s="21" t="s">
        <v>614</v>
      </c>
      <c r="E141" s="21" t="s">
        <v>611</v>
      </c>
      <c r="F141" s="22" t="s">
        <v>662</v>
      </c>
      <c r="G141" s="4" t="s">
        <v>253</v>
      </c>
      <c r="H141" s="6">
        <v>278670.12</v>
      </c>
      <c r="I141" s="6">
        <f t="shared" si="155"/>
        <v>763.47978082191776</v>
      </c>
      <c r="J141" s="6">
        <v>254607.79689999999</v>
      </c>
      <c r="K141" s="6">
        <v>210869.41</v>
      </c>
      <c r="L141" s="6">
        <f t="shared" si="159"/>
        <v>576.14592896174861</v>
      </c>
      <c r="M141" s="6">
        <v>253998.68309999999</v>
      </c>
      <c r="N141" s="6">
        <v>208976.31</v>
      </c>
      <c r="O141" s="6">
        <f t="shared" si="160"/>
        <v>572.53783561643831</v>
      </c>
      <c r="P141" s="6">
        <v>285630.10869999998</v>
      </c>
      <c r="Q141" s="6">
        <v>106894.98</v>
      </c>
      <c r="R141" s="6">
        <f>Q141/181</f>
        <v>590.57999999999993</v>
      </c>
      <c r="S141" s="6">
        <v>243861.71109999999</v>
      </c>
      <c r="T141" s="6">
        <f t="shared" si="162"/>
        <v>243861.71109999999</v>
      </c>
      <c r="U141" s="6">
        <f t="shared" si="163"/>
        <v>668.11427698630132</v>
      </c>
      <c r="V141" s="6">
        <v>213939.6188</v>
      </c>
      <c r="W141" s="6">
        <f t="shared" si="164"/>
        <v>213939.6188</v>
      </c>
      <c r="X141" s="6">
        <f t="shared" si="165"/>
        <v>586.13594191780817</v>
      </c>
      <c r="Y141" s="6">
        <v>190139.59330000001</v>
      </c>
      <c r="Z141" s="6">
        <f t="shared" si="166"/>
        <v>190139.59330000001</v>
      </c>
      <c r="AA141" s="6">
        <f t="shared" si="167"/>
        <v>520.93039260273974</v>
      </c>
      <c r="AB141" s="6">
        <v>170246.95069999999</v>
      </c>
      <c r="AC141" s="6">
        <f t="shared" si="168"/>
        <v>170246.95069999999</v>
      </c>
      <c r="AD141" s="6">
        <f t="shared" si="169"/>
        <v>466.43000191780817</v>
      </c>
      <c r="AE141" s="6">
        <v>153169.3309</v>
      </c>
      <c r="AF141" s="6">
        <f t="shared" si="170"/>
        <v>153169.3309</v>
      </c>
      <c r="AG141" s="6">
        <f t="shared" si="171"/>
        <v>419.64200246575342</v>
      </c>
      <c r="AH141" s="6">
        <v>138273.7015</v>
      </c>
      <c r="AI141" s="6">
        <f t="shared" si="172"/>
        <v>138273.7015</v>
      </c>
      <c r="AJ141" s="6">
        <f t="shared" si="173"/>
        <v>378.8320589041096</v>
      </c>
      <c r="AK141" s="6">
        <v>123891.4308</v>
      </c>
      <c r="AL141" s="6">
        <f t="shared" si="174"/>
        <v>123891.4308</v>
      </c>
      <c r="AM141" s="6">
        <f t="shared" si="175"/>
        <v>339.42857753424659</v>
      </c>
      <c r="AN141" s="6">
        <v>28829.010900000001</v>
      </c>
      <c r="AO141" s="6">
        <f t="shared" si="176"/>
        <v>28829.010900000001</v>
      </c>
      <c r="AP141" s="6">
        <f t="shared" si="177"/>
        <v>78.983591506849322</v>
      </c>
      <c r="AQ141" s="6">
        <v>0</v>
      </c>
      <c r="AR141" s="6">
        <f t="shared" si="178"/>
        <v>0</v>
      </c>
      <c r="AS141" s="6">
        <f t="shared" si="179"/>
        <v>0</v>
      </c>
      <c r="AT141" s="6">
        <v>0</v>
      </c>
      <c r="AU141" s="6">
        <f t="shared" si="180"/>
        <v>0</v>
      </c>
      <c r="AV141" s="6">
        <f t="shared" si="181"/>
        <v>0</v>
      </c>
      <c r="AW141" s="6">
        <v>0</v>
      </c>
      <c r="AX141" s="6">
        <f t="shared" si="182"/>
        <v>0</v>
      </c>
      <c r="AY141" s="6">
        <f t="shared" si="183"/>
        <v>0</v>
      </c>
      <c r="AZ141" s="6">
        <v>0</v>
      </c>
      <c r="BA141" s="6">
        <f t="shared" si="184"/>
        <v>0</v>
      </c>
      <c r="BB141" s="6">
        <f t="shared" si="185"/>
        <v>0</v>
      </c>
      <c r="BC141" s="6">
        <v>0</v>
      </c>
      <c r="BD141" s="6">
        <f t="shared" si="186"/>
        <v>0</v>
      </c>
      <c r="BE141" s="6">
        <f t="shared" si="187"/>
        <v>0</v>
      </c>
      <c r="BF141" s="6">
        <v>0</v>
      </c>
      <c r="BG141" s="6">
        <f t="shared" si="188"/>
        <v>0</v>
      </c>
      <c r="BH141" s="6">
        <f t="shared" si="189"/>
        <v>0</v>
      </c>
      <c r="BI141" s="6">
        <v>0</v>
      </c>
      <c r="BJ141" s="6">
        <f t="shared" si="190"/>
        <v>0</v>
      </c>
      <c r="BK141" s="6">
        <f t="shared" si="191"/>
        <v>0</v>
      </c>
      <c r="BL141" s="6">
        <v>0</v>
      </c>
      <c r="BM141" s="6">
        <f t="shared" si="192"/>
        <v>0</v>
      </c>
      <c r="BN141" s="6">
        <f t="shared" si="193"/>
        <v>0</v>
      </c>
      <c r="BO141" s="6">
        <v>0</v>
      </c>
      <c r="BP141" s="6">
        <f t="shared" si="194"/>
        <v>0</v>
      </c>
      <c r="BQ141" s="6">
        <f t="shared" si="195"/>
        <v>0</v>
      </c>
      <c r="BR141" s="6">
        <v>0</v>
      </c>
      <c r="BS141" s="6">
        <f t="shared" si="196"/>
        <v>0</v>
      </c>
      <c r="BT141" s="6">
        <f t="shared" si="197"/>
        <v>0</v>
      </c>
      <c r="BU141" s="6">
        <v>0</v>
      </c>
      <c r="BV141" s="6">
        <f t="shared" si="198"/>
        <v>0</v>
      </c>
      <c r="BW141" s="6">
        <f t="shared" si="199"/>
        <v>0</v>
      </c>
      <c r="BX141" s="6">
        <v>0</v>
      </c>
      <c r="BY141" s="6">
        <f t="shared" si="200"/>
        <v>0</v>
      </c>
      <c r="BZ141" s="6">
        <f t="shared" si="201"/>
        <v>0</v>
      </c>
      <c r="CA141" s="6">
        <v>0</v>
      </c>
      <c r="CB141" s="6">
        <f t="shared" si="202"/>
        <v>0</v>
      </c>
      <c r="CC141" s="6">
        <f t="shared" si="203"/>
        <v>0</v>
      </c>
      <c r="CD141" s="6">
        <v>0</v>
      </c>
      <c r="CE141" s="6">
        <f t="shared" si="204"/>
        <v>0</v>
      </c>
      <c r="CF141" s="6">
        <f t="shared" si="205"/>
        <v>0</v>
      </c>
      <c r="CG141" s="6">
        <v>0</v>
      </c>
      <c r="CH141" s="6">
        <f t="shared" si="206"/>
        <v>0</v>
      </c>
      <c r="CI141" s="6">
        <f t="shared" si="207"/>
        <v>0</v>
      </c>
      <c r="CJ141" s="6">
        <v>0</v>
      </c>
      <c r="CK141" s="6">
        <f t="shared" si="208"/>
        <v>0</v>
      </c>
      <c r="CL141" s="6">
        <f t="shared" si="209"/>
        <v>0</v>
      </c>
      <c r="CM141" s="6">
        <v>0</v>
      </c>
      <c r="CN141" s="6">
        <f t="shared" si="210"/>
        <v>0</v>
      </c>
      <c r="CO141" s="6">
        <f t="shared" si="211"/>
        <v>0</v>
      </c>
      <c r="CP141" s="6">
        <v>0</v>
      </c>
      <c r="CQ141" s="6">
        <f t="shared" si="212"/>
        <v>0</v>
      </c>
      <c r="CR141" s="6">
        <f t="shared" si="213"/>
        <v>0</v>
      </c>
      <c r="CS141" s="6">
        <v>0</v>
      </c>
      <c r="CT141" s="6">
        <f t="shared" si="214"/>
        <v>0</v>
      </c>
      <c r="CU141" s="6">
        <f t="shared" si="215"/>
        <v>0</v>
      </c>
      <c r="CV141" s="6">
        <v>0</v>
      </c>
      <c r="CW141" s="6">
        <f t="shared" si="216"/>
        <v>0</v>
      </c>
      <c r="CX141" s="6">
        <f t="shared" si="217"/>
        <v>0</v>
      </c>
      <c r="CY141" s="6">
        <v>0</v>
      </c>
      <c r="CZ141" s="6">
        <f t="shared" si="218"/>
        <v>0</v>
      </c>
      <c r="DA141" s="6">
        <f t="shared" si="219"/>
        <v>0</v>
      </c>
      <c r="DB141" s="6">
        <v>0</v>
      </c>
      <c r="DC141" s="6">
        <f t="shared" si="220"/>
        <v>0</v>
      </c>
      <c r="DD141" s="6">
        <f t="shared" si="221"/>
        <v>0</v>
      </c>
      <c r="DE141" s="6">
        <v>0</v>
      </c>
      <c r="DF141" s="6">
        <f t="shared" si="222"/>
        <v>0</v>
      </c>
      <c r="DG141" s="6">
        <f t="shared" si="223"/>
        <v>0</v>
      </c>
      <c r="DH141" s="6">
        <v>0</v>
      </c>
      <c r="DI141" s="6">
        <f t="shared" si="224"/>
        <v>0</v>
      </c>
      <c r="DJ141" s="6">
        <f t="shared" si="225"/>
        <v>0</v>
      </c>
      <c r="DK141" s="6">
        <v>0</v>
      </c>
      <c r="DL141" s="6">
        <f t="shared" si="226"/>
        <v>0</v>
      </c>
      <c r="DM141" s="6">
        <f t="shared" si="227"/>
        <v>0</v>
      </c>
      <c r="DN141" s="6">
        <v>0</v>
      </c>
      <c r="DO141" s="6">
        <f t="shared" si="228"/>
        <v>0</v>
      </c>
      <c r="DP141" s="6">
        <f t="shared" si="229"/>
        <v>0</v>
      </c>
    </row>
    <row r="142" spans="1:120" x14ac:dyDescent="0.2">
      <c r="A142" s="23"/>
      <c r="B142" s="23"/>
      <c r="C142" s="23"/>
      <c r="D142" s="23"/>
      <c r="E142" s="23"/>
      <c r="G142" s="4" t="s">
        <v>254</v>
      </c>
      <c r="H142" s="6"/>
      <c r="I142" s="6"/>
      <c r="J142" s="6">
        <v>0</v>
      </c>
      <c r="K142" s="6"/>
      <c r="L142" s="6"/>
      <c r="M142" s="6">
        <v>11377</v>
      </c>
      <c r="N142" s="6"/>
      <c r="O142" s="6"/>
      <c r="P142" s="6">
        <v>14525</v>
      </c>
      <c r="Q142" s="6"/>
      <c r="R142" s="6"/>
      <c r="S142" s="6">
        <v>10031</v>
      </c>
      <c r="T142" s="6">
        <f t="shared" si="162"/>
        <v>10031</v>
      </c>
      <c r="U142" s="6">
        <f t="shared" si="163"/>
        <v>27.482191780821918</v>
      </c>
      <c r="V142" s="6">
        <v>6945</v>
      </c>
      <c r="W142" s="6">
        <f t="shared" si="164"/>
        <v>6945</v>
      </c>
      <c r="X142" s="6">
        <f t="shared" si="165"/>
        <v>19.027397260273972</v>
      </c>
      <c r="Y142" s="6">
        <v>0</v>
      </c>
      <c r="Z142" s="6">
        <f t="shared" si="166"/>
        <v>0</v>
      </c>
      <c r="AA142" s="6">
        <f t="shared" si="167"/>
        <v>0</v>
      </c>
      <c r="AB142" s="6">
        <v>0</v>
      </c>
      <c r="AC142" s="6">
        <f t="shared" si="168"/>
        <v>0</v>
      </c>
      <c r="AD142" s="6">
        <f t="shared" si="169"/>
        <v>0</v>
      </c>
      <c r="AE142" s="6">
        <v>0</v>
      </c>
      <c r="AF142" s="6">
        <f t="shared" si="170"/>
        <v>0</v>
      </c>
      <c r="AG142" s="6">
        <f t="shared" si="171"/>
        <v>0</v>
      </c>
      <c r="AH142" s="6">
        <v>0</v>
      </c>
      <c r="AI142" s="6">
        <f t="shared" si="172"/>
        <v>0</v>
      </c>
      <c r="AJ142" s="6">
        <f t="shared" si="173"/>
        <v>0</v>
      </c>
      <c r="AK142" s="6">
        <v>0</v>
      </c>
      <c r="AL142" s="6">
        <f t="shared" si="174"/>
        <v>0</v>
      </c>
      <c r="AM142" s="6">
        <f t="shared" si="175"/>
        <v>0</v>
      </c>
      <c r="AN142" s="6">
        <v>0</v>
      </c>
      <c r="AO142" s="6">
        <f t="shared" si="176"/>
        <v>0</v>
      </c>
      <c r="AP142" s="6">
        <f t="shared" si="177"/>
        <v>0</v>
      </c>
      <c r="AQ142" s="6">
        <v>0</v>
      </c>
      <c r="AR142" s="6">
        <f t="shared" si="178"/>
        <v>0</v>
      </c>
      <c r="AS142" s="6">
        <f t="shared" si="179"/>
        <v>0</v>
      </c>
      <c r="AT142" s="6">
        <v>0</v>
      </c>
      <c r="AU142" s="6">
        <f t="shared" si="180"/>
        <v>0</v>
      </c>
      <c r="AV142" s="6">
        <f t="shared" si="181"/>
        <v>0</v>
      </c>
      <c r="AW142" s="6">
        <v>0</v>
      </c>
      <c r="AX142" s="6">
        <f t="shared" si="182"/>
        <v>0</v>
      </c>
      <c r="AY142" s="6">
        <f t="shared" si="183"/>
        <v>0</v>
      </c>
      <c r="AZ142" s="6">
        <v>0</v>
      </c>
      <c r="BA142" s="6">
        <f t="shared" si="184"/>
        <v>0</v>
      </c>
      <c r="BB142" s="6">
        <f t="shared" si="185"/>
        <v>0</v>
      </c>
      <c r="BC142" s="6">
        <v>0</v>
      </c>
      <c r="BD142" s="6">
        <f t="shared" si="186"/>
        <v>0</v>
      </c>
      <c r="BE142" s="6">
        <f t="shared" si="187"/>
        <v>0</v>
      </c>
      <c r="BF142" s="6">
        <v>0</v>
      </c>
      <c r="BG142" s="6">
        <f t="shared" si="188"/>
        <v>0</v>
      </c>
      <c r="BH142" s="6">
        <f t="shared" si="189"/>
        <v>0</v>
      </c>
      <c r="BI142" s="6">
        <v>0</v>
      </c>
      <c r="BJ142" s="6">
        <f t="shared" si="190"/>
        <v>0</v>
      </c>
      <c r="BK142" s="6">
        <f t="shared" si="191"/>
        <v>0</v>
      </c>
      <c r="BL142" s="6">
        <v>0</v>
      </c>
      <c r="BM142" s="6">
        <f t="shared" si="192"/>
        <v>0</v>
      </c>
      <c r="BN142" s="6">
        <f t="shared" si="193"/>
        <v>0</v>
      </c>
      <c r="BO142" s="6">
        <v>0</v>
      </c>
      <c r="BP142" s="6">
        <f t="shared" si="194"/>
        <v>0</v>
      </c>
      <c r="BQ142" s="6">
        <f t="shared" si="195"/>
        <v>0</v>
      </c>
      <c r="BR142" s="6">
        <v>0</v>
      </c>
      <c r="BS142" s="6">
        <f t="shared" si="196"/>
        <v>0</v>
      </c>
      <c r="BT142" s="6">
        <f t="shared" si="197"/>
        <v>0</v>
      </c>
      <c r="BU142" s="6">
        <v>0</v>
      </c>
      <c r="BV142" s="6">
        <f t="shared" si="198"/>
        <v>0</v>
      </c>
      <c r="BW142" s="6">
        <f t="shared" si="199"/>
        <v>0</v>
      </c>
      <c r="BX142" s="6">
        <v>0</v>
      </c>
      <c r="BY142" s="6">
        <f t="shared" si="200"/>
        <v>0</v>
      </c>
      <c r="BZ142" s="6">
        <f t="shared" si="201"/>
        <v>0</v>
      </c>
      <c r="CA142" s="6">
        <v>0</v>
      </c>
      <c r="CB142" s="6">
        <f t="shared" si="202"/>
        <v>0</v>
      </c>
      <c r="CC142" s="6">
        <f t="shared" si="203"/>
        <v>0</v>
      </c>
      <c r="CD142" s="6">
        <v>0</v>
      </c>
      <c r="CE142" s="6">
        <f t="shared" si="204"/>
        <v>0</v>
      </c>
      <c r="CF142" s="6">
        <f t="shared" si="205"/>
        <v>0</v>
      </c>
      <c r="CG142" s="6">
        <v>0</v>
      </c>
      <c r="CH142" s="6">
        <f t="shared" si="206"/>
        <v>0</v>
      </c>
      <c r="CI142" s="6">
        <f t="shared" si="207"/>
        <v>0</v>
      </c>
      <c r="CJ142" s="6">
        <v>0</v>
      </c>
      <c r="CK142" s="6">
        <f t="shared" si="208"/>
        <v>0</v>
      </c>
      <c r="CL142" s="6">
        <f t="shared" si="209"/>
        <v>0</v>
      </c>
      <c r="CM142" s="6">
        <v>0</v>
      </c>
      <c r="CN142" s="6">
        <f t="shared" si="210"/>
        <v>0</v>
      </c>
      <c r="CO142" s="6">
        <f t="shared" si="211"/>
        <v>0</v>
      </c>
      <c r="CP142" s="6">
        <v>0</v>
      </c>
      <c r="CQ142" s="6">
        <f t="shared" si="212"/>
        <v>0</v>
      </c>
      <c r="CR142" s="6">
        <f t="shared" si="213"/>
        <v>0</v>
      </c>
      <c r="CS142" s="6">
        <v>0</v>
      </c>
      <c r="CT142" s="6">
        <f t="shared" si="214"/>
        <v>0</v>
      </c>
      <c r="CU142" s="6">
        <f t="shared" si="215"/>
        <v>0</v>
      </c>
      <c r="CV142" s="6">
        <v>0</v>
      </c>
      <c r="CW142" s="6">
        <f t="shared" si="216"/>
        <v>0</v>
      </c>
      <c r="CX142" s="6">
        <f t="shared" si="217"/>
        <v>0</v>
      </c>
      <c r="CY142" s="6">
        <v>0</v>
      </c>
      <c r="CZ142" s="6">
        <f t="shared" si="218"/>
        <v>0</v>
      </c>
      <c r="DA142" s="6">
        <f t="shared" si="219"/>
        <v>0</v>
      </c>
      <c r="DB142" s="6">
        <v>0</v>
      </c>
      <c r="DC142" s="6">
        <f t="shared" si="220"/>
        <v>0</v>
      </c>
      <c r="DD142" s="6">
        <f t="shared" si="221"/>
        <v>0</v>
      </c>
      <c r="DE142" s="6">
        <v>0</v>
      </c>
      <c r="DF142" s="6">
        <f t="shared" si="222"/>
        <v>0</v>
      </c>
      <c r="DG142" s="6">
        <f t="shared" si="223"/>
        <v>0</v>
      </c>
      <c r="DH142" s="6">
        <v>0</v>
      </c>
      <c r="DI142" s="6">
        <f t="shared" si="224"/>
        <v>0</v>
      </c>
      <c r="DJ142" s="6">
        <f t="shared" si="225"/>
        <v>0</v>
      </c>
      <c r="DK142" s="6">
        <v>0</v>
      </c>
      <c r="DL142" s="6">
        <f t="shared" si="226"/>
        <v>0</v>
      </c>
      <c r="DM142" s="6">
        <f t="shared" si="227"/>
        <v>0</v>
      </c>
      <c r="DN142" s="6">
        <v>0</v>
      </c>
      <c r="DO142" s="6">
        <f t="shared" si="228"/>
        <v>0</v>
      </c>
      <c r="DP142" s="6">
        <f t="shared" si="229"/>
        <v>0</v>
      </c>
    </row>
    <row r="143" spans="1:120" x14ac:dyDescent="0.2">
      <c r="A143" s="21">
        <v>50</v>
      </c>
      <c r="B143" s="21" t="s">
        <v>675</v>
      </c>
      <c r="C143" s="21">
        <v>50568</v>
      </c>
      <c r="D143" s="21" t="s">
        <v>700</v>
      </c>
      <c r="E143" s="21" t="s">
        <v>575</v>
      </c>
      <c r="F143" s="22" t="s">
        <v>669</v>
      </c>
      <c r="G143" s="4" t="s">
        <v>255</v>
      </c>
      <c r="H143" s="6">
        <v>148902.84</v>
      </c>
      <c r="I143" s="6">
        <f t="shared" ref="I143:I179" si="230">H143/365</f>
        <v>407.95298630136983</v>
      </c>
      <c r="J143" s="6">
        <v>99475</v>
      </c>
      <c r="K143" s="6">
        <v>131732.24</v>
      </c>
      <c r="L143" s="6">
        <f t="shared" ref="L143:L170" si="231">K143/366</f>
        <v>359.92415300546446</v>
      </c>
      <c r="M143" s="6">
        <v>64042</v>
      </c>
      <c r="N143" s="6">
        <v>120622.05</v>
      </c>
      <c r="O143" s="6">
        <f t="shared" ref="O143:O159" si="232">N143/365</f>
        <v>330.47136986301371</v>
      </c>
      <c r="P143" s="6">
        <v>95192</v>
      </c>
      <c r="Q143" s="6">
        <v>59138.69</v>
      </c>
      <c r="R143" s="6">
        <f t="shared" ref="R143:R154" si="233">Q143/181</f>
        <v>326.73309392265196</v>
      </c>
      <c r="S143" s="6">
        <v>59854</v>
      </c>
      <c r="T143" s="6">
        <f t="shared" si="162"/>
        <v>59854</v>
      </c>
      <c r="U143" s="6">
        <f t="shared" si="163"/>
        <v>163.98356164383563</v>
      </c>
      <c r="V143" s="6">
        <v>29874</v>
      </c>
      <c r="W143" s="6">
        <f t="shared" si="164"/>
        <v>29874</v>
      </c>
      <c r="X143" s="6">
        <f t="shared" si="165"/>
        <v>81.846575342465755</v>
      </c>
      <c r="Y143" s="6">
        <v>0</v>
      </c>
      <c r="Z143" s="6">
        <f t="shared" si="166"/>
        <v>0</v>
      </c>
      <c r="AA143" s="6">
        <f t="shared" si="167"/>
        <v>0</v>
      </c>
      <c r="AB143" s="6">
        <v>0</v>
      </c>
      <c r="AC143" s="6">
        <f t="shared" si="168"/>
        <v>0</v>
      </c>
      <c r="AD143" s="6">
        <f t="shared" si="169"/>
        <v>0</v>
      </c>
      <c r="AE143" s="6">
        <v>0</v>
      </c>
      <c r="AF143" s="6">
        <f t="shared" si="170"/>
        <v>0</v>
      </c>
      <c r="AG143" s="6">
        <f t="shared" si="171"/>
        <v>0</v>
      </c>
      <c r="AH143" s="6">
        <v>0</v>
      </c>
      <c r="AI143" s="6">
        <f t="shared" si="172"/>
        <v>0</v>
      </c>
      <c r="AJ143" s="6">
        <f t="shared" si="173"/>
        <v>0</v>
      </c>
      <c r="AK143" s="6">
        <v>0</v>
      </c>
      <c r="AL143" s="6">
        <f t="shared" si="174"/>
        <v>0</v>
      </c>
      <c r="AM143" s="6">
        <f t="shared" si="175"/>
        <v>0</v>
      </c>
      <c r="AN143" s="6">
        <v>0</v>
      </c>
      <c r="AO143" s="6">
        <f t="shared" si="176"/>
        <v>0</v>
      </c>
      <c r="AP143" s="6">
        <f t="shared" si="177"/>
        <v>0</v>
      </c>
      <c r="AQ143" s="6">
        <v>0</v>
      </c>
      <c r="AR143" s="6">
        <f t="shared" si="178"/>
        <v>0</v>
      </c>
      <c r="AS143" s="6">
        <f t="shared" si="179"/>
        <v>0</v>
      </c>
      <c r="AT143" s="6">
        <v>0</v>
      </c>
      <c r="AU143" s="6">
        <f t="shared" si="180"/>
        <v>0</v>
      </c>
      <c r="AV143" s="6">
        <f t="shared" si="181"/>
        <v>0</v>
      </c>
      <c r="AW143" s="6">
        <v>0</v>
      </c>
      <c r="AX143" s="6">
        <f t="shared" si="182"/>
        <v>0</v>
      </c>
      <c r="AY143" s="6">
        <f t="shared" si="183"/>
        <v>0</v>
      </c>
      <c r="AZ143" s="6">
        <v>0</v>
      </c>
      <c r="BA143" s="6">
        <f t="shared" si="184"/>
        <v>0</v>
      </c>
      <c r="BB143" s="6">
        <f t="shared" si="185"/>
        <v>0</v>
      </c>
      <c r="BC143" s="6">
        <v>0</v>
      </c>
      <c r="BD143" s="6">
        <f t="shared" si="186"/>
        <v>0</v>
      </c>
      <c r="BE143" s="6">
        <f t="shared" si="187"/>
        <v>0</v>
      </c>
      <c r="BF143" s="6">
        <v>0</v>
      </c>
      <c r="BG143" s="6">
        <f t="shared" si="188"/>
        <v>0</v>
      </c>
      <c r="BH143" s="6">
        <f t="shared" si="189"/>
        <v>0</v>
      </c>
      <c r="BI143" s="6">
        <v>0</v>
      </c>
      <c r="BJ143" s="6">
        <f t="shared" si="190"/>
        <v>0</v>
      </c>
      <c r="BK143" s="6">
        <f t="shared" si="191"/>
        <v>0</v>
      </c>
      <c r="BL143" s="6">
        <v>0</v>
      </c>
      <c r="BM143" s="6">
        <f t="shared" si="192"/>
        <v>0</v>
      </c>
      <c r="BN143" s="6">
        <f t="shared" si="193"/>
        <v>0</v>
      </c>
      <c r="BO143" s="6">
        <v>0</v>
      </c>
      <c r="BP143" s="6">
        <f t="shared" si="194"/>
        <v>0</v>
      </c>
      <c r="BQ143" s="6">
        <f t="shared" si="195"/>
        <v>0</v>
      </c>
      <c r="BR143" s="6">
        <v>0</v>
      </c>
      <c r="BS143" s="6">
        <f t="shared" si="196"/>
        <v>0</v>
      </c>
      <c r="BT143" s="6">
        <f t="shared" si="197"/>
        <v>0</v>
      </c>
      <c r="BU143" s="6">
        <v>0</v>
      </c>
      <c r="BV143" s="6">
        <f t="shared" si="198"/>
        <v>0</v>
      </c>
      <c r="BW143" s="6">
        <f t="shared" si="199"/>
        <v>0</v>
      </c>
      <c r="BX143" s="6">
        <v>0</v>
      </c>
      <c r="BY143" s="6">
        <f t="shared" si="200"/>
        <v>0</v>
      </c>
      <c r="BZ143" s="6">
        <f t="shared" si="201"/>
        <v>0</v>
      </c>
      <c r="CA143" s="6">
        <v>0</v>
      </c>
      <c r="CB143" s="6">
        <f t="shared" si="202"/>
        <v>0</v>
      </c>
      <c r="CC143" s="6">
        <f t="shared" si="203"/>
        <v>0</v>
      </c>
      <c r="CD143" s="6">
        <v>0</v>
      </c>
      <c r="CE143" s="6">
        <f t="shared" si="204"/>
        <v>0</v>
      </c>
      <c r="CF143" s="6">
        <f t="shared" si="205"/>
        <v>0</v>
      </c>
      <c r="CG143" s="6">
        <v>0</v>
      </c>
      <c r="CH143" s="6">
        <f t="shared" si="206"/>
        <v>0</v>
      </c>
      <c r="CI143" s="6">
        <f t="shared" si="207"/>
        <v>0</v>
      </c>
      <c r="CJ143" s="6">
        <v>0</v>
      </c>
      <c r="CK143" s="6">
        <f t="shared" si="208"/>
        <v>0</v>
      </c>
      <c r="CL143" s="6">
        <f t="shared" si="209"/>
        <v>0</v>
      </c>
      <c r="CM143" s="6">
        <v>0</v>
      </c>
      <c r="CN143" s="6">
        <f t="shared" si="210"/>
        <v>0</v>
      </c>
      <c r="CO143" s="6">
        <f t="shared" si="211"/>
        <v>0</v>
      </c>
      <c r="CP143" s="6">
        <v>0</v>
      </c>
      <c r="CQ143" s="6">
        <f t="shared" si="212"/>
        <v>0</v>
      </c>
      <c r="CR143" s="6">
        <f t="shared" si="213"/>
        <v>0</v>
      </c>
      <c r="CS143" s="6">
        <v>0</v>
      </c>
      <c r="CT143" s="6">
        <f t="shared" si="214"/>
        <v>0</v>
      </c>
      <c r="CU143" s="6">
        <f t="shared" si="215"/>
        <v>0</v>
      </c>
      <c r="CV143" s="6">
        <v>0</v>
      </c>
      <c r="CW143" s="6">
        <f t="shared" si="216"/>
        <v>0</v>
      </c>
      <c r="CX143" s="6">
        <f t="shared" si="217"/>
        <v>0</v>
      </c>
      <c r="CY143" s="6">
        <v>0</v>
      </c>
      <c r="CZ143" s="6">
        <f t="shared" si="218"/>
        <v>0</v>
      </c>
      <c r="DA143" s="6">
        <f t="shared" si="219"/>
        <v>0</v>
      </c>
      <c r="DB143" s="6">
        <v>0</v>
      </c>
      <c r="DC143" s="6">
        <f t="shared" si="220"/>
        <v>0</v>
      </c>
      <c r="DD143" s="6">
        <f t="shared" si="221"/>
        <v>0</v>
      </c>
      <c r="DE143" s="6">
        <v>0</v>
      </c>
      <c r="DF143" s="6">
        <f t="shared" si="222"/>
        <v>0</v>
      </c>
      <c r="DG143" s="6">
        <f t="shared" si="223"/>
        <v>0</v>
      </c>
      <c r="DH143" s="6">
        <v>0</v>
      </c>
      <c r="DI143" s="6">
        <f t="shared" si="224"/>
        <v>0</v>
      </c>
      <c r="DJ143" s="6">
        <f t="shared" si="225"/>
        <v>0</v>
      </c>
      <c r="DK143" s="6">
        <v>0</v>
      </c>
      <c r="DL143" s="6">
        <f t="shared" si="226"/>
        <v>0</v>
      </c>
      <c r="DM143" s="6">
        <f t="shared" si="227"/>
        <v>0</v>
      </c>
      <c r="DN143" s="6">
        <v>0</v>
      </c>
      <c r="DO143" s="6">
        <f t="shared" si="228"/>
        <v>0</v>
      </c>
      <c r="DP143" s="6">
        <f t="shared" si="229"/>
        <v>0</v>
      </c>
    </row>
    <row r="144" spans="1:120" x14ac:dyDescent="0.2">
      <c r="A144" s="21">
        <v>85</v>
      </c>
      <c r="B144" s="21" t="s">
        <v>612</v>
      </c>
      <c r="C144" s="21">
        <v>85230</v>
      </c>
      <c r="D144" s="21" t="s">
        <v>614</v>
      </c>
      <c r="E144" s="21" t="s">
        <v>611</v>
      </c>
      <c r="F144" s="22" t="s">
        <v>662</v>
      </c>
      <c r="G144" s="4" t="s">
        <v>256</v>
      </c>
      <c r="H144" s="6">
        <v>54943.14</v>
      </c>
      <c r="I144" s="6">
        <f t="shared" si="230"/>
        <v>150.52915068493149</v>
      </c>
      <c r="J144" s="6">
        <v>39281.430699999997</v>
      </c>
      <c r="K144" s="6">
        <v>40362.35</v>
      </c>
      <c r="L144" s="6">
        <f t="shared" si="231"/>
        <v>110.27964480874317</v>
      </c>
      <c r="M144" s="6">
        <v>46022.790099999998</v>
      </c>
      <c r="N144" s="6">
        <v>16795.310000000001</v>
      </c>
      <c r="O144" s="6">
        <f t="shared" si="232"/>
        <v>46.014547945205486</v>
      </c>
      <c r="P144" s="6">
        <v>40748.433199999999</v>
      </c>
      <c r="Q144" s="6">
        <v>12342.73</v>
      </c>
      <c r="R144" s="6">
        <f t="shared" si="233"/>
        <v>68.191878453038669</v>
      </c>
      <c r="S144" s="6">
        <v>36082.1613</v>
      </c>
      <c r="T144" s="6">
        <f t="shared" si="162"/>
        <v>36082.1613</v>
      </c>
      <c r="U144" s="6">
        <f t="shared" si="163"/>
        <v>98.855236438356158</v>
      </c>
      <c r="V144" s="6">
        <v>31953.488000000001</v>
      </c>
      <c r="W144" s="6">
        <f t="shared" si="164"/>
        <v>31953.488000000001</v>
      </c>
      <c r="X144" s="6">
        <f t="shared" si="165"/>
        <v>87.543802739726033</v>
      </c>
      <c r="Y144" s="6">
        <v>20864.370200000001</v>
      </c>
      <c r="Z144" s="6">
        <f t="shared" si="166"/>
        <v>20864.370200000001</v>
      </c>
      <c r="AA144" s="6">
        <f t="shared" si="167"/>
        <v>57.162658082191783</v>
      </c>
      <c r="AB144" s="6">
        <v>17733.8485</v>
      </c>
      <c r="AC144" s="6">
        <f t="shared" si="168"/>
        <v>17733.8485</v>
      </c>
      <c r="AD144" s="6">
        <f t="shared" si="169"/>
        <v>48.585886301369861</v>
      </c>
      <c r="AE144" s="6">
        <v>15605.786700000001</v>
      </c>
      <c r="AF144" s="6">
        <f t="shared" si="170"/>
        <v>15605.786700000001</v>
      </c>
      <c r="AG144" s="6">
        <f t="shared" si="171"/>
        <v>42.755580000000002</v>
      </c>
      <c r="AH144" s="6">
        <v>13733.0923</v>
      </c>
      <c r="AI144" s="6">
        <f t="shared" si="172"/>
        <v>13733.0923</v>
      </c>
      <c r="AJ144" s="6">
        <f t="shared" si="173"/>
        <v>37.624910410958904</v>
      </c>
      <c r="AK144" s="6">
        <v>12085.1212</v>
      </c>
      <c r="AL144" s="6">
        <f t="shared" si="174"/>
        <v>12085.1212</v>
      </c>
      <c r="AM144" s="6">
        <f t="shared" si="175"/>
        <v>33.109921095890407</v>
      </c>
      <c r="AN144" s="6">
        <v>2787.5039999999999</v>
      </c>
      <c r="AO144" s="6">
        <f t="shared" si="176"/>
        <v>2787.5039999999999</v>
      </c>
      <c r="AP144" s="6">
        <f t="shared" si="177"/>
        <v>7.6369972602739722</v>
      </c>
      <c r="AQ144" s="6">
        <v>0</v>
      </c>
      <c r="AR144" s="6">
        <f t="shared" si="178"/>
        <v>0</v>
      </c>
      <c r="AS144" s="6">
        <f t="shared" si="179"/>
        <v>0</v>
      </c>
      <c r="AT144" s="6">
        <v>0</v>
      </c>
      <c r="AU144" s="6">
        <f t="shared" si="180"/>
        <v>0</v>
      </c>
      <c r="AV144" s="6">
        <f t="shared" si="181"/>
        <v>0</v>
      </c>
      <c r="AW144" s="6">
        <v>0</v>
      </c>
      <c r="AX144" s="6">
        <f t="shared" si="182"/>
        <v>0</v>
      </c>
      <c r="AY144" s="6">
        <f t="shared" si="183"/>
        <v>0</v>
      </c>
      <c r="AZ144" s="6">
        <v>0</v>
      </c>
      <c r="BA144" s="6">
        <f t="shared" si="184"/>
        <v>0</v>
      </c>
      <c r="BB144" s="6">
        <f t="shared" si="185"/>
        <v>0</v>
      </c>
      <c r="BC144" s="6">
        <v>0</v>
      </c>
      <c r="BD144" s="6">
        <f t="shared" si="186"/>
        <v>0</v>
      </c>
      <c r="BE144" s="6">
        <f t="shared" si="187"/>
        <v>0</v>
      </c>
      <c r="BF144" s="6">
        <v>0</v>
      </c>
      <c r="BG144" s="6">
        <f t="shared" si="188"/>
        <v>0</v>
      </c>
      <c r="BH144" s="6">
        <f t="shared" si="189"/>
        <v>0</v>
      </c>
      <c r="BI144" s="6">
        <v>0</v>
      </c>
      <c r="BJ144" s="6">
        <f t="shared" si="190"/>
        <v>0</v>
      </c>
      <c r="BK144" s="6">
        <f t="shared" si="191"/>
        <v>0</v>
      </c>
      <c r="BL144" s="6">
        <v>0</v>
      </c>
      <c r="BM144" s="6">
        <f t="shared" si="192"/>
        <v>0</v>
      </c>
      <c r="BN144" s="6">
        <f t="shared" si="193"/>
        <v>0</v>
      </c>
      <c r="BO144" s="6">
        <v>0</v>
      </c>
      <c r="BP144" s="6">
        <f t="shared" si="194"/>
        <v>0</v>
      </c>
      <c r="BQ144" s="6">
        <f t="shared" si="195"/>
        <v>0</v>
      </c>
      <c r="BR144" s="6">
        <v>0</v>
      </c>
      <c r="BS144" s="6">
        <f t="shared" si="196"/>
        <v>0</v>
      </c>
      <c r="BT144" s="6">
        <f t="shared" si="197"/>
        <v>0</v>
      </c>
      <c r="BU144" s="6">
        <v>0</v>
      </c>
      <c r="BV144" s="6">
        <f t="shared" si="198"/>
        <v>0</v>
      </c>
      <c r="BW144" s="6">
        <f t="shared" si="199"/>
        <v>0</v>
      </c>
      <c r="BX144" s="6">
        <v>0</v>
      </c>
      <c r="BY144" s="6">
        <f t="shared" si="200"/>
        <v>0</v>
      </c>
      <c r="BZ144" s="6">
        <f t="shared" si="201"/>
        <v>0</v>
      </c>
      <c r="CA144" s="6">
        <v>0</v>
      </c>
      <c r="CB144" s="6">
        <f t="shared" si="202"/>
        <v>0</v>
      </c>
      <c r="CC144" s="6">
        <f t="shared" si="203"/>
        <v>0</v>
      </c>
      <c r="CD144" s="6">
        <v>0</v>
      </c>
      <c r="CE144" s="6">
        <f t="shared" si="204"/>
        <v>0</v>
      </c>
      <c r="CF144" s="6">
        <f t="shared" si="205"/>
        <v>0</v>
      </c>
      <c r="CG144" s="6">
        <v>0</v>
      </c>
      <c r="CH144" s="6">
        <f t="shared" si="206"/>
        <v>0</v>
      </c>
      <c r="CI144" s="6">
        <f t="shared" si="207"/>
        <v>0</v>
      </c>
      <c r="CJ144" s="6">
        <v>0</v>
      </c>
      <c r="CK144" s="6">
        <f t="shared" si="208"/>
        <v>0</v>
      </c>
      <c r="CL144" s="6">
        <f t="shared" si="209"/>
        <v>0</v>
      </c>
      <c r="CM144" s="6">
        <v>0</v>
      </c>
      <c r="CN144" s="6">
        <f t="shared" si="210"/>
        <v>0</v>
      </c>
      <c r="CO144" s="6">
        <f t="shared" si="211"/>
        <v>0</v>
      </c>
      <c r="CP144" s="6">
        <v>0</v>
      </c>
      <c r="CQ144" s="6">
        <f t="shared" si="212"/>
        <v>0</v>
      </c>
      <c r="CR144" s="6">
        <f t="shared" si="213"/>
        <v>0</v>
      </c>
      <c r="CS144" s="6">
        <v>0</v>
      </c>
      <c r="CT144" s="6">
        <f t="shared" si="214"/>
        <v>0</v>
      </c>
      <c r="CU144" s="6">
        <f t="shared" si="215"/>
        <v>0</v>
      </c>
      <c r="CV144" s="6">
        <v>0</v>
      </c>
      <c r="CW144" s="6">
        <f t="shared" si="216"/>
        <v>0</v>
      </c>
      <c r="CX144" s="6">
        <f t="shared" si="217"/>
        <v>0</v>
      </c>
      <c r="CY144" s="6">
        <v>0</v>
      </c>
      <c r="CZ144" s="6">
        <f t="shared" si="218"/>
        <v>0</v>
      </c>
      <c r="DA144" s="6">
        <f t="shared" si="219"/>
        <v>0</v>
      </c>
      <c r="DB144" s="6">
        <v>0</v>
      </c>
      <c r="DC144" s="6">
        <f t="shared" si="220"/>
        <v>0</v>
      </c>
      <c r="DD144" s="6">
        <f t="shared" si="221"/>
        <v>0</v>
      </c>
      <c r="DE144" s="6">
        <v>0</v>
      </c>
      <c r="DF144" s="6">
        <f t="shared" si="222"/>
        <v>0</v>
      </c>
      <c r="DG144" s="6">
        <f t="shared" si="223"/>
        <v>0</v>
      </c>
      <c r="DH144" s="6">
        <v>0</v>
      </c>
      <c r="DI144" s="6">
        <f t="shared" si="224"/>
        <v>0</v>
      </c>
      <c r="DJ144" s="6">
        <f t="shared" si="225"/>
        <v>0</v>
      </c>
      <c r="DK144" s="6">
        <v>0</v>
      </c>
      <c r="DL144" s="6">
        <f t="shared" si="226"/>
        <v>0</v>
      </c>
      <c r="DM144" s="6">
        <f t="shared" si="227"/>
        <v>0</v>
      </c>
      <c r="DN144" s="6">
        <v>0</v>
      </c>
      <c r="DO144" s="6">
        <f t="shared" si="228"/>
        <v>0</v>
      </c>
      <c r="DP144" s="6">
        <f t="shared" si="229"/>
        <v>0</v>
      </c>
    </row>
    <row r="145" spans="1:120" x14ac:dyDescent="0.2">
      <c r="A145" s="21">
        <v>19</v>
      </c>
      <c r="B145" s="21" t="s">
        <v>726</v>
      </c>
      <c r="C145" s="21">
        <v>19533</v>
      </c>
      <c r="D145" s="21" t="s">
        <v>727</v>
      </c>
      <c r="E145" s="21" t="s">
        <v>564</v>
      </c>
      <c r="F145" s="22" t="s">
        <v>662</v>
      </c>
      <c r="G145" s="4" t="s">
        <v>257</v>
      </c>
      <c r="H145" s="6">
        <v>111964.42</v>
      </c>
      <c r="I145" s="6">
        <f t="shared" si="230"/>
        <v>306.75183561643837</v>
      </c>
      <c r="J145" s="6">
        <v>89472.762600000002</v>
      </c>
      <c r="K145" s="6">
        <v>93728.25</v>
      </c>
      <c r="L145" s="6">
        <f t="shared" si="231"/>
        <v>256.08811475409834</v>
      </c>
      <c r="M145" s="6">
        <v>74340.801999999996</v>
      </c>
      <c r="N145" s="6">
        <v>69848.69</v>
      </c>
      <c r="O145" s="6">
        <f t="shared" si="232"/>
        <v>191.36627397260276</v>
      </c>
      <c r="P145" s="6">
        <v>62910.353799999997</v>
      </c>
      <c r="Q145" s="6">
        <v>30275.49</v>
      </c>
      <c r="R145" s="6">
        <f t="shared" si="233"/>
        <v>167.2679005524862</v>
      </c>
      <c r="S145" s="6">
        <v>53924.854800000001</v>
      </c>
      <c r="T145" s="6">
        <f t="shared" si="162"/>
        <v>53924.854800000001</v>
      </c>
      <c r="U145" s="6">
        <f t="shared" si="163"/>
        <v>147.73932821917808</v>
      </c>
      <c r="V145" s="6">
        <v>46849.835299999999</v>
      </c>
      <c r="W145" s="6">
        <f t="shared" si="164"/>
        <v>46849.835299999999</v>
      </c>
      <c r="X145" s="6">
        <f t="shared" si="165"/>
        <v>128.35571315068492</v>
      </c>
      <c r="Y145" s="6">
        <v>17550.154699999999</v>
      </c>
      <c r="Z145" s="6">
        <f t="shared" si="166"/>
        <v>17550.154699999999</v>
      </c>
      <c r="AA145" s="6">
        <f t="shared" si="167"/>
        <v>48.082615616438353</v>
      </c>
      <c r="AB145" s="6">
        <v>0</v>
      </c>
      <c r="AC145" s="6">
        <f t="shared" si="168"/>
        <v>0</v>
      </c>
      <c r="AD145" s="6">
        <f t="shared" si="169"/>
        <v>0</v>
      </c>
      <c r="AE145" s="6">
        <v>0</v>
      </c>
      <c r="AF145" s="6">
        <f t="shared" si="170"/>
        <v>0</v>
      </c>
      <c r="AG145" s="6">
        <f t="shared" si="171"/>
        <v>0</v>
      </c>
      <c r="AH145" s="6">
        <v>0</v>
      </c>
      <c r="AI145" s="6">
        <f t="shared" si="172"/>
        <v>0</v>
      </c>
      <c r="AJ145" s="6">
        <f t="shared" si="173"/>
        <v>0</v>
      </c>
      <c r="AK145" s="6">
        <v>0</v>
      </c>
      <c r="AL145" s="6">
        <f t="shared" si="174"/>
        <v>0</v>
      </c>
      <c r="AM145" s="6">
        <f t="shared" si="175"/>
        <v>0</v>
      </c>
      <c r="AN145" s="6">
        <v>0</v>
      </c>
      <c r="AO145" s="6">
        <f t="shared" si="176"/>
        <v>0</v>
      </c>
      <c r="AP145" s="6">
        <f t="shared" si="177"/>
        <v>0</v>
      </c>
      <c r="AQ145" s="6">
        <v>0</v>
      </c>
      <c r="AR145" s="6">
        <f t="shared" si="178"/>
        <v>0</v>
      </c>
      <c r="AS145" s="6">
        <f t="shared" si="179"/>
        <v>0</v>
      </c>
      <c r="AT145" s="6">
        <v>0</v>
      </c>
      <c r="AU145" s="6">
        <f t="shared" si="180"/>
        <v>0</v>
      </c>
      <c r="AV145" s="6">
        <f t="shared" si="181"/>
        <v>0</v>
      </c>
      <c r="AW145" s="6">
        <v>0</v>
      </c>
      <c r="AX145" s="6">
        <f t="shared" si="182"/>
        <v>0</v>
      </c>
      <c r="AY145" s="6">
        <f t="shared" si="183"/>
        <v>0</v>
      </c>
      <c r="AZ145" s="6">
        <v>0</v>
      </c>
      <c r="BA145" s="6">
        <f t="shared" si="184"/>
        <v>0</v>
      </c>
      <c r="BB145" s="6">
        <f t="shared" si="185"/>
        <v>0</v>
      </c>
      <c r="BC145" s="6">
        <v>0</v>
      </c>
      <c r="BD145" s="6">
        <f t="shared" si="186"/>
        <v>0</v>
      </c>
      <c r="BE145" s="6">
        <f t="shared" si="187"/>
        <v>0</v>
      </c>
      <c r="BF145" s="6">
        <v>0</v>
      </c>
      <c r="BG145" s="6">
        <f t="shared" si="188"/>
        <v>0</v>
      </c>
      <c r="BH145" s="6">
        <f t="shared" si="189"/>
        <v>0</v>
      </c>
      <c r="BI145" s="6">
        <v>0</v>
      </c>
      <c r="BJ145" s="6">
        <f t="shared" si="190"/>
        <v>0</v>
      </c>
      <c r="BK145" s="6">
        <f t="shared" si="191"/>
        <v>0</v>
      </c>
      <c r="BL145" s="6">
        <v>0</v>
      </c>
      <c r="BM145" s="6">
        <f t="shared" si="192"/>
        <v>0</v>
      </c>
      <c r="BN145" s="6">
        <f t="shared" si="193"/>
        <v>0</v>
      </c>
      <c r="BO145" s="6">
        <v>0</v>
      </c>
      <c r="BP145" s="6">
        <f t="shared" si="194"/>
        <v>0</v>
      </c>
      <c r="BQ145" s="6">
        <f t="shared" si="195"/>
        <v>0</v>
      </c>
      <c r="BR145" s="6">
        <v>0</v>
      </c>
      <c r="BS145" s="6">
        <f t="shared" si="196"/>
        <v>0</v>
      </c>
      <c r="BT145" s="6">
        <f t="shared" si="197"/>
        <v>0</v>
      </c>
      <c r="BU145" s="6">
        <v>0</v>
      </c>
      <c r="BV145" s="6">
        <f t="shared" si="198"/>
        <v>0</v>
      </c>
      <c r="BW145" s="6">
        <f t="shared" si="199"/>
        <v>0</v>
      </c>
      <c r="BX145" s="6">
        <v>0</v>
      </c>
      <c r="BY145" s="6">
        <f t="shared" si="200"/>
        <v>0</v>
      </c>
      <c r="BZ145" s="6">
        <f t="shared" si="201"/>
        <v>0</v>
      </c>
      <c r="CA145" s="6">
        <v>0</v>
      </c>
      <c r="CB145" s="6">
        <f t="shared" si="202"/>
        <v>0</v>
      </c>
      <c r="CC145" s="6">
        <f t="shared" si="203"/>
        <v>0</v>
      </c>
      <c r="CD145" s="6">
        <v>0</v>
      </c>
      <c r="CE145" s="6">
        <f t="shared" si="204"/>
        <v>0</v>
      </c>
      <c r="CF145" s="6">
        <f t="shared" si="205"/>
        <v>0</v>
      </c>
      <c r="CG145" s="6">
        <v>0</v>
      </c>
      <c r="CH145" s="6">
        <f t="shared" si="206"/>
        <v>0</v>
      </c>
      <c r="CI145" s="6">
        <f t="shared" si="207"/>
        <v>0</v>
      </c>
      <c r="CJ145" s="6">
        <v>0</v>
      </c>
      <c r="CK145" s="6">
        <f t="shared" si="208"/>
        <v>0</v>
      </c>
      <c r="CL145" s="6">
        <f t="shared" si="209"/>
        <v>0</v>
      </c>
      <c r="CM145" s="6">
        <v>0</v>
      </c>
      <c r="CN145" s="6">
        <f t="shared" si="210"/>
        <v>0</v>
      </c>
      <c r="CO145" s="6">
        <f t="shared" si="211"/>
        <v>0</v>
      </c>
      <c r="CP145" s="6">
        <v>0</v>
      </c>
      <c r="CQ145" s="6">
        <f t="shared" si="212"/>
        <v>0</v>
      </c>
      <c r="CR145" s="6">
        <f t="shared" si="213"/>
        <v>0</v>
      </c>
      <c r="CS145" s="6">
        <v>0</v>
      </c>
      <c r="CT145" s="6">
        <f t="shared" si="214"/>
        <v>0</v>
      </c>
      <c r="CU145" s="6">
        <f t="shared" si="215"/>
        <v>0</v>
      </c>
      <c r="CV145" s="6">
        <v>0</v>
      </c>
      <c r="CW145" s="6">
        <f t="shared" si="216"/>
        <v>0</v>
      </c>
      <c r="CX145" s="6">
        <f t="shared" si="217"/>
        <v>0</v>
      </c>
      <c r="CY145" s="6">
        <v>0</v>
      </c>
      <c r="CZ145" s="6">
        <f t="shared" si="218"/>
        <v>0</v>
      </c>
      <c r="DA145" s="6">
        <f t="shared" si="219"/>
        <v>0</v>
      </c>
      <c r="DB145" s="6">
        <v>0</v>
      </c>
      <c r="DC145" s="6">
        <f t="shared" si="220"/>
        <v>0</v>
      </c>
      <c r="DD145" s="6">
        <f t="shared" si="221"/>
        <v>0</v>
      </c>
      <c r="DE145" s="6">
        <v>0</v>
      </c>
      <c r="DF145" s="6">
        <f t="shared" si="222"/>
        <v>0</v>
      </c>
      <c r="DG145" s="6">
        <f t="shared" si="223"/>
        <v>0</v>
      </c>
      <c r="DH145" s="6">
        <v>0</v>
      </c>
      <c r="DI145" s="6">
        <f t="shared" si="224"/>
        <v>0</v>
      </c>
      <c r="DJ145" s="6">
        <f t="shared" si="225"/>
        <v>0</v>
      </c>
      <c r="DK145" s="6">
        <v>0</v>
      </c>
      <c r="DL145" s="6">
        <f t="shared" si="226"/>
        <v>0</v>
      </c>
      <c r="DM145" s="6">
        <f t="shared" si="227"/>
        <v>0</v>
      </c>
      <c r="DN145" s="6">
        <v>0</v>
      </c>
      <c r="DO145" s="6">
        <f t="shared" si="228"/>
        <v>0</v>
      </c>
      <c r="DP145" s="6">
        <f t="shared" si="229"/>
        <v>0</v>
      </c>
    </row>
    <row r="146" spans="1:120" x14ac:dyDescent="0.2">
      <c r="A146" s="21">
        <v>50</v>
      </c>
      <c r="B146" s="21" t="s">
        <v>675</v>
      </c>
      <c r="C146" s="21">
        <v>50568</v>
      </c>
      <c r="D146" s="21" t="s">
        <v>700</v>
      </c>
      <c r="E146" s="21" t="s">
        <v>542</v>
      </c>
      <c r="F146" s="22" t="s">
        <v>669</v>
      </c>
      <c r="G146" s="4" t="s">
        <v>258</v>
      </c>
      <c r="H146" s="6">
        <v>2027327.57</v>
      </c>
      <c r="I146" s="6">
        <f t="shared" si="230"/>
        <v>5554.3221095890412</v>
      </c>
      <c r="J146" s="6">
        <v>2482712</v>
      </c>
      <c r="K146" s="6">
        <v>2693824.65</v>
      </c>
      <c r="L146" s="6">
        <f t="shared" si="231"/>
        <v>7360.1766393442622</v>
      </c>
      <c r="M146" s="6">
        <v>3248373</v>
      </c>
      <c r="N146" s="6">
        <v>2835662.83</v>
      </c>
      <c r="O146" s="6">
        <f t="shared" si="232"/>
        <v>7768.9392602739726</v>
      </c>
      <c r="P146" s="6">
        <v>3882910</v>
      </c>
      <c r="Q146" s="6">
        <v>1224964.57</v>
      </c>
      <c r="R146" s="6">
        <f t="shared" si="233"/>
        <v>6767.7600552486192</v>
      </c>
      <c r="S146" s="6">
        <v>3983534</v>
      </c>
      <c r="T146" s="6">
        <f t="shared" si="162"/>
        <v>3983534</v>
      </c>
      <c r="U146" s="6">
        <f t="shared" si="163"/>
        <v>10913.791780821917</v>
      </c>
      <c r="V146" s="6">
        <v>3518032</v>
      </c>
      <c r="W146" s="6">
        <f t="shared" si="164"/>
        <v>3518032</v>
      </c>
      <c r="X146" s="6">
        <f t="shared" si="165"/>
        <v>9638.4438356164392</v>
      </c>
      <c r="Y146" s="6">
        <v>2906423</v>
      </c>
      <c r="Z146" s="6">
        <f t="shared" si="166"/>
        <v>2906423</v>
      </c>
      <c r="AA146" s="6">
        <f t="shared" si="167"/>
        <v>7962.8027397260275</v>
      </c>
      <c r="AB146" s="6">
        <v>2116893</v>
      </c>
      <c r="AC146" s="6">
        <f t="shared" si="168"/>
        <v>2116893</v>
      </c>
      <c r="AD146" s="6">
        <f t="shared" si="169"/>
        <v>5799.7068493150682</v>
      </c>
      <c r="AE146" s="6">
        <v>1530955</v>
      </c>
      <c r="AF146" s="6">
        <f t="shared" si="170"/>
        <v>1530955</v>
      </c>
      <c r="AG146" s="6">
        <f t="shared" si="171"/>
        <v>4194.3972602739723</v>
      </c>
      <c r="AH146" s="6">
        <v>1159298</v>
      </c>
      <c r="AI146" s="6">
        <f t="shared" si="172"/>
        <v>1159298</v>
      </c>
      <c r="AJ146" s="6">
        <f t="shared" si="173"/>
        <v>3176.158904109589</v>
      </c>
      <c r="AK146" s="6">
        <v>826185</v>
      </c>
      <c r="AL146" s="6">
        <f t="shared" si="174"/>
        <v>826185</v>
      </c>
      <c r="AM146" s="6">
        <f t="shared" si="175"/>
        <v>2263.5205479452056</v>
      </c>
      <c r="AN146" s="6">
        <v>587796</v>
      </c>
      <c r="AO146" s="6">
        <f t="shared" si="176"/>
        <v>587796</v>
      </c>
      <c r="AP146" s="6">
        <f t="shared" si="177"/>
        <v>1610.4</v>
      </c>
      <c r="AQ146" s="6">
        <v>397913</v>
      </c>
      <c r="AR146" s="6">
        <f t="shared" si="178"/>
        <v>397913</v>
      </c>
      <c r="AS146" s="6">
        <f t="shared" si="179"/>
        <v>1090.172602739726</v>
      </c>
      <c r="AT146" s="6">
        <v>249564</v>
      </c>
      <c r="AU146" s="6">
        <f t="shared" si="180"/>
        <v>249564</v>
      </c>
      <c r="AV146" s="6">
        <f t="shared" si="181"/>
        <v>683.73698630136983</v>
      </c>
      <c r="AW146" s="6">
        <v>0</v>
      </c>
      <c r="AX146" s="6">
        <f t="shared" si="182"/>
        <v>0</v>
      </c>
      <c r="AY146" s="6">
        <f t="shared" si="183"/>
        <v>0</v>
      </c>
      <c r="AZ146" s="6">
        <v>0</v>
      </c>
      <c r="BA146" s="6">
        <f t="shared" si="184"/>
        <v>0</v>
      </c>
      <c r="BB146" s="6">
        <f t="shared" si="185"/>
        <v>0</v>
      </c>
      <c r="BC146" s="6">
        <v>0</v>
      </c>
      <c r="BD146" s="6">
        <f t="shared" si="186"/>
        <v>0</v>
      </c>
      <c r="BE146" s="6">
        <f t="shared" si="187"/>
        <v>0</v>
      </c>
      <c r="BF146" s="6">
        <v>0</v>
      </c>
      <c r="BG146" s="6">
        <f t="shared" si="188"/>
        <v>0</v>
      </c>
      <c r="BH146" s="6">
        <f t="shared" si="189"/>
        <v>0</v>
      </c>
      <c r="BI146" s="6">
        <v>0</v>
      </c>
      <c r="BJ146" s="6">
        <f t="shared" si="190"/>
        <v>0</v>
      </c>
      <c r="BK146" s="6">
        <f t="shared" si="191"/>
        <v>0</v>
      </c>
      <c r="BL146" s="6">
        <v>0</v>
      </c>
      <c r="BM146" s="6">
        <f t="shared" si="192"/>
        <v>0</v>
      </c>
      <c r="BN146" s="6">
        <f t="shared" si="193"/>
        <v>0</v>
      </c>
      <c r="BO146" s="6">
        <v>0</v>
      </c>
      <c r="BP146" s="6">
        <f t="shared" si="194"/>
        <v>0</v>
      </c>
      <c r="BQ146" s="6">
        <f t="shared" si="195"/>
        <v>0</v>
      </c>
      <c r="BR146" s="6">
        <v>0</v>
      </c>
      <c r="BS146" s="6">
        <f t="shared" si="196"/>
        <v>0</v>
      </c>
      <c r="BT146" s="6">
        <f t="shared" si="197"/>
        <v>0</v>
      </c>
      <c r="BU146" s="6">
        <v>0</v>
      </c>
      <c r="BV146" s="6">
        <f t="shared" si="198"/>
        <v>0</v>
      </c>
      <c r="BW146" s="6">
        <f t="shared" si="199"/>
        <v>0</v>
      </c>
      <c r="BX146" s="6">
        <v>0</v>
      </c>
      <c r="BY146" s="6">
        <f t="shared" si="200"/>
        <v>0</v>
      </c>
      <c r="BZ146" s="6">
        <f t="shared" si="201"/>
        <v>0</v>
      </c>
      <c r="CA146" s="6">
        <v>0</v>
      </c>
      <c r="CB146" s="6">
        <f t="shared" si="202"/>
        <v>0</v>
      </c>
      <c r="CC146" s="6">
        <f t="shared" si="203"/>
        <v>0</v>
      </c>
      <c r="CD146" s="6">
        <v>0</v>
      </c>
      <c r="CE146" s="6">
        <f t="shared" si="204"/>
        <v>0</v>
      </c>
      <c r="CF146" s="6">
        <f t="shared" si="205"/>
        <v>0</v>
      </c>
      <c r="CG146" s="6">
        <v>0</v>
      </c>
      <c r="CH146" s="6">
        <f t="shared" si="206"/>
        <v>0</v>
      </c>
      <c r="CI146" s="6">
        <f t="shared" si="207"/>
        <v>0</v>
      </c>
      <c r="CJ146" s="6">
        <v>0</v>
      </c>
      <c r="CK146" s="6">
        <f t="shared" si="208"/>
        <v>0</v>
      </c>
      <c r="CL146" s="6">
        <f t="shared" si="209"/>
        <v>0</v>
      </c>
      <c r="CM146" s="6">
        <v>0</v>
      </c>
      <c r="CN146" s="6">
        <f t="shared" si="210"/>
        <v>0</v>
      </c>
      <c r="CO146" s="6">
        <f t="shared" si="211"/>
        <v>0</v>
      </c>
      <c r="CP146" s="6">
        <v>0</v>
      </c>
      <c r="CQ146" s="6">
        <f t="shared" si="212"/>
        <v>0</v>
      </c>
      <c r="CR146" s="6">
        <f t="shared" si="213"/>
        <v>0</v>
      </c>
      <c r="CS146" s="6">
        <v>0</v>
      </c>
      <c r="CT146" s="6">
        <f t="shared" si="214"/>
        <v>0</v>
      </c>
      <c r="CU146" s="6">
        <f t="shared" si="215"/>
        <v>0</v>
      </c>
      <c r="CV146" s="6">
        <v>0</v>
      </c>
      <c r="CW146" s="6">
        <f t="shared" si="216"/>
        <v>0</v>
      </c>
      <c r="CX146" s="6">
        <f t="shared" si="217"/>
        <v>0</v>
      </c>
      <c r="CY146" s="6">
        <v>0</v>
      </c>
      <c r="CZ146" s="6">
        <f t="shared" si="218"/>
        <v>0</v>
      </c>
      <c r="DA146" s="6">
        <f t="shared" si="219"/>
        <v>0</v>
      </c>
      <c r="DB146" s="6">
        <v>0</v>
      </c>
      <c r="DC146" s="6">
        <f t="shared" si="220"/>
        <v>0</v>
      </c>
      <c r="DD146" s="6">
        <f t="shared" si="221"/>
        <v>0</v>
      </c>
      <c r="DE146" s="6">
        <v>0</v>
      </c>
      <c r="DF146" s="6">
        <f t="shared" si="222"/>
        <v>0</v>
      </c>
      <c r="DG146" s="6">
        <f t="shared" si="223"/>
        <v>0</v>
      </c>
      <c r="DH146" s="6">
        <v>0</v>
      </c>
      <c r="DI146" s="6">
        <f t="shared" si="224"/>
        <v>0</v>
      </c>
      <c r="DJ146" s="6">
        <f t="shared" si="225"/>
        <v>0</v>
      </c>
      <c r="DK146" s="6">
        <v>0</v>
      </c>
      <c r="DL146" s="6">
        <f t="shared" si="226"/>
        <v>0</v>
      </c>
      <c r="DM146" s="6">
        <f t="shared" si="227"/>
        <v>0</v>
      </c>
      <c r="DN146" s="6">
        <v>0</v>
      </c>
      <c r="DO146" s="6">
        <f t="shared" si="228"/>
        <v>0</v>
      </c>
      <c r="DP146" s="6">
        <f t="shared" si="229"/>
        <v>0</v>
      </c>
    </row>
    <row r="147" spans="1:120" x14ac:dyDescent="0.2">
      <c r="A147" s="21">
        <v>85</v>
      </c>
      <c r="B147" s="21" t="s">
        <v>612</v>
      </c>
      <c r="C147" s="21">
        <v>85230</v>
      </c>
      <c r="D147" s="21" t="s">
        <v>614</v>
      </c>
      <c r="E147" s="21" t="s">
        <v>542</v>
      </c>
      <c r="F147" s="22" t="s">
        <v>669</v>
      </c>
      <c r="G147" s="4" t="s">
        <v>259</v>
      </c>
      <c r="H147" s="6">
        <v>14305.24</v>
      </c>
      <c r="I147" s="6">
        <f t="shared" si="230"/>
        <v>39.192438356164381</v>
      </c>
      <c r="J147" s="6">
        <v>10722</v>
      </c>
      <c r="K147" s="6">
        <v>15079</v>
      </c>
      <c r="L147" s="6">
        <f t="shared" si="231"/>
        <v>41.199453551912569</v>
      </c>
      <c r="M147" s="6">
        <v>4745</v>
      </c>
      <c r="N147" s="6">
        <v>7671.77</v>
      </c>
      <c r="O147" s="6">
        <f t="shared" si="232"/>
        <v>21.01854794520548</v>
      </c>
      <c r="P147" s="6">
        <v>0</v>
      </c>
      <c r="Q147" s="6">
        <v>3293.87</v>
      </c>
      <c r="R147" s="6">
        <f t="shared" si="233"/>
        <v>18.19817679558011</v>
      </c>
      <c r="S147" s="6">
        <v>0</v>
      </c>
      <c r="T147" s="6">
        <f t="shared" si="162"/>
        <v>0</v>
      </c>
      <c r="U147" s="6">
        <f t="shared" si="163"/>
        <v>0</v>
      </c>
      <c r="V147" s="6">
        <v>0</v>
      </c>
      <c r="W147" s="6">
        <f t="shared" si="164"/>
        <v>0</v>
      </c>
      <c r="X147" s="6">
        <f t="shared" si="165"/>
        <v>0</v>
      </c>
      <c r="Y147" s="6">
        <v>0</v>
      </c>
      <c r="Z147" s="6">
        <f t="shared" si="166"/>
        <v>0</v>
      </c>
      <c r="AA147" s="6">
        <f t="shared" si="167"/>
        <v>0</v>
      </c>
      <c r="AB147" s="6">
        <v>0</v>
      </c>
      <c r="AC147" s="6">
        <f t="shared" si="168"/>
        <v>0</v>
      </c>
      <c r="AD147" s="6">
        <f t="shared" si="169"/>
        <v>0</v>
      </c>
      <c r="AE147" s="6">
        <v>0</v>
      </c>
      <c r="AF147" s="6">
        <f t="shared" si="170"/>
        <v>0</v>
      </c>
      <c r="AG147" s="6">
        <f t="shared" si="171"/>
        <v>0</v>
      </c>
      <c r="AH147" s="6">
        <v>0</v>
      </c>
      <c r="AI147" s="6">
        <f t="shared" si="172"/>
        <v>0</v>
      </c>
      <c r="AJ147" s="6">
        <f t="shared" si="173"/>
        <v>0</v>
      </c>
      <c r="AK147" s="6">
        <v>0</v>
      </c>
      <c r="AL147" s="6">
        <f t="shared" si="174"/>
        <v>0</v>
      </c>
      <c r="AM147" s="6">
        <f t="shared" si="175"/>
        <v>0</v>
      </c>
      <c r="AN147" s="6">
        <v>0</v>
      </c>
      <c r="AO147" s="6">
        <f t="shared" si="176"/>
        <v>0</v>
      </c>
      <c r="AP147" s="6">
        <f t="shared" si="177"/>
        <v>0</v>
      </c>
      <c r="AQ147" s="6">
        <v>0</v>
      </c>
      <c r="AR147" s="6">
        <f t="shared" si="178"/>
        <v>0</v>
      </c>
      <c r="AS147" s="6">
        <f t="shared" si="179"/>
        <v>0</v>
      </c>
      <c r="AT147" s="6">
        <v>0</v>
      </c>
      <c r="AU147" s="6">
        <f t="shared" si="180"/>
        <v>0</v>
      </c>
      <c r="AV147" s="6">
        <f t="shared" si="181"/>
        <v>0</v>
      </c>
      <c r="AW147" s="6">
        <v>0</v>
      </c>
      <c r="AX147" s="6">
        <f t="shared" si="182"/>
        <v>0</v>
      </c>
      <c r="AY147" s="6">
        <f t="shared" si="183"/>
        <v>0</v>
      </c>
      <c r="AZ147" s="6">
        <v>0</v>
      </c>
      <c r="BA147" s="6">
        <f t="shared" si="184"/>
        <v>0</v>
      </c>
      <c r="BB147" s="6">
        <f t="shared" si="185"/>
        <v>0</v>
      </c>
      <c r="BC147" s="6">
        <v>0</v>
      </c>
      <c r="BD147" s="6">
        <f t="shared" si="186"/>
        <v>0</v>
      </c>
      <c r="BE147" s="6">
        <f t="shared" si="187"/>
        <v>0</v>
      </c>
      <c r="BF147" s="6">
        <v>0</v>
      </c>
      <c r="BG147" s="6">
        <f t="shared" si="188"/>
        <v>0</v>
      </c>
      <c r="BH147" s="6">
        <f t="shared" si="189"/>
        <v>0</v>
      </c>
      <c r="BI147" s="6">
        <v>0</v>
      </c>
      <c r="BJ147" s="6">
        <f t="shared" si="190"/>
        <v>0</v>
      </c>
      <c r="BK147" s="6">
        <f t="shared" si="191"/>
        <v>0</v>
      </c>
      <c r="BL147" s="6">
        <v>0</v>
      </c>
      <c r="BM147" s="6">
        <f t="shared" si="192"/>
        <v>0</v>
      </c>
      <c r="BN147" s="6">
        <f t="shared" si="193"/>
        <v>0</v>
      </c>
      <c r="BO147" s="6">
        <v>0</v>
      </c>
      <c r="BP147" s="6">
        <f t="shared" si="194"/>
        <v>0</v>
      </c>
      <c r="BQ147" s="6">
        <f t="shared" si="195"/>
        <v>0</v>
      </c>
      <c r="BR147" s="6">
        <v>0</v>
      </c>
      <c r="BS147" s="6">
        <f t="shared" si="196"/>
        <v>0</v>
      </c>
      <c r="BT147" s="6">
        <f t="shared" si="197"/>
        <v>0</v>
      </c>
      <c r="BU147" s="6">
        <v>0</v>
      </c>
      <c r="BV147" s="6">
        <f t="shared" si="198"/>
        <v>0</v>
      </c>
      <c r="BW147" s="6">
        <f t="shared" si="199"/>
        <v>0</v>
      </c>
      <c r="BX147" s="6">
        <v>0</v>
      </c>
      <c r="BY147" s="6">
        <f t="shared" si="200"/>
        <v>0</v>
      </c>
      <c r="BZ147" s="6">
        <f t="shared" si="201"/>
        <v>0</v>
      </c>
      <c r="CA147" s="6">
        <v>0</v>
      </c>
      <c r="CB147" s="6">
        <f t="shared" si="202"/>
        <v>0</v>
      </c>
      <c r="CC147" s="6">
        <f t="shared" si="203"/>
        <v>0</v>
      </c>
      <c r="CD147" s="6">
        <v>0</v>
      </c>
      <c r="CE147" s="6">
        <f t="shared" si="204"/>
        <v>0</v>
      </c>
      <c r="CF147" s="6">
        <f t="shared" si="205"/>
        <v>0</v>
      </c>
      <c r="CG147" s="6">
        <v>0</v>
      </c>
      <c r="CH147" s="6">
        <f t="shared" si="206"/>
        <v>0</v>
      </c>
      <c r="CI147" s="6">
        <f t="shared" si="207"/>
        <v>0</v>
      </c>
      <c r="CJ147" s="6">
        <v>0</v>
      </c>
      <c r="CK147" s="6">
        <f t="shared" si="208"/>
        <v>0</v>
      </c>
      <c r="CL147" s="6">
        <f t="shared" si="209"/>
        <v>0</v>
      </c>
      <c r="CM147" s="6">
        <v>0</v>
      </c>
      <c r="CN147" s="6">
        <f t="shared" si="210"/>
        <v>0</v>
      </c>
      <c r="CO147" s="6">
        <f t="shared" si="211"/>
        <v>0</v>
      </c>
      <c r="CP147" s="6">
        <v>0</v>
      </c>
      <c r="CQ147" s="6">
        <f t="shared" si="212"/>
        <v>0</v>
      </c>
      <c r="CR147" s="6">
        <f t="shared" si="213"/>
        <v>0</v>
      </c>
      <c r="CS147" s="6">
        <v>0</v>
      </c>
      <c r="CT147" s="6">
        <f t="shared" si="214"/>
        <v>0</v>
      </c>
      <c r="CU147" s="6">
        <f t="shared" si="215"/>
        <v>0</v>
      </c>
      <c r="CV147" s="6">
        <v>0</v>
      </c>
      <c r="CW147" s="6">
        <f t="shared" si="216"/>
        <v>0</v>
      </c>
      <c r="CX147" s="6">
        <f t="shared" si="217"/>
        <v>0</v>
      </c>
      <c r="CY147" s="6">
        <v>0</v>
      </c>
      <c r="CZ147" s="6">
        <f t="shared" si="218"/>
        <v>0</v>
      </c>
      <c r="DA147" s="6">
        <f t="shared" si="219"/>
        <v>0</v>
      </c>
      <c r="DB147" s="6">
        <v>0</v>
      </c>
      <c r="DC147" s="6">
        <f t="shared" si="220"/>
        <v>0</v>
      </c>
      <c r="DD147" s="6">
        <f t="shared" si="221"/>
        <v>0</v>
      </c>
      <c r="DE147" s="6">
        <v>0</v>
      </c>
      <c r="DF147" s="6">
        <f t="shared" si="222"/>
        <v>0</v>
      </c>
      <c r="DG147" s="6">
        <f t="shared" si="223"/>
        <v>0</v>
      </c>
      <c r="DH147" s="6">
        <v>0</v>
      </c>
      <c r="DI147" s="6">
        <f t="shared" si="224"/>
        <v>0</v>
      </c>
      <c r="DJ147" s="6">
        <f t="shared" si="225"/>
        <v>0</v>
      </c>
      <c r="DK147" s="6">
        <v>0</v>
      </c>
      <c r="DL147" s="6">
        <f t="shared" si="226"/>
        <v>0</v>
      </c>
      <c r="DM147" s="6">
        <f t="shared" si="227"/>
        <v>0</v>
      </c>
      <c r="DN147" s="6">
        <v>0</v>
      </c>
      <c r="DO147" s="6">
        <f t="shared" si="228"/>
        <v>0</v>
      </c>
      <c r="DP147" s="6">
        <f t="shared" si="229"/>
        <v>0</v>
      </c>
    </row>
    <row r="148" spans="1:120" x14ac:dyDescent="0.2">
      <c r="A148" s="21">
        <v>85</v>
      </c>
      <c r="B148" s="21" t="s">
        <v>612</v>
      </c>
      <c r="C148" s="21">
        <v>85230</v>
      </c>
      <c r="D148" s="21" t="s">
        <v>614</v>
      </c>
      <c r="E148" s="21" t="s">
        <v>542</v>
      </c>
      <c r="F148" s="22" t="s">
        <v>669</v>
      </c>
      <c r="G148" s="4" t="s">
        <v>260</v>
      </c>
      <c r="H148" s="6">
        <v>36325.379999999997</v>
      </c>
      <c r="I148" s="6">
        <f t="shared" si="230"/>
        <v>99.521589041095879</v>
      </c>
      <c r="J148" s="6">
        <v>30687</v>
      </c>
      <c r="K148" s="6">
        <v>21196.79</v>
      </c>
      <c r="L148" s="6">
        <f t="shared" si="231"/>
        <v>57.914726775956289</v>
      </c>
      <c r="M148" s="6">
        <v>23838</v>
      </c>
      <c r="N148" s="6">
        <v>20499.41</v>
      </c>
      <c r="O148" s="6">
        <f t="shared" si="232"/>
        <v>56.162767123287672</v>
      </c>
      <c r="P148" s="6">
        <v>18579</v>
      </c>
      <c r="Q148" s="6">
        <v>10503.87</v>
      </c>
      <c r="R148" s="6">
        <f t="shared" si="233"/>
        <v>58.032430939226522</v>
      </c>
      <c r="S148" s="6">
        <v>11168</v>
      </c>
      <c r="T148" s="6">
        <f t="shared" si="162"/>
        <v>11168</v>
      </c>
      <c r="U148" s="6">
        <f t="shared" si="163"/>
        <v>30.597260273972601</v>
      </c>
      <c r="V148" s="6">
        <v>5802</v>
      </c>
      <c r="W148" s="6">
        <f t="shared" si="164"/>
        <v>5802</v>
      </c>
      <c r="X148" s="6">
        <f t="shared" si="165"/>
        <v>15.895890410958904</v>
      </c>
      <c r="Y148" s="6">
        <v>4501</v>
      </c>
      <c r="Z148" s="6">
        <f t="shared" si="166"/>
        <v>4501</v>
      </c>
      <c r="AA148" s="6">
        <f t="shared" si="167"/>
        <v>12.331506849315069</v>
      </c>
      <c r="AB148" s="6">
        <v>3501</v>
      </c>
      <c r="AC148" s="6">
        <f t="shared" si="168"/>
        <v>3501</v>
      </c>
      <c r="AD148" s="6">
        <f t="shared" si="169"/>
        <v>9.5917808219178085</v>
      </c>
      <c r="AE148" s="6">
        <v>2726</v>
      </c>
      <c r="AF148" s="6">
        <f t="shared" si="170"/>
        <v>2726</v>
      </c>
      <c r="AG148" s="6">
        <f t="shared" si="171"/>
        <v>7.4684931506849317</v>
      </c>
      <c r="AH148" s="6">
        <v>0</v>
      </c>
      <c r="AI148" s="6">
        <f t="shared" si="172"/>
        <v>0</v>
      </c>
      <c r="AJ148" s="6">
        <f t="shared" si="173"/>
        <v>0</v>
      </c>
      <c r="AK148" s="6">
        <v>0</v>
      </c>
      <c r="AL148" s="6">
        <f t="shared" si="174"/>
        <v>0</v>
      </c>
      <c r="AM148" s="6">
        <f t="shared" si="175"/>
        <v>0</v>
      </c>
      <c r="AN148" s="6">
        <v>0</v>
      </c>
      <c r="AO148" s="6">
        <f t="shared" si="176"/>
        <v>0</v>
      </c>
      <c r="AP148" s="6">
        <f t="shared" si="177"/>
        <v>0</v>
      </c>
      <c r="AQ148" s="6">
        <v>0</v>
      </c>
      <c r="AR148" s="6">
        <f t="shared" si="178"/>
        <v>0</v>
      </c>
      <c r="AS148" s="6">
        <f t="shared" si="179"/>
        <v>0</v>
      </c>
      <c r="AT148" s="6">
        <v>0</v>
      </c>
      <c r="AU148" s="6">
        <f t="shared" si="180"/>
        <v>0</v>
      </c>
      <c r="AV148" s="6">
        <f t="shared" si="181"/>
        <v>0</v>
      </c>
      <c r="AW148" s="6">
        <v>0</v>
      </c>
      <c r="AX148" s="6">
        <f t="shared" si="182"/>
        <v>0</v>
      </c>
      <c r="AY148" s="6">
        <f t="shared" si="183"/>
        <v>0</v>
      </c>
      <c r="AZ148" s="6">
        <v>0</v>
      </c>
      <c r="BA148" s="6">
        <f t="shared" si="184"/>
        <v>0</v>
      </c>
      <c r="BB148" s="6">
        <f t="shared" si="185"/>
        <v>0</v>
      </c>
      <c r="BC148" s="6">
        <v>0</v>
      </c>
      <c r="BD148" s="6">
        <f t="shared" si="186"/>
        <v>0</v>
      </c>
      <c r="BE148" s="6">
        <f t="shared" si="187"/>
        <v>0</v>
      </c>
      <c r="BF148" s="6">
        <v>0</v>
      </c>
      <c r="BG148" s="6">
        <f t="shared" si="188"/>
        <v>0</v>
      </c>
      <c r="BH148" s="6">
        <f t="shared" si="189"/>
        <v>0</v>
      </c>
      <c r="BI148" s="6">
        <v>0</v>
      </c>
      <c r="BJ148" s="6">
        <f t="shared" si="190"/>
        <v>0</v>
      </c>
      <c r="BK148" s="6">
        <f t="shared" si="191"/>
        <v>0</v>
      </c>
      <c r="BL148" s="6">
        <v>0</v>
      </c>
      <c r="BM148" s="6">
        <f t="shared" si="192"/>
        <v>0</v>
      </c>
      <c r="BN148" s="6">
        <f t="shared" si="193"/>
        <v>0</v>
      </c>
      <c r="BO148" s="6">
        <v>0</v>
      </c>
      <c r="BP148" s="6">
        <f t="shared" si="194"/>
        <v>0</v>
      </c>
      <c r="BQ148" s="6">
        <f t="shared" si="195"/>
        <v>0</v>
      </c>
      <c r="BR148" s="6">
        <v>0</v>
      </c>
      <c r="BS148" s="6">
        <f t="shared" si="196"/>
        <v>0</v>
      </c>
      <c r="BT148" s="6">
        <f t="shared" si="197"/>
        <v>0</v>
      </c>
      <c r="BU148" s="6">
        <v>0</v>
      </c>
      <c r="BV148" s="6">
        <f t="shared" si="198"/>
        <v>0</v>
      </c>
      <c r="BW148" s="6">
        <f t="shared" si="199"/>
        <v>0</v>
      </c>
      <c r="BX148" s="6">
        <v>0</v>
      </c>
      <c r="BY148" s="6">
        <f t="shared" si="200"/>
        <v>0</v>
      </c>
      <c r="BZ148" s="6">
        <f t="shared" si="201"/>
        <v>0</v>
      </c>
      <c r="CA148" s="6">
        <v>0</v>
      </c>
      <c r="CB148" s="6">
        <f t="shared" si="202"/>
        <v>0</v>
      </c>
      <c r="CC148" s="6">
        <f t="shared" si="203"/>
        <v>0</v>
      </c>
      <c r="CD148" s="6">
        <v>0</v>
      </c>
      <c r="CE148" s="6">
        <f t="shared" si="204"/>
        <v>0</v>
      </c>
      <c r="CF148" s="6">
        <f t="shared" si="205"/>
        <v>0</v>
      </c>
      <c r="CG148" s="6">
        <v>0</v>
      </c>
      <c r="CH148" s="6">
        <f t="shared" si="206"/>
        <v>0</v>
      </c>
      <c r="CI148" s="6">
        <f t="shared" si="207"/>
        <v>0</v>
      </c>
      <c r="CJ148" s="6">
        <v>0</v>
      </c>
      <c r="CK148" s="6">
        <f t="shared" si="208"/>
        <v>0</v>
      </c>
      <c r="CL148" s="6">
        <f t="shared" si="209"/>
        <v>0</v>
      </c>
      <c r="CM148" s="6">
        <v>0</v>
      </c>
      <c r="CN148" s="6">
        <f t="shared" si="210"/>
        <v>0</v>
      </c>
      <c r="CO148" s="6">
        <f t="shared" si="211"/>
        <v>0</v>
      </c>
      <c r="CP148" s="6">
        <v>0</v>
      </c>
      <c r="CQ148" s="6">
        <f t="shared" si="212"/>
        <v>0</v>
      </c>
      <c r="CR148" s="6">
        <f t="shared" si="213"/>
        <v>0</v>
      </c>
      <c r="CS148" s="6">
        <v>0</v>
      </c>
      <c r="CT148" s="6">
        <f t="shared" si="214"/>
        <v>0</v>
      </c>
      <c r="CU148" s="6">
        <f t="shared" si="215"/>
        <v>0</v>
      </c>
      <c r="CV148" s="6">
        <v>0</v>
      </c>
      <c r="CW148" s="6">
        <f t="shared" si="216"/>
        <v>0</v>
      </c>
      <c r="CX148" s="6">
        <f t="shared" si="217"/>
        <v>0</v>
      </c>
      <c r="CY148" s="6">
        <v>0</v>
      </c>
      <c r="CZ148" s="6">
        <f t="shared" si="218"/>
        <v>0</v>
      </c>
      <c r="DA148" s="6">
        <f t="shared" si="219"/>
        <v>0</v>
      </c>
      <c r="DB148" s="6">
        <v>0</v>
      </c>
      <c r="DC148" s="6">
        <f t="shared" si="220"/>
        <v>0</v>
      </c>
      <c r="DD148" s="6">
        <f t="shared" si="221"/>
        <v>0</v>
      </c>
      <c r="DE148" s="6">
        <v>0</v>
      </c>
      <c r="DF148" s="6">
        <f t="shared" si="222"/>
        <v>0</v>
      </c>
      <c r="DG148" s="6">
        <f t="shared" si="223"/>
        <v>0</v>
      </c>
      <c r="DH148" s="6">
        <v>0</v>
      </c>
      <c r="DI148" s="6">
        <f t="shared" si="224"/>
        <v>0</v>
      </c>
      <c r="DJ148" s="6">
        <f t="shared" si="225"/>
        <v>0</v>
      </c>
      <c r="DK148" s="6">
        <v>0</v>
      </c>
      <c r="DL148" s="6">
        <f t="shared" si="226"/>
        <v>0</v>
      </c>
      <c r="DM148" s="6">
        <f t="shared" si="227"/>
        <v>0</v>
      </c>
      <c r="DN148" s="6">
        <v>0</v>
      </c>
      <c r="DO148" s="6">
        <f t="shared" si="228"/>
        <v>0</v>
      </c>
      <c r="DP148" s="6">
        <f t="shared" si="229"/>
        <v>0</v>
      </c>
    </row>
    <row r="149" spans="1:120" x14ac:dyDescent="0.2">
      <c r="A149" s="21">
        <v>86</v>
      </c>
      <c r="B149" s="21" t="s">
        <v>664</v>
      </c>
      <c r="C149" s="21">
        <v>86865</v>
      </c>
      <c r="D149" s="21" t="s">
        <v>728</v>
      </c>
      <c r="E149" s="21" t="s">
        <v>522</v>
      </c>
      <c r="F149" s="22" t="s">
        <v>666</v>
      </c>
      <c r="G149" s="4" t="s">
        <v>261</v>
      </c>
      <c r="H149" s="6">
        <v>7645.56</v>
      </c>
      <c r="I149" s="6">
        <f t="shared" si="230"/>
        <v>20.946739726027399</v>
      </c>
      <c r="J149" s="6">
        <v>8767.52</v>
      </c>
      <c r="K149" s="6">
        <v>9050.08</v>
      </c>
      <c r="L149" s="6">
        <f t="shared" si="231"/>
        <v>24.726994535519125</v>
      </c>
      <c r="M149" s="6">
        <v>0</v>
      </c>
      <c r="N149" s="6">
        <v>8169.1</v>
      </c>
      <c r="O149" s="6">
        <f t="shared" si="232"/>
        <v>22.381095890410961</v>
      </c>
      <c r="P149" s="6">
        <v>0</v>
      </c>
      <c r="Q149" s="6">
        <v>3575.69</v>
      </c>
      <c r="R149" s="6">
        <f t="shared" si="233"/>
        <v>19.755193370165745</v>
      </c>
      <c r="S149" s="6">
        <v>0</v>
      </c>
      <c r="T149" s="6">
        <f t="shared" si="162"/>
        <v>0</v>
      </c>
      <c r="U149" s="6">
        <f t="shared" si="163"/>
        <v>0</v>
      </c>
      <c r="V149" s="6">
        <v>0</v>
      </c>
      <c r="W149" s="6">
        <f t="shared" si="164"/>
        <v>0</v>
      </c>
      <c r="X149" s="6">
        <f t="shared" si="165"/>
        <v>0</v>
      </c>
      <c r="Y149" s="6">
        <v>0</v>
      </c>
      <c r="Z149" s="6">
        <f t="shared" si="166"/>
        <v>0</v>
      </c>
      <c r="AA149" s="6">
        <f t="shared" si="167"/>
        <v>0</v>
      </c>
      <c r="AB149" s="6">
        <v>0</v>
      </c>
      <c r="AC149" s="6">
        <f t="shared" si="168"/>
        <v>0</v>
      </c>
      <c r="AD149" s="6">
        <f t="shared" si="169"/>
        <v>0</v>
      </c>
      <c r="AE149" s="6">
        <v>0</v>
      </c>
      <c r="AF149" s="6">
        <f t="shared" si="170"/>
        <v>0</v>
      </c>
      <c r="AG149" s="6">
        <f t="shared" si="171"/>
        <v>0</v>
      </c>
      <c r="AH149" s="6">
        <v>0</v>
      </c>
      <c r="AI149" s="6">
        <f t="shared" si="172"/>
        <v>0</v>
      </c>
      <c r="AJ149" s="6">
        <f t="shared" si="173"/>
        <v>0</v>
      </c>
      <c r="AK149" s="6">
        <v>0</v>
      </c>
      <c r="AL149" s="6">
        <f t="shared" si="174"/>
        <v>0</v>
      </c>
      <c r="AM149" s="6">
        <f t="shared" si="175"/>
        <v>0</v>
      </c>
      <c r="AN149" s="6">
        <v>0</v>
      </c>
      <c r="AO149" s="6">
        <f t="shared" si="176"/>
        <v>0</v>
      </c>
      <c r="AP149" s="6">
        <f t="shared" si="177"/>
        <v>0</v>
      </c>
      <c r="AQ149" s="6">
        <v>0</v>
      </c>
      <c r="AR149" s="6">
        <f t="shared" si="178"/>
        <v>0</v>
      </c>
      <c r="AS149" s="6">
        <f t="shared" si="179"/>
        <v>0</v>
      </c>
      <c r="AT149" s="6">
        <v>0</v>
      </c>
      <c r="AU149" s="6">
        <f t="shared" si="180"/>
        <v>0</v>
      </c>
      <c r="AV149" s="6">
        <f t="shared" si="181"/>
        <v>0</v>
      </c>
      <c r="AW149" s="6">
        <v>0</v>
      </c>
      <c r="AX149" s="6">
        <f t="shared" si="182"/>
        <v>0</v>
      </c>
      <c r="AY149" s="6">
        <f t="shared" si="183"/>
        <v>0</v>
      </c>
      <c r="AZ149" s="6">
        <v>0</v>
      </c>
      <c r="BA149" s="6">
        <f t="shared" si="184"/>
        <v>0</v>
      </c>
      <c r="BB149" s="6">
        <f t="shared" si="185"/>
        <v>0</v>
      </c>
      <c r="BC149" s="6">
        <v>0</v>
      </c>
      <c r="BD149" s="6">
        <f t="shared" si="186"/>
        <v>0</v>
      </c>
      <c r="BE149" s="6">
        <f t="shared" si="187"/>
        <v>0</v>
      </c>
      <c r="BF149" s="6">
        <v>0</v>
      </c>
      <c r="BG149" s="6">
        <f t="shared" si="188"/>
        <v>0</v>
      </c>
      <c r="BH149" s="6">
        <f t="shared" si="189"/>
        <v>0</v>
      </c>
      <c r="BI149" s="6">
        <v>0</v>
      </c>
      <c r="BJ149" s="6">
        <f t="shared" si="190"/>
        <v>0</v>
      </c>
      <c r="BK149" s="6">
        <f t="shared" si="191"/>
        <v>0</v>
      </c>
      <c r="BL149" s="6">
        <v>0</v>
      </c>
      <c r="BM149" s="6">
        <f t="shared" si="192"/>
        <v>0</v>
      </c>
      <c r="BN149" s="6">
        <f t="shared" si="193"/>
        <v>0</v>
      </c>
      <c r="BO149" s="6">
        <v>0</v>
      </c>
      <c r="BP149" s="6">
        <f t="shared" si="194"/>
        <v>0</v>
      </c>
      <c r="BQ149" s="6">
        <f t="shared" si="195"/>
        <v>0</v>
      </c>
      <c r="BR149" s="6">
        <v>0</v>
      </c>
      <c r="BS149" s="6">
        <f t="shared" si="196"/>
        <v>0</v>
      </c>
      <c r="BT149" s="6">
        <f t="shared" si="197"/>
        <v>0</v>
      </c>
      <c r="BU149" s="6">
        <v>0</v>
      </c>
      <c r="BV149" s="6">
        <f t="shared" si="198"/>
        <v>0</v>
      </c>
      <c r="BW149" s="6">
        <f t="shared" si="199"/>
        <v>0</v>
      </c>
      <c r="BX149" s="6">
        <v>0</v>
      </c>
      <c r="BY149" s="6">
        <f t="shared" si="200"/>
        <v>0</v>
      </c>
      <c r="BZ149" s="6">
        <f t="shared" si="201"/>
        <v>0</v>
      </c>
      <c r="CA149" s="6">
        <v>0</v>
      </c>
      <c r="CB149" s="6">
        <f t="shared" si="202"/>
        <v>0</v>
      </c>
      <c r="CC149" s="6">
        <f t="shared" si="203"/>
        <v>0</v>
      </c>
      <c r="CD149" s="6">
        <v>0</v>
      </c>
      <c r="CE149" s="6">
        <f t="shared" si="204"/>
        <v>0</v>
      </c>
      <c r="CF149" s="6">
        <f t="shared" si="205"/>
        <v>0</v>
      </c>
      <c r="CG149" s="6">
        <v>0</v>
      </c>
      <c r="CH149" s="6">
        <f t="shared" si="206"/>
        <v>0</v>
      </c>
      <c r="CI149" s="6">
        <f t="shared" si="207"/>
        <v>0</v>
      </c>
      <c r="CJ149" s="6">
        <v>0</v>
      </c>
      <c r="CK149" s="6">
        <f t="shared" si="208"/>
        <v>0</v>
      </c>
      <c r="CL149" s="6">
        <f t="shared" si="209"/>
        <v>0</v>
      </c>
      <c r="CM149" s="6">
        <v>0</v>
      </c>
      <c r="CN149" s="6">
        <f t="shared" si="210"/>
        <v>0</v>
      </c>
      <c r="CO149" s="6">
        <f t="shared" si="211"/>
        <v>0</v>
      </c>
      <c r="CP149" s="6">
        <v>0</v>
      </c>
      <c r="CQ149" s="6">
        <f t="shared" si="212"/>
        <v>0</v>
      </c>
      <c r="CR149" s="6">
        <f t="shared" si="213"/>
        <v>0</v>
      </c>
      <c r="CS149" s="6">
        <v>0</v>
      </c>
      <c r="CT149" s="6">
        <f t="shared" si="214"/>
        <v>0</v>
      </c>
      <c r="CU149" s="6">
        <f t="shared" si="215"/>
        <v>0</v>
      </c>
      <c r="CV149" s="6">
        <v>0</v>
      </c>
      <c r="CW149" s="6">
        <f t="shared" si="216"/>
        <v>0</v>
      </c>
      <c r="CX149" s="6">
        <f t="shared" si="217"/>
        <v>0</v>
      </c>
      <c r="CY149" s="6">
        <v>0</v>
      </c>
      <c r="CZ149" s="6">
        <f t="shared" si="218"/>
        <v>0</v>
      </c>
      <c r="DA149" s="6">
        <f t="shared" si="219"/>
        <v>0</v>
      </c>
      <c r="DB149" s="6">
        <v>0</v>
      </c>
      <c r="DC149" s="6">
        <f t="shared" si="220"/>
        <v>0</v>
      </c>
      <c r="DD149" s="6">
        <f t="shared" si="221"/>
        <v>0</v>
      </c>
      <c r="DE149" s="6">
        <v>0</v>
      </c>
      <c r="DF149" s="6">
        <f t="shared" si="222"/>
        <v>0</v>
      </c>
      <c r="DG149" s="6">
        <f t="shared" si="223"/>
        <v>0</v>
      </c>
      <c r="DH149" s="6">
        <v>0</v>
      </c>
      <c r="DI149" s="6">
        <f t="shared" si="224"/>
        <v>0</v>
      </c>
      <c r="DJ149" s="6">
        <f t="shared" si="225"/>
        <v>0</v>
      </c>
      <c r="DK149" s="6">
        <v>0</v>
      </c>
      <c r="DL149" s="6">
        <f t="shared" si="226"/>
        <v>0</v>
      </c>
      <c r="DM149" s="6">
        <f t="shared" si="227"/>
        <v>0</v>
      </c>
      <c r="DN149" s="6">
        <v>0</v>
      </c>
      <c r="DO149" s="6">
        <f t="shared" si="228"/>
        <v>0</v>
      </c>
      <c r="DP149" s="6">
        <f t="shared" si="229"/>
        <v>0</v>
      </c>
    </row>
    <row r="150" spans="1:120" x14ac:dyDescent="0.2">
      <c r="A150" s="21">
        <v>73</v>
      </c>
      <c r="B150" s="21" t="s">
        <v>582</v>
      </c>
      <c r="C150" s="21">
        <v>73168</v>
      </c>
      <c r="D150" s="21" t="s">
        <v>729</v>
      </c>
      <c r="E150" s="21" t="s">
        <v>575</v>
      </c>
      <c r="F150" s="22" t="s">
        <v>666</v>
      </c>
      <c r="G150" s="4" t="s">
        <v>262</v>
      </c>
      <c r="H150" s="6">
        <v>156357.81</v>
      </c>
      <c r="I150" s="6">
        <f t="shared" si="230"/>
        <v>428.37756164383563</v>
      </c>
      <c r="J150" s="6">
        <v>258567</v>
      </c>
      <c r="K150" s="6">
        <v>419900.77</v>
      </c>
      <c r="L150" s="6">
        <f t="shared" si="231"/>
        <v>1147.2698633879781</v>
      </c>
      <c r="M150" s="6">
        <v>200841</v>
      </c>
      <c r="N150" s="6">
        <v>477535.91</v>
      </c>
      <c r="O150" s="6">
        <f t="shared" si="232"/>
        <v>1308.3175616438355</v>
      </c>
      <c r="P150" s="6">
        <v>156784</v>
      </c>
      <c r="Q150" s="6">
        <v>219486.81</v>
      </c>
      <c r="R150" s="6">
        <f t="shared" si="233"/>
        <v>1212.6343093922651</v>
      </c>
      <c r="S150" s="6">
        <v>122614</v>
      </c>
      <c r="T150" s="6">
        <f t="shared" si="162"/>
        <v>122614</v>
      </c>
      <c r="U150" s="6">
        <f t="shared" si="163"/>
        <v>335.92876712328768</v>
      </c>
      <c r="V150" s="6">
        <v>96288</v>
      </c>
      <c r="W150" s="6">
        <f t="shared" si="164"/>
        <v>96288</v>
      </c>
      <c r="X150" s="6">
        <f t="shared" si="165"/>
        <v>263.80273972602743</v>
      </c>
      <c r="Y150" s="6">
        <v>75328</v>
      </c>
      <c r="Z150" s="6">
        <f t="shared" si="166"/>
        <v>75328</v>
      </c>
      <c r="AA150" s="6">
        <f t="shared" si="167"/>
        <v>206.37808219178083</v>
      </c>
      <c r="AB150" s="6">
        <v>59207</v>
      </c>
      <c r="AC150" s="6">
        <f t="shared" si="168"/>
        <v>59207</v>
      </c>
      <c r="AD150" s="6">
        <f t="shared" si="169"/>
        <v>162.21095890410959</v>
      </c>
      <c r="AE150" s="6">
        <v>46606</v>
      </c>
      <c r="AF150" s="6">
        <f t="shared" si="170"/>
        <v>46606</v>
      </c>
      <c r="AG150" s="6">
        <f t="shared" si="171"/>
        <v>127.68767123287671</v>
      </c>
      <c r="AH150" s="6">
        <v>35354</v>
      </c>
      <c r="AI150" s="6">
        <f t="shared" si="172"/>
        <v>35354</v>
      </c>
      <c r="AJ150" s="6">
        <f t="shared" si="173"/>
        <v>96.860273972602741</v>
      </c>
      <c r="AK150" s="6">
        <v>26327</v>
      </c>
      <c r="AL150" s="6">
        <f t="shared" si="174"/>
        <v>26327</v>
      </c>
      <c r="AM150" s="6">
        <f t="shared" si="175"/>
        <v>72.128767123287673</v>
      </c>
      <c r="AN150" s="6">
        <v>20998</v>
      </c>
      <c r="AO150" s="6">
        <f t="shared" si="176"/>
        <v>20998</v>
      </c>
      <c r="AP150" s="6">
        <f t="shared" si="177"/>
        <v>57.528767123287672</v>
      </c>
      <c r="AQ150" s="6">
        <v>16754</v>
      </c>
      <c r="AR150" s="6">
        <f t="shared" si="178"/>
        <v>16754</v>
      </c>
      <c r="AS150" s="6">
        <f t="shared" si="179"/>
        <v>45.901369863013699</v>
      </c>
      <c r="AT150" s="6">
        <v>12695</v>
      </c>
      <c r="AU150" s="6">
        <f t="shared" si="180"/>
        <v>12695</v>
      </c>
      <c r="AV150" s="6">
        <f t="shared" si="181"/>
        <v>34.780821917808218</v>
      </c>
      <c r="AW150" s="6">
        <v>7691</v>
      </c>
      <c r="AX150" s="6">
        <f t="shared" si="182"/>
        <v>7691</v>
      </c>
      <c r="AY150" s="6">
        <f t="shared" si="183"/>
        <v>21.07123287671233</v>
      </c>
      <c r="AZ150" s="6">
        <v>6226</v>
      </c>
      <c r="BA150" s="6">
        <f t="shared" si="184"/>
        <v>6226</v>
      </c>
      <c r="BB150" s="6">
        <f t="shared" si="185"/>
        <v>17.057534246575344</v>
      </c>
      <c r="BC150" s="6">
        <v>5042</v>
      </c>
      <c r="BD150" s="6">
        <f t="shared" si="186"/>
        <v>5042</v>
      </c>
      <c r="BE150" s="6">
        <f t="shared" si="187"/>
        <v>13.813698630136987</v>
      </c>
      <c r="BF150" s="6">
        <v>0</v>
      </c>
      <c r="BG150" s="6">
        <f t="shared" si="188"/>
        <v>0</v>
      </c>
      <c r="BH150" s="6">
        <f t="shared" si="189"/>
        <v>0</v>
      </c>
      <c r="BI150" s="6">
        <v>0</v>
      </c>
      <c r="BJ150" s="6">
        <f t="shared" si="190"/>
        <v>0</v>
      </c>
      <c r="BK150" s="6">
        <f t="shared" si="191"/>
        <v>0</v>
      </c>
      <c r="BL150" s="6">
        <v>0</v>
      </c>
      <c r="BM150" s="6">
        <f t="shared" si="192"/>
        <v>0</v>
      </c>
      <c r="BN150" s="6">
        <f t="shared" si="193"/>
        <v>0</v>
      </c>
      <c r="BO150" s="6">
        <v>0</v>
      </c>
      <c r="BP150" s="6">
        <f t="shared" si="194"/>
        <v>0</v>
      </c>
      <c r="BQ150" s="6">
        <f t="shared" si="195"/>
        <v>0</v>
      </c>
      <c r="BR150" s="6">
        <v>0</v>
      </c>
      <c r="BS150" s="6">
        <f t="shared" si="196"/>
        <v>0</v>
      </c>
      <c r="BT150" s="6">
        <f t="shared" si="197"/>
        <v>0</v>
      </c>
      <c r="BU150" s="6">
        <v>0</v>
      </c>
      <c r="BV150" s="6">
        <f t="shared" si="198"/>
        <v>0</v>
      </c>
      <c r="BW150" s="6">
        <f t="shared" si="199"/>
        <v>0</v>
      </c>
      <c r="BX150" s="6">
        <v>0</v>
      </c>
      <c r="BY150" s="6">
        <f t="shared" si="200"/>
        <v>0</v>
      </c>
      <c r="BZ150" s="6">
        <f t="shared" si="201"/>
        <v>0</v>
      </c>
      <c r="CA150" s="6">
        <v>0</v>
      </c>
      <c r="CB150" s="6">
        <f t="shared" si="202"/>
        <v>0</v>
      </c>
      <c r="CC150" s="6">
        <f t="shared" si="203"/>
        <v>0</v>
      </c>
      <c r="CD150" s="6">
        <v>0</v>
      </c>
      <c r="CE150" s="6">
        <f t="shared" si="204"/>
        <v>0</v>
      </c>
      <c r="CF150" s="6">
        <f t="shared" si="205"/>
        <v>0</v>
      </c>
      <c r="CG150" s="6">
        <v>0</v>
      </c>
      <c r="CH150" s="6">
        <f t="shared" si="206"/>
        <v>0</v>
      </c>
      <c r="CI150" s="6">
        <f t="shared" si="207"/>
        <v>0</v>
      </c>
      <c r="CJ150" s="6">
        <v>0</v>
      </c>
      <c r="CK150" s="6">
        <f t="shared" si="208"/>
        <v>0</v>
      </c>
      <c r="CL150" s="6">
        <f t="shared" si="209"/>
        <v>0</v>
      </c>
      <c r="CM150" s="6">
        <v>0</v>
      </c>
      <c r="CN150" s="6">
        <f t="shared" si="210"/>
        <v>0</v>
      </c>
      <c r="CO150" s="6">
        <f t="shared" si="211"/>
        <v>0</v>
      </c>
      <c r="CP150" s="6">
        <v>0</v>
      </c>
      <c r="CQ150" s="6">
        <f t="shared" si="212"/>
        <v>0</v>
      </c>
      <c r="CR150" s="6">
        <f t="shared" si="213"/>
        <v>0</v>
      </c>
      <c r="CS150" s="6">
        <v>0</v>
      </c>
      <c r="CT150" s="6">
        <f t="shared" si="214"/>
        <v>0</v>
      </c>
      <c r="CU150" s="6">
        <f t="shared" si="215"/>
        <v>0</v>
      </c>
      <c r="CV150" s="6">
        <v>0</v>
      </c>
      <c r="CW150" s="6">
        <f t="shared" si="216"/>
        <v>0</v>
      </c>
      <c r="CX150" s="6">
        <f t="shared" si="217"/>
        <v>0</v>
      </c>
      <c r="CY150" s="6">
        <v>0</v>
      </c>
      <c r="CZ150" s="6">
        <f t="shared" si="218"/>
        <v>0</v>
      </c>
      <c r="DA150" s="6">
        <f t="shared" si="219"/>
        <v>0</v>
      </c>
      <c r="DB150" s="6">
        <v>0</v>
      </c>
      <c r="DC150" s="6">
        <f t="shared" si="220"/>
        <v>0</v>
      </c>
      <c r="DD150" s="6">
        <f t="shared" si="221"/>
        <v>0</v>
      </c>
      <c r="DE150" s="6">
        <v>0</v>
      </c>
      <c r="DF150" s="6">
        <f t="shared" si="222"/>
        <v>0</v>
      </c>
      <c r="DG150" s="6">
        <f t="shared" si="223"/>
        <v>0</v>
      </c>
      <c r="DH150" s="6">
        <v>0</v>
      </c>
      <c r="DI150" s="6">
        <f t="shared" si="224"/>
        <v>0</v>
      </c>
      <c r="DJ150" s="6">
        <f t="shared" si="225"/>
        <v>0</v>
      </c>
      <c r="DK150" s="6">
        <v>0</v>
      </c>
      <c r="DL150" s="6">
        <f t="shared" si="226"/>
        <v>0</v>
      </c>
      <c r="DM150" s="6">
        <f t="shared" si="227"/>
        <v>0</v>
      </c>
      <c r="DN150" s="6">
        <v>0</v>
      </c>
      <c r="DO150" s="6">
        <f t="shared" si="228"/>
        <v>0</v>
      </c>
      <c r="DP150" s="6">
        <f t="shared" si="229"/>
        <v>0</v>
      </c>
    </row>
    <row r="151" spans="1:120" x14ac:dyDescent="0.2">
      <c r="A151" s="21">
        <v>50</v>
      </c>
      <c r="B151" s="21" t="s">
        <v>675</v>
      </c>
      <c r="C151" s="21">
        <v>50124</v>
      </c>
      <c r="D151" s="21" t="s">
        <v>704</v>
      </c>
      <c r="E151" s="21" t="s">
        <v>603</v>
      </c>
      <c r="F151" s="22" t="s">
        <v>669</v>
      </c>
      <c r="G151" s="4" t="s">
        <v>263</v>
      </c>
      <c r="H151" s="6">
        <v>6458998.6699999999</v>
      </c>
      <c r="I151" s="6">
        <f t="shared" si="230"/>
        <v>17695.886767123287</v>
      </c>
      <c r="J151" s="6">
        <v>7299648.5098000001</v>
      </c>
      <c r="K151" s="6">
        <v>8026543.2400000002</v>
      </c>
      <c r="L151" s="6">
        <f t="shared" si="231"/>
        <v>21930.446010928961</v>
      </c>
      <c r="M151" s="6">
        <v>5059712.4577000001</v>
      </c>
      <c r="N151" s="6">
        <v>7701937.0899999999</v>
      </c>
      <c r="O151" s="6">
        <f t="shared" si="232"/>
        <v>21101.197506849316</v>
      </c>
      <c r="P151" s="6">
        <v>3526342.3936999999</v>
      </c>
      <c r="Q151" s="6">
        <v>3631007.6</v>
      </c>
      <c r="R151" s="6">
        <f t="shared" si="233"/>
        <v>20060.815469613259</v>
      </c>
      <c r="S151" s="6">
        <v>2493652.6127999998</v>
      </c>
      <c r="T151" s="6">
        <f t="shared" si="162"/>
        <v>2493652.6127999998</v>
      </c>
      <c r="U151" s="6">
        <f t="shared" si="163"/>
        <v>6831.9249665753414</v>
      </c>
      <c r="V151" s="6">
        <v>1789898.2235999999</v>
      </c>
      <c r="W151" s="6">
        <f t="shared" si="164"/>
        <v>1789898.2235999999</v>
      </c>
      <c r="X151" s="6">
        <f t="shared" si="165"/>
        <v>4903.8307495890413</v>
      </c>
      <c r="Y151" s="6">
        <v>1291528.0237</v>
      </c>
      <c r="Z151" s="6">
        <f t="shared" si="166"/>
        <v>1291528.0237</v>
      </c>
      <c r="AA151" s="6">
        <f t="shared" si="167"/>
        <v>3538.4329416438359</v>
      </c>
      <c r="AB151" s="6">
        <v>932828.14289999998</v>
      </c>
      <c r="AC151" s="6">
        <f t="shared" si="168"/>
        <v>932828.14289999998</v>
      </c>
      <c r="AD151" s="6">
        <f t="shared" si="169"/>
        <v>2555.6935421917806</v>
      </c>
      <c r="AE151" s="6">
        <v>687351.86320000002</v>
      </c>
      <c r="AF151" s="6">
        <f t="shared" si="170"/>
        <v>687351.86320000002</v>
      </c>
      <c r="AG151" s="6">
        <f t="shared" si="171"/>
        <v>1883.1557895890412</v>
      </c>
      <c r="AH151" s="6">
        <v>499258.89860000001</v>
      </c>
      <c r="AI151" s="6">
        <f t="shared" si="172"/>
        <v>499258.89860000001</v>
      </c>
      <c r="AJ151" s="6">
        <f t="shared" si="173"/>
        <v>1367.8325989041095</v>
      </c>
      <c r="AK151" s="6">
        <v>363320.9032</v>
      </c>
      <c r="AL151" s="6">
        <f t="shared" si="174"/>
        <v>363320.9032</v>
      </c>
      <c r="AM151" s="6">
        <f t="shared" si="175"/>
        <v>995.39973479452055</v>
      </c>
      <c r="AN151" s="6">
        <v>274684.61930000002</v>
      </c>
      <c r="AO151" s="6">
        <f t="shared" si="176"/>
        <v>274684.61930000002</v>
      </c>
      <c r="AP151" s="6">
        <f t="shared" si="177"/>
        <v>752.56060082191789</v>
      </c>
      <c r="AQ151" s="6">
        <v>207924.53630000001</v>
      </c>
      <c r="AR151" s="6">
        <f t="shared" si="178"/>
        <v>207924.53630000001</v>
      </c>
      <c r="AS151" s="6">
        <f t="shared" si="179"/>
        <v>569.65626383561641</v>
      </c>
      <c r="AT151" s="6">
        <v>137034.42629999999</v>
      </c>
      <c r="AU151" s="6">
        <f t="shared" si="180"/>
        <v>137034.42629999999</v>
      </c>
      <c r="AV151" s="6">
        <f t="shared" si="181"/>
        <v>375.43678438356164</v>
      </c>
      <c r="AW151" s="6">
        <v>104905.57709999999</v>
      </c>
      <c r="AX151" s="6">
        <f t="shared" si="182"/>
        <v>104905.57709999999</v>
      </c>
      <c r="AY151" s="6">
        <f t="shared" si="183"/>
        <v>287.41253999999998</v>
      </c>
      <c r="AZ151" s="6">
        <v>80560.044800000003</v>
      </c>
      <c r="BA151" s="6">
        <f t="shared" si="184"/>
        <v>80560.044800000003</v>
      </c>
      <c r="BB151" s="6">
        <f t="shared" si="185"/>
        <v>220.71245150684933</v>
      </c>
      <c r="BC151" s="6">
        <v>61864.402199999997</v>
      </c>
      <c r="BD151" s="6">
        <f t="shared" si="186"/>
        <v>61864.402199999997</v>
      </c>
      <c r="BE151" s="6">
        <f t="shared" si="187"/>
        <v>169.49151287671231</v>
      </c>
      <c r="BF151" s="6">
        <v>27593.6158</v>
      </c>
      <c r="BG151" s="6">
        <f t="shared" si="188"/>
        <v>27593.6158</v>
      </c>
      <c r="BH151" s="6">
        <f t="shared" si="189"/>
        <v>75.598947397260275</v>
      </c>
      <c r="BI151" s="6">
        <v>0</v>
      </c>
      <c r="BJ151" s="6">
        <f t="shared" si="190"/>
        <v>0</v>
      </c>
      <c r="BK151" s="6">
        <f t="shared" si="191"/>
        <v>0</v>
      </c>
      <c r="BL151" s="6">
        <v>0</v>
      </c>
      <c r="BM151" s="6">
        <f t="shared" si="192"/>
        <v>0</v>
      </c>
      <c r="BN151" s="6">
        <f t="shared" si="193"/>
        <v>0</v>
      </c>
      <c r="BO151" s="6">
        <v>0</v>
      </c>
      <c r="BP151" s="6">
        <f t="shared" si="194"/>
        <v>0</v>
      </c>
      <c r="BQ151" s="6">
        <f t="shared" si="195"/>
        <v>0</v>
      </c>
      <c r="BR151" s="6">
        <v>0</v>
      </c>
      <c r="BS151" s="6">
        <f t="shared" si="196"/>
        <v>0</v>
      </c>
      <c r="BT151" s="6">
        <f t="shared" si="197"/>
        <v>0</v>
      </c>
      <c r="BU151" s="6">
        <v>0</v>
      </c>
      <c r="BV151" s="6">
        <f t="shared" si="198"/>
        <v>0</v>
      </c>
      <c r="BW151" s="6">
        <f t="shared" si="199"/>
        <v>0</v>
      </c>
      <c r="BX151" s="6">
        <v>0</v>
      </c>
      <c r="BY151" s="6">
        <f t="shared" si="200"/>
        <v>0</v>
      </c>
      <c r="BZ151" s="6">
        <f t="shared" si="201"/>
        <v>0</v>
      </c>
      <c r="CA151" s="6">
        <v>0</v>
      </c>
      <c r="CB151" s="6">
        <f t="shared" si="202"/>
        <v>0</v>
      </c>
      <c r="CC151" s="6">
        <f t="shared" si="203"/>
        <v>0</v>
      </c>
      <c r="CD151" s="6">
        <v>0</v>
      </c>
      <c r="CE151" s="6">
        <f t="shared" si="204"/>
        <v>0</v>
      </c>
      <c r="CF151" s="6">
        <f t="shared" si="205"/>
        <v>0</v>
      </c>
      <c r="CG151" s="6">
        <v>0</v>
      </c>
      <c r="CH151" s="6">
        <f t="shared" si="206"/>
        <v>0</v>
      </c>
      <c r="CI151" s="6">
        <f t="shared" si="207"/>
        <v>0</v>
      </c>
      <c r="CJ151" s="6">
        <v>0</v>
      </c>
      <c r="CK151" s="6">
        <f t="shared" si="208"/>
        <v>0</v>
      </c>
      <c r="CL151" s="6">
        <f t="shared" si="209"/>
        <v>0</v>
      </c>
      <c r="CM151" s="6">
        <v>0</v>
      </c>
      <c r="CN151" s="6">
        <f t="shared" si="210"/>
        <v>0</v>
      </c>
      <c r="CO151" s="6">
        <f t="shared" si="211"/>
        <v>0</v>
      </c>
      <c r="CP151" s="6">
        <v>0</v>
      </c>
      <c r="CQ151" s="6">
        <f t="shared" si="212"/>
        <v>0</v>
      </c>
      <c r="CR151" s="6">
        <f t="shared" si="213"/>
        <v>0</v>
      </c>
      <c r="CS151" s="6">
        <v>0</v>
      </c>
      <c r="CT151" s="6">
        <f t="shared" si="214"/>
        <v>0</v>
      </c>
      <c r="CU151" s="6">
        <f t="shared" si="215"/>
        <v>0</v>
      </c>
      <c r="CV151" s="6">
        <v>0</v>
      </c>
      <c r="CW151" s="6">
        <f t="shared" si="216"/>
        <v>0</v>
      </c>
      <c r="CX151" s="6">
        <f t="shared" si="217"/>
        <v>0</v>
      </c>
      <c r="CY151" s="6">
        <v>0</v>
      </c>
      <c r="CZ151" s="6">
        <f t="shared" si="218"/>
        <v>0</v>
      </c>
      <c r="DA151" s="6">
        <f t="shared" si="219"/>
        <v>0</v>
      </c>
      <c r="DB151" s="6">
        <v>0</v>
      </c>
      <c r="DC151" s="6">
        <f t="shared" si="220"/>
        <v>0</v>
      </c>
      <c r="DD151" s="6">
        <f t="shared" si="221"/>
        <v>0</v>
      </c>
      <c r="DE151" s="6">
        <v>0</v>
      </c>
      <c r="DF151" s="6">
        <f t="shared" si="222"/>
        <v>0</v>
      </c>
      <c r="DG151" s="6">
        <f t="shared" si="223"/>
        <v>0</v>
      </c>
      <c r="DH151" s="6">
        <v>0</v>
      </c>
      <c r="DI151" s="6">
        <f t="shared" si="224"/>
        <v>0</v>
      </c>
      <c r="DJ151" s="6">
        <f t="shared" si="225"/>
        <v>0</v>
      </c>
      <c r="DK151" s="6">
        <v>0</v>
      </c>
      <c r="DL151" s="6">
        <f t="shared" si="226"/>
        <v>0</v>
      </c>
      <c r="DM151" s="6">
        <f t="shared" si="227"/>
        <v>0</v>
      </c>
      <c r="DN151" s="6">
        <v>0</v>
      </c>
      <c r="DO151" s="6">
        <f t="shared" si="228"/>
        <v>0</v>
      </c>
      <c r="DP151" s="6">
        <f t="shared" si="229"/>
        <v>0</v>
      </c>
    </row>
    <row r="152" spans="1:120" x14ac:dyDescent="0.2">
      <c r="A152" s="21">
        <v>68</v>
      </c>
      <c r="B152" s="21" t="s">
        <v>673</v>
      </c>
      <c r="C152" s="21">
        <v>68081</v>
      </c>
      <c r="D152" s="21" t="s">
        <v>730</v>
      </c>
      <c r="E152" s="21" t="s">
        <v>522</v>
      </c>
      <c r="F152" s="22" t="s">
        <v>666</v>
      </c>
      <c r="G152" s="4" t="s">
        <v>264</v>
      </c>
      <c r="H152" s="6">
        <v>2692035.32</v>
      </c>
      <c r="I152" s="6">
        <f t="shared" si="230"/>
        <v>7375.4392328767117</v>
      </c>
      <c r="J152" s="6">
        <v>2811992.665</v>
      </c>
      <c r="K152" s="6">
        <v>2367496.84</v>
      </c>
      <c r="L152" s="6">
        <f t="shared" si="231"/>
        <v>6468.5706010928961</v>
      </c>
      <c r="M152" s="6">
        <v>2782992.7086999998</v>
      </c>
      <c r="N152" s="6">
        <v>2135162.29</v>
      </c>
      <c r="O152" s="6">
        <f t="shared" si="232"/>
        <v>5849.7596986301369</v>
      </c>
      <c r="P152" s="6">
        <v>2507681.7705999999</v>
      </c>
      <c r="Q152" s="6">
        <v>912056.81</v>
      </c>
      <c r="R152" s="6">
        <f t="shared" si="233"/>
        <v>5038.9879005524863</v>
      </c>
      <c r="S152" s="6">
        <v>2233651.6647999999</v>
      </c>
      <c r="T152" s="6">
        <f t="shared" si="162"/>
        <v>2233651.6647999999</v>
      </c>
      <c r="U152" s="6">
        <f t="shared" si="163"/>
        <v>6119.5936021917805</v>
      </c>
      <c r="V152" s="6">
        <v>1962337.8191</v>
      </c>
      <c r="W152" s="6">
        <f t="shared" si="164"/>
        <v>1962337.8191</v>
      </c>
      <c r="X152" s="6">
        <f t="shared" si="165"/>
        <v>5376.2679975342462</v>
      </c>
      <c r="Y152" s="6">
        <v>1739031.3932</v>
      </c>
      <c r="Z152" s="6">
        <f t="shared" si="166"/>
        <v>1739031.3932</v>
      </c>
      <c r="AA152" s="6">
        <f t="shared" si="167"/>
        <v>4764.469570410959</v>
      </c>
      <c r="AB152" s="6">
        <v>1532031.4602000001</v>
      </c>
      <c r="AC152" s="6">
        <f t="shared" si="168"/>
        <v>1532031.4602000001</v>
      </c>
      <c r="AD152" s="6">
        <f t="shared" si="169"/>
        <v>4197.3464663013701</v>
      </c>
      <c r="AE152" s="6">
        <v>1354544.7720999999</v>
      </c>
      <c r="AF152" s="6">
        <f t="shared" si="170"/>
        <v>1354544.7720999999</v>
      </c>
      <c r="AG152" s="6">
        <f t="shared" si="171"/>
        <v>3711.0815673972602</v>
      </c>
      <c r="AH152" s="6">
        <v>1180158.7</v>
      </c>
      <c r="AI152" s="6">
        <f t="shared" si="172"/>
        <v>1180158.7</v>
      </c>
      <c r="AJ152" s="6">
        <f t="shared" si="173"/>
        <v>3233.3115068493148</v>
      </c>
      <c r="AK152" s="6">
        <v>1042888.5</v>
      </c>
      <c r="AL152" s="6">
        <f t="shared" si="174"/>
        <v>1042888.5</v>
      </c>
      <c r="AM152" s="6">
        <f t="shared" si="175"/>
        <v>2857.2287671232875</v>
      </c>
      <c r="AN152" s="6">
        <v>933707.5</v>
      </c>
      <c r="AO152" s="6">
        <f t="shared" si="176"/>
        <v>933707.5</v>
      </c>
      <c r="AP152" s="6">
        <f t="shared" si="177"/>
        <v>2558.1027397260273</v>
      </c>
      <c r="AQ152" s="6">
        <v>836617.5</v>
      </c>
      <c r="AR152" s="6">
        <f t="shared" si="178"/>
        <v>836617.5</v>
      </c>
      <c r="AS152" s="6">
        <f t="shared" si="179"/>
        <v>2292.1027397260273</v>
      </c>
      <c r="AT152" s="6">
        <v>746629</v>
      </c>
      <c r="AU152" s="6">
        <f t="shared" si="180"/>
        <v>746629</v>
      </c>
      <c r="AV152" s="6">
        <f t="shared" si="181"/>
        <v>2045.5589041095891</v>
      </c>
      <c r="AW152" s="6">
        <v>0</v>
      </c>
      <c r="AX152" s="6">
        <f t="shared" si="182"/>
        <v>0</v>
      </c>
      <c r="AY152" s="6">
        <f t="shared" si="183"/>
        <v>0</v>
      </c>
      <c r="AZ152" s="6">
        <v>0</v>
      </c>
      <c r="BA152" s="6">
        <f t="shared" si="184"/>
        <v>0</v>
      </c>
      <c r="BB152" s="6">
        <f t="shared" si="185"/>
        <v>0</v>
      </c>
      <c r="BC152" s="6">
        <v>0</v>
      </c>
      <c r="BD152" s="6">
        <f t="shared" si="186"/>
        <v>0</v>
      </c>
      <c r="BE152" s="6">
        <f t="shared" si="187"/>
        <v>0</v>
      </c>
      <c r="BF152" s="6">
        <v>0</v>
      </c>
      <c r="BG152" s="6">
        <f t="shared" si="188"/>
        <v>0</v>
      </c>
      <c r="BH152" s="6">
        <f t="shared" si="189"/>
        <v>0</v>
      </c>
      <c r="BI152" s="6">
        <v>0</v>
      </c>
      <c r="BJ152" s="6">
        <f t="shared" si="190"/>
        <v>0</v>
      </c>
      <c r="BK152" s="6">
        <f t="shared" si="191"/>
        <v>0</v>
      </c>
      <c r="BL152" s="6">
        <v>0</v>
      </c>
      <c r="BM152" s="6">
        <f t="shared" si="192"/>
        <v>0</v>
      </c>
      <c r="BN152" s="6">
        <f t="shared" si="193"/>
        <v>0</v>
      </c>
      <c r="BO152" s="6">
        <v>0</v>
      </c>
      <c r="BP152" s="6">
        <f t="shared" si="194"/>
        <v>0</v>
      </c>
      <c r="BQ152" s="6">
        <f t="shared" si="195"/>
        <v>0</v>
      </c>
      <c r="BR152" s="6">
        <v>0</v>
      </c>
      <c r="BS152" s="6">
        <f t="shared" si="196"/>
        <v>0</v>
      </c>
      <c r="BT152" s="6">
        <f t="shared" si="197"/>
        <v>0</v>
      </c>
      <c r="BU152" s="6">
        <v>0</v>
      </c>
      <c r="BV152" s="6">
        <f t="shared" si="198"/>
        <v>0</v>
      </c>
      <c r="BW152" s="6">
        <f t="shared" si="199"/>
        <v>0</v>
      </c>
      <c r="BX152" s="6">
        <v>0</v>
      </c>
      <c r="BY152" s="6">
        <f t="shared" si="200"/>
        <v>0</v>
      </c>
      <c r="BZ152" s="6">
        <f t="shared" si="201"/>
        <v>0</v>
      </c>
      <c r="CA152" s="6">
        <v>0</v>
      </c>
      <c r="CB152" s="6">
        <f t="shared" si="202"/>
        <v>0</v>
      </c>
      <c r="CC152" s="6">
        <f t="shared" si="203"/>
        <v>0</v>
      </c>
      <c r="CD152" s="6">
        <v>0</v>
      </c>
      <c r="CE152" s="6">
        <f t="shared" si="204"/>
        <v>0</v>
      </c>
      <c r="CF152" s="6">
        <f t="shared" si="205"/>
        <v>0</v>
      </c>
      <c r="CG152" s="6">
        <v>0</v>
      </c>
      <c r="CH152" s="6">
        <f t="shared" si="206"/>
        <v>0</v>
      </c>
      <c r="CI152" s="6">
        <f t="shared" si="207"/>
        <v>0</v>
      </c>
      <c r="CJ152" s="6">
        <v>0</v>
      </c>
      <c r="CK152" s="6">
        <f t="shared" si="208"/>
        <v>0</v>
      </c>
      <c r="CL152" s="6">
        <f t="shared" si="209"/>
        <v>0</v>
      </c>
      <c r="CM152" s="6">
        <v>0</v>
      </c>
      <c r="CN152" s="6">
        <f t="shared" si="210"/>
        <v>0</v>
      </c>
      <c r="CO152" s="6">
        <f t="shared" si="211"/>
        <v>0</v>
      </c>
      <c r="CP152" s="6">
        <v>0</v>
      </c>
      <c r="CQ152" s="6">
        <f t="shared" si="212"/>
        <v>0</v>
      </c>
      <c r="CR152" s="6">
        <f t="shared" si="213"/>
        <v>0</v>
      </c>
      <c r="CS152" s="6">
        <v>0</v>
      </c>
      <c r="CT152" s="6">
        <f t="shared" si="214"/>
        <v>0</v>
      </c>
      <c r="CU152" s="6">
        <f t="shared" si="215"/>
        <v>0</v>
      </c>
      <c r="CV152" s="6">
        <v>0</v>
      </c>
      <c r="CW152" s="6">
        <f t="shared" si="216"/>
        <v>0</v>
      </c>
      <c r="CX152" s="6">
        <f t="shared" si="217"/>
        <v>0</v>
      </c>
      <c r="CY152" s="6">
        <v>0</v>
      </c>
      <c r="CZ152" s="6">
        <f t="shared" si="218"/>
        <v>0</v>
      </c>
      <c r="DA152" s="6">
        <f t="shared" si="219"/>
        <v>0</v>
      </c>
      <c r="DB152" s="6">
        <v>0</v>
      </c>
      <c r="DC152" s="6">
        <f t="shared" si="220"/>
        <v>0</v>
      </c>
      <c r="DD152" s="6">
        <f t="shared" si="221"/>
        <v>0</v>
      </c>
      <c r="DE152" s="6">
        <v>0</v>
      </c>
      <c r="DF152" s="6">
        <f t="shared" si="222"/>
        <v>0</v>
      </c>
      <c r="DG152" s="6">
        <f t="shared" si="223"/>
        <v>0</v>
      </c>
      <c r="DH152" s="6">
        <v>0</v>
      </c>
      <c r="DI152" s="6">
        <f t="shared" si="224"/>
        <v>0</v>
      </c>
      <c r="DJ152" s="6">
        <f t="shared" si="225"/>
        <v>0</v>
      </c>
      <c r="DK152" s="6">
        <v>0</v>
      </c>
      <c r="DL152" s="6">
        <f t="shared" si="226"/>
        <v>0</v>
      </c>
      <c r="DM152" s="6">
        <f t="shared" si="227"/>
        <v>0</v>
      </c>
      <c r="DN152" s="6">
        <v>0</v>
      </c>
      <c r="DO152" s="6">
        <f t="shared" si="228"/>
        <v>0</v>
      </c>
      <c r="DP152" s="6">
        <f t="shared" si="229"/>
        <v>0</v>
      </c>
    </row>
    <row r="153" spans="1:120" x14ac:dyDescent="0.2">
      <c r="A153" s="21">
        <v>85</v>
      </c>
      <c r="B153" s="21" t="s">
        <v>612</v>
      </c>
      <c r="C153" s="21">
        <v>85440</v>
      </c>
      <c r="D153" s="21" t="s">
        <v>677</v>
      </c>
      <c r="E153" s="21" t="s">
        <v>562</v>
      </c>
      <c r="F153" s="22" t="s">
        <v>669</v>
      </c>
      <c r="G153" s="4" t="s">
        <v>265</v>
      </c>
      <c r="H153" s="6">
        <v>48320.800000000003</v>
      </c>
      <c r="I153" s="6">
        <f t="shared" si="230"/>
        <v>132.38575342465754</v>
      </c>
      <c r="J153" s="6">
        <v>666402.06059999997</v>
      </c>
      <c r="K153" s="6">
        <v>135236.92000000001</v>
      </c>
      <c r="L153" s="6">
        <f t="shared" si="231"/>
        <v>369.49978142076509</v>
      </c>
      <c r="M153" s="6">
        <v>667892.50219999999</v>
      </c>
      <c r="N153" s="6">
        <v>308936.65999999997</v>
      </c>
      <c r="O153" s="6">
        <f t="shared" si="232"/>
        <v>846.40180821917806</v>
      </c>
      <c r="P153" s="6">
        <v>390898.35700000002</v>
      </c>
      <c r="Q153" s="6">
        <v>111323.21</v>
      </c>
      <c r="R153" s="6">
        <f t="shared" si="233"/>
        <v>615.04535911602215</v>
      </c>
      <c r="S153" s="6">
        <v>226491.9191</v>
      </c>
      <c r="T153" s="6">
        <f t="shared" si="162"/>
        <v>226491.9191</v>
      </c>
      <c r="U153" s="6">
        <f t="shared" si="163"/>
        <v>620.52580575342461</v>
      </c>
      <c r="V153" s="6">
        <v>158646.45209999999</v>
      </c>
      <c r="W153" s="6">
        <f t="shared" si="164"/>
        <v>158646.45209999999</v>
      </c>
      <c r="X153" s="6">
        <f t="shared" si="165"/>
        <v>434.64781397260271</v>
      </c>
      <c r="Y153" s="6">
        <v>91989.876499999998</v>
      </c>
      <c r="Z153" s="6">
        <f t="shared" si="166"/>
        <v>91989.876499999998</v>
      </c>
      <c r="AA153" s="6">
        <f t="shared" si="167"/>
        <v>252.02705890410959</v>
      </c>
      <c r="AB153" s="6">
        <v>77478.771699999998</v>
      </c>
      <c r="AC153" s="6">
        <f t="shared" si="168"/>
        <v>77478.771699999998</v>
      </c>
      <c r="AD153" s="6">
        <f t="shared" si="169"/>
        <v>212.27060739726028</v>
      </c>
      <c r="AE153" s="6">
        <v>67209.267000000007</v>
      </c>
      <c r="AF153" s="6">
        <f t="shared" si="170"/>
        <v>67209.267000000007</v>
      </c>
      <c r="AG153" s="6">
        <f t="shared" si="171"/>
        <v>184.13497808219179</v>
      </c>
      <c r="AH153" s="6">
        <v>59565.158900000002</v>
      </c>
      <c r="AI153" s="6">
        <f t="shared" si="172"/>
        <v>59565.158900000002</v>
      </c>
      <c r="AJ153" s="6">
        <f t="shared" si="173"/>
        <v>163.19221616438358</v>
      </c>
      <c r="AK153" s="6">
        <v>53478.368399999999</v>
      </c>
      <c r="AL153" s="6">
        <f t="shared" si="174"/>
        <v>53478.368399999999</v>
      </c>
      <c r="AM153" s="6">
        <f t="shared" si="175"/>
        <v>146.51607780821917</v>
      </c>
      <c r="AN153" s="6">
        <v>41592.657299999999</v>
      </c>
      <c r="AO153" s="6">
        <f t="shared" si="176"/>
        <v>41592.657299999999</v>
      </c>
      <c r="AP153" s="6">
        <f t="shared" si="177"/>
        <v>113.95248575342465</v>
      </c>
      <c r="AQ153" s="6">
        <v>34868.692600000002</v>
      </c>
      <c r="AR153" s="6">
        <f t="shared" si="178"/>
        <v>34868.692600000002</v>
      </c>
      <c r="AS153" s="6">
        <f t="shared" si="179"/>
        <v>95.530664657534246</v>
      </c>
      <c r="AT153" s="6">
        <v>33464.372799999997</v>
      </c>
      <c r="AU153" s="6">
        <f t="shared" si="180"/>
        <v>33464.372799999997</v>
      </c>
      <c r="AV153" s="6">
        <f t="shared" si="181"/>
        <v>91.683213150684921</v>
      </c>
      <c r="AW153" s="6">
        <v>29059.922900000001</v>
      </c>
      <c r="AX153" s="6">
        <f t="shared" si="182"/>
        <v>29059.922900000001</v>
      </c>
      <c r="AY153" s="6">
        <f t="shared" si="183"/>
        <v>79.616227123287672</v>
      </c>
      <c r="AZ153" s="6">
        <v>27269.9</v>
      </c>
      <c r="BA153" s="6">
        <f t="shared" si="184"/>
        <v>27269.9</v>
      </c>
      <c r="BB153" s="6">
        <f t="shared" si="185"/>
        <v>74.712054794520554</v>
      </c>
      <c r="BC153" s="6">
        <v>16239.3</v>
      </c>
      <c r="BD153" s="6">
        <f t="shared" si="186"/>
        <v>16239.3</v>
      </c>
      <c r="BE153" s="6">
        <f t="shared" si="187"/>
        <v>44.491232876712324</v>
      </c>
      <c r="BF153" s="6">
        <v>14352.6</v>
      </c>
      <c r="BG153" s="6">
        <f t="shared" si="188"/>
        <v>14352.6</v>
      </c>
      <c r="BH153" s="6">
        <f t="shared" si="189"/>
        <v>39.322191780821917</v>
      </c>
      <c r="BI153" s="6">
        <v>0</v>
      </c>
      <c r="BJ153" s="6">
        <f t="shared" si="190"/>
        <v>0</v>
      </c>
      <c r="BK153" s="6">
        <f t="shared" si="191"/>
        <v>0</v>
      </c>
      <c r="BL153" s="6">
        <v>0</v>
      </c>
      <c r="BM153" s="6">
        <f t="shared" si="192"/>
        <v>0</v>
      </c>
      <c r="BN153" s="6">
        <f t="shared" si="193"/>
        <v>0</v>
      </c>
      <c r="BO153" s="6">
        <v>0</v>
      </c>
      <c r="BP153" s="6">
        <f t="shared" si="194"/>
        <v>0</v>
      </c>
      <c r="BQ153" s="6">
        <f t="shared" si="195"/>
        <v>0</v>
      </c>
      <c r="BR153" s="6">
        <v>0</v>
      </c>
      <c r="BS153" s="6">
        <f t="shared" si="196"/>
        <v>0</v>
      </c>
      <c r="BT153" s="6">
        <f t="shared" si="197"/>
        <v>0</v>
      </c>
      <c r="BU153" s="6">
        <v>0</v>
      </c>
      <c r="BV153" s="6">
        <f t="shared" si="198"/>
        <v>0</v>
      </c>
      <c r="BW153" s="6">
        <f t="shared" si="199"/>
        <v>0</v>
      </c>
      <c r="BX153" s="6">
        <v>0</v>
      </c>
      <c r="BY153" s="6">
        <f t="shared" si="200"/>
        <v>0</v>
      </c>
      <c r="BZ153" s="6">
        <f t="shared" si="201"/>
        <v>0</v>
      </c>
      <c r="CA153" s="6">
        <v>0</v>
      </c>
      <c r="CB153" s="6">
        <f t="shared" si="202"/>
        <v>0</v>
      </c>
      <c r="CC153" s="6">
        <f t="shared" si="203"/>
        <v>0</v>
      </c>
      <c r="CD153" s="6">
        <v>0</v>
      </c>
      <c r="CE153" s="6">
        <f t="shared" si="204"/>
        <v>0</v>
      </c>
      <c r="CF153" s="6">
        <f t="shared" si="205"/>
        <v>0</v>
      </c>
      <c r="CG153" s="6">
        <v>0</v>
      </c>
      <c r="CH153" s="6">
        <f t="shared" si="206"/>
        <v>0</v>
      </c>
      <c r="CI153" s="6">
        <f t="shared" si="207"/>
        <v>0</v>
      </c>
      <c r="CJ153" s="6">
        <v>0</v>
      </c>
      <c r="CK153" s="6">
        <f t="shared" si="208"/>
        <v>0</v>
      </c>
      <c r="CL153" s="6">
        <f t="shared" si="209"/>
        <v>0</v>
      </c>
      <c r="CM153" s="6">
        <v>0</v>
      </c>
      <c r="CN153" s="6">
        <f t="shared" si="210"/>
        <v>0</v>
      </c>
      <c r="CO153" s="6">
        <f t="shared" si="211"/>
        <v>0</v>
      </c>
      <c r="CP153" s="6">
        <v>0</v>
      </c>
      <c r="CQ153" s="6">
        <f t="shared" si="212"/>
        <v>0</v>
      </c>
      <c r="CR153" s="6">
        <f t="shared" si="213"/>
        <v>0</v>
      </c>
      <c r="CS153" s="6">
        <v>0</v>
      </c>
      <c r="CT153" s="6">
        <f t="shared" si="214"/>
        <v>0</v>
      </c>
      <c r="CU153" s="6">
        <f t="shared" si="215"/>
        <v>0</v>
      </c>
      <c r="CV153" s="6">
        <v>0</v>
      </c>
      <c r="CW153" s="6">
        <f t="shared" si="216"/>
        <v>0</v>
      </c>
      <c r="CX153" s="6">
        <f t="shared" si="217"/>
        <v>0</v>
      </c>
      <c r="CY153" s="6">
        <v>0</v>
      </c>
      <c r="CZ153" s="6">
        <f t="shared" si="218"/>
        <v>0</v>
      </c>
      <c r="DA153" s="6">
        <f t="shared" si="219"/>
        <v>0</v>
      </c>
      <c r="DB153" s="6">
        <v>0</v>
      </c>
      <c r="DC153" s="6">
        <f t="shared" si="220"/>
        <v>0</v>
      </c>
      <c r="DD153" s="6">
        <f t="shared" si="221"/>
        <v>0</v>
      </c>
      <c r="DE153" s="6">
        <v>0</v>
      </c>
      <c r="DF153" s="6">
        <f t="shared" si="222"/>
        <v>0</v>
      </c>
      <c r="DG153" s="6">
        <f t="shared" si="223"/>
        <v>0</v>
      </c>
      <c r="DH153" s="6">
        <v>0</v>
      </c>
      <c r="DI153" s="6">
        <f t="shared" si="224"/>
        <v>0</v>
      </c>
      <c r="DJ153" s="6">
        <f t="shared" si="225"/>
        <v>0</v>
      </c>
      <c r="DK153" s="6">
        <v>0</v>
      </c>
      <c r="DL153" s="6">
        <f t="shared" si="226"/>
        <v>0</v>
      </c>
      <c r="DM153" s="6">
        <f t="shared" si="227"/>
        <v>0</v>
      </c>
      <c r="DN153" s="6">
        <v>0</v>
      </c>
      <c r="DO153" s="6">
        <f t="shared" si="228"/>
        <v>0</v>
      </c>
      <c r="DP153" s="6">
        <f t="shared" si="229"/>
        <v>0</v>
      </c>
    </row>
    <row r="154" spans="1:120" x14ac:dyDescent="0.2">
      <c r="A154" s="21">
        <v>85</v>
      </c>
      <c r="B154" s="21" t="s">
        <v>612</v>
      </c>
      <c r="C154" s="21">
        <v>85440</v>
      </c>
      <c r="D154" s="21" t="s">
        <v>677</v>
      </c>
      <c r="E154" s="21" t="s">
        <v>562</v>
      </c>
      <c r="F154" s="22" t="s">
        <v>669</v>
      </c>
      <c r="G154" s="4" t="s">
        <v>266</v>
      </c>
      <c r="H154" s="6">
        <v>9801974.1600000001</v>
      </c>
      <c r="I154" s="6">
        <f t="shared" si="230"/>
        <v>26854.723726027398</v>
      </c>
      <c r="J154" s="6">
        <v>8357674.0859000003</v>
      </c>
      <c r="K154" s="6">
        <v>7853948.9800000004</v>
      </c>
      <c r="L154" s="6">
        <f t="shared" si="231"/>
        <v>21458.87699453552</v>
      </c>
      <c r="M154" s="6">
        <v>7050481.1814000001</v>
      </c>
      <c r="N154" s="6">
        <v>6881407.6399999997</v>
      </c>
      <c r="O154" s="6">
        <f t="shared" si="232"/>
        <v>18853.171616438354</v>
      </c>
      <c r="P154" s="6">
        <v>5255479.4175000004</v>
      </c>
      <c r="Q154" s="6">
        <v>3118329.81</v>
      </c>
      <c r="R154" s="6">
        <f t="shared" si="233"/>
        <v>17228.341491712708</v>
      </c>
      <c r="S154" s="6">
        <v>4112883.5696</v>
      </c>
      <c r="T154" s="6">
        <f t="shared" si="162"/>
        <v>4112883.5696</v>
      </c>
      <c r="U154" s="6">
        <f t="shared" si="163"/>
        <v>11268.174163287671</v>
      </c>
      <c r="V154" s="6">
        <v>3372947.1159999999</v>
      </c>
      <c r="W154" s="6">
        <f t="shared" si="164"/>
        <v>3372947.1159999999</v>
      </c>
      <c r="X154" s="6">
        <f t="shared" si="165"/>
        <v>9240.9510027397264</v>
      </c>
      <c r="Y154" s="6">
        <v>2802731.5290999999</v>
      </c>
      <c r="Z154" s="6">
        <f t="shared" si="166"/>
        <v>2802731.5290999999</v>
      </c>
      <c r="AA154" s="6">
        <f t="shared" si="167"/>
        <v>7678.7165180821912</v>
      </c>
      <c r="AB154" s="6">
        <v>2298909.5332999998</v>
      </c>
      <c r="AC154" s="6">
        <f t="shared" si="168"/>
        <v>2298909.5332999998</v>
      </c>
      <c r="AD154" s="6">
        <f t="shared" si="169"/>
        <v>6298.3822830136978</v>
      </c>
      <c r="AE154" s="6">
        <v>2023807.0064000001</v>
      </c>
      <c r="AF154" s="6">
        <f t="shared" si="170"/>
        <v>2023807.0064000001</v>
      </c>
      <c r="AG154" s="6">
        <f t="shared" si="171"/>
        <v>5544.6767298630139</v>
      </c>
      <c r="AH154" s="6">
        <v>1759721.0142999999</v>
      </c>
      <c r="AI154" s="6">
        <f t="shared" si="172"/>
        <v>1759721.0142999999</v>
      </c>
      <c r="AJ154" s="6">
        <f t="shared" si="173"/>
        <v>4821.1534638356161</v>
      </c>
      <c r="AK154" s="6">
        <v>1516617.9641</v>
      </c>
      <c r="AL154" s="6">
        <f t="shared" si="174"/>
        <v>1516617.9641</v>
      </c>
      <c r="AM154" s="6">
        <f t="shared" si="175"/>
        <v>4155.1177098630133</v>
      </c>
      <c r="AN154" s="6">
        <v>1340899.3725000001</v>
      </c>
      <c r="AO154" s="6">
        <f t="shared" si="176"/>
        <v>1340899.3725000001</v>
      </c>
      <c r="AP154" s="6">
        <f t="shared" si="177"/>
        <v>3673.6969109589045</v>
      </c>
      <c r="AQ154" s="6">
        <v>1171489.2169000001</v>
      </c>
      <c r="AR154" s="6">
        <f t="shared" si="178"/>
        <v>1171489.2169000001</v>
      </c>
      <c r="AS154" s="6">
        <f t="shared" si="179"/>
        <v>3209.5594983561646</v>
      </c>
      <c r="AT154" s="6">
        <v>1012317.2193999999</v>
      </c>
      <c r="AU154" s="6">
        <f t="shared" si="180"/>
        <v>1012317.2193999999</v>
      </c>
      <c r="AV154" s="6">
        <f t="shared" si="181"/>
        <v>2773.4718339726028</v>
      </c>
      <c r="AW154" s="6">
        <v>926844.36679999996</v>
      </c>
      <c r="AX154" s="6">
        <f t="shared" si="182"/>
        <v>926844.36679999996</v>
      </c>
      <c r="AY154" s="6">
        <f t="shared" si="183"/>
        <v>2539.299635068493</v>
      </c>
      <c r="AZ154" s="6">
        <v>840446.12120000005</v>
      </c>
      <c r="BA154" s="6">
        <f t="shared" si="184"/>
        <v>840446.12120000005</v>
      </c>
      <c r="BB154" s="6">
        <f t="shared" si="185"/>
        <v>2302.5921128767127</v>
      </c>
      <c r="BC154" s="6">
        <v>774634.43350000004</v>
      </c>
      <c r="BD154" s="6">
        <f t="shared" si="186"/>
        <v>774634.43350000004</v>
      </c>
      <c r="BE154" s="6">
        <f t="shared" si="187"/>
        <v>2122.2861191780821</v>
      </c>
      <c r="BF154" s="6">
        <v>714550.58219999995</v>
      </c>
      <c r="BG154" s="6">
        <f t="shared" si="188"/>
        <v>714550.58219999995</v>
      </c>
      <c r="BH154" s="6">
        <f t="shared" si="189"/>
        <v>1957.6728279452054</v>
      </c>
      <c r="BI154" s="6">
        <v>0</v>
      </c>
      <c r="BJ154" s="6">
        <f t="shared" si="190"/>
        <v>0</v>
      </c>
      <c r="BK154" s="6">
        <f t="shared" si="191"/>
        <v>0</v>
      </c>
      <c r="BL154" s="6">
        <v>0</v>
      </c>
      <c r="BM154" s="6">
        <f t="shared" si="192"/>
        <v>0</v>
      </c>
      <c r="BN154" s="6">
        <f t="shared" si="193"/>
        <v>0</v>
      </c>
      <c r="BO154" s="6">
        <v>0</v>
      </c>
      <c r="BP154" s="6">
        <f t="shared" si="194"/>
        <v>0</v>
      </c>
      <c r="BQ154" s="6">
        <f t="shared" si="195"/>
        <v>0</v>
      </c>
      <c r="BR154" s="6">
        <v>0</v>
      </c>
      <c r="BS154" s="6">
        <f t="shared" si="196"/>
        <v>0</v>
      </c>
      <c r="BT154" s="6">
        <f t="shared" si="197"/>
        <v>0</v>
      </c>
      <c r="BU154" s="6">
        <v>0</v>
      </c>
      <c r="BV154" s="6">
        <f t="shared" si="198"/>
        <v>0</v>
      </c>
      <c r="BW154" s="6">
        <f t="shared" si="199"/>
        <v>0</v>
      </c>
      <c r="BX154" s="6">
        <v>0</v>
      </c>
      <c r="BY154" s="6">
        <f t="shared" si="200"/>
        <v>0</v>
      </c>
      <c r="BZ154" s="6">
        <f t="shared" si="201"/>
        <v>0</v>
      </c>
      <c r="CA154" s="6">
        <v>0</v>
      </c>
      <c r="CB154" s="6">
        <f t="shared" si="202"/>
        <v>0</v>
      </c>
      <c r="CC154" s="6">
        <f t="shared" si="203"/>
        <v>0</v>
      </c>
      <c r="CD154" s="6">
        <v>0</v>
      </c>
      <c r="CE154" s="6">
        <f t="shared" si="204"/>
        <v>0</v>
      </c>
      <c r="CF154" s="6">
        <f t="shared" si="205"/>
        <v>0</v>
      </c>
      <c r="CG154" s="6">
        <v>0</v>
      </c>
      <c r="CH154" s="6">
        <f t="shared" si="206"/>
        <v>0</v>
      </c>
      <c r="CI154" s="6">
        <f t="shared" si="207"/>
        <v>0</v>
      </c>
      <c r="CJ154" s="6">
        <v>0</v>
      </c>
      <c r="CK154" s="6">
        <f t="shared" si="208"/>
        <v>0</v>
      </c>
      <c r="CL154" s="6">
        <f t="shared" si="209"/>
        <v>0</v>
      </c>
      <c r="CM154" s="6">
        <v>0</v>
      </c>
      <c r="CN154" s="6">
        <f t="shared" si="210"/>
        <v>0</v>
      </c>
      <c r="CO154" s="6">
        <f t="shared" si="211"/>
        <v>0</v>
      </c>
      <c r="CP154" s="6">
        <v>0</v>
      </c>
      <c r="CQ154" s="6">
        <f t="shared" si="212"/>
        <v>0</v>
      </c>
      <c r="CR154" s="6">
        <f t="shared" si="213"/>
        <v>0</v>
      </c>
      <c r="CS154" s="6">
        <v>0</v>
      </c>
      <c r="CT154" s="6">
        <f t="shared" si="214"/>
        <v>0</v>
      </c>
      <c r="CU154" s="6">
        <f t="shared" si="215"/>
        <v>0</v>
      </c>
      <c r="CV154" s="6">
        <v>0</v>
      </c>
      <c r="CW154" s="6">
        <f t="shared" si="216"/>
        <v>0</v>
      </c>
      <c r="CX154" s="6">
        <f t="shared" si="217"/>
        <v>0</v>
      </c>
      <c r="CY154" s="6">
        <v>0</v>
      </c>
      <c r="CZ154" s="6">
        <f t="shared" si="218"/>
        <v>0</v>
      </c>
      <c r="DA154" s="6">
        <f t="shared" si="219"/>
        <v>0</v>
      </c>
      <c r="DB154" s="6">
        <v>0</v>
      </c>
      <c r="DC154" s="6">
        <f t="shared" si="220"/>
        <v>0</v>
      </c>
      <c r="DD154" s="6">
        <f t="shared" si="221"/>
        <v>0</v>
      </c>
      <c r="DE154" s="6">
        <v>0</v>
      </c>
      <c r="DF154" s="6">
        <f t="shared" si="222"/>
        <v>0</v>
      </c>
      <c r="DG154" s="6">
        <f t="shared" si="223"/>
        <v>0</v>
      </c>
      <c r="DH154" s="6">
        <v>0</v>
      </c>
      <c r="DI154" s="6">
        <f t="shared" si="224"/>
        <v>0</v>
      </c>
      <c r="DJ154" s="6">
        <f t="shared" si="225"/>
        <v>0</v>
      </c>
      <c r="DK154" s="6">
        <v>0</v>
      </c>
      <c r="DL154" s="6">
        <f t="shared" si="226"/>
        <v>0</v>
      </c>
      <c r="DM154" s="6">
        <f t="shared" si="227"/>
        <v>0</v>
      </c>
      <c r="DN154" s="6">
        <v>0</v>
      </c>
      <c r="DO154" s="6">
        <f t="shared" si="228"/>
        <v>0</v>
      </c>
      <c r="DP154" s="6">
        <f t="shared" si="229"/>
        <v>0</v>
      </c>
    </row>
    <row r="155" spans="1:120" x14ac:dyDescent="0.2">
      <c r="A155" s="21">
        <v>15</v>
      </c>
      <c r="B155" s="21" t="s">
        <v>660</v>
      </c>
      <c r="C155" s="21">
        <v>15572</v>
      </c>
      <c r="D155" s="21" t="s">
        <v>661</v>
      </c>
      <c r="E155" s="21" t="s">
        <v>522</v>
      </c>
      <c r="F155" s="22" t="s">
        <v>662</v>
      </c>
      <c r="G155" s="4" t="s">
        <v>267</v>
      </c>
      <c r="H155" s="6">
        <v>1039965.78</v>
      </c>
      <c r="I155" s="6">
        <f t="shared" si="230"/>
        <v>2849.2213150684934</v>
      </c>
      <c r="J155" s="6">
        <v>947623</v>
      </c>
      <c r="K155" s="6">
        <v>1018632.82</v>
      </c>
      <c r="L155" s="6">
        <f t="shared" si="231"/>
        <v>2783.1497814207651</v>
      </c>
      <c r="M155" s="6">
        <v>803219</v>
      </c>
      <c r="N155" s="6">
        <v>631598.61</v>
      </c>
      <c r="O155" s="6">
        <f t="shared" si="232"/>
        <v>1730.4071506849314</v>
      </c>
      <c r="P155" s="6">
        <v>675352</v>
      </c>
      <c r="Q155" s="6"/>
      <c r="R155" s="6"/>
      <c r="S155" s="6">
        <v>560403</v>
      </c>
      <c r="T155" s="6">
        <f t="shared" si="162"/>
        <v>560403</v>
      </c>
      <c r="U155" s="6">
        <f t="shared" si="163"/>
        <v>1535.3506849315067</v>
      </c>
      <c r="V155" s="6">
        <v>460580</v>
      </c>
      <c r="W155" s="6">
        <f t="shared" si="164"/>
        <v>460580</v>
      </c>
      <c r="X155" s="6">
        <f t="shared" si="165"/>
        <v>1261.8630136986301</v>
      </c>
      <c r="Y155" s="6">
        <v>372563</v>
      </c>
      <c r="Z155" s="6">
        <f t="shared" si="166"/>
        <v>372563</v>
      </c>
      <c r="AA155" s="6">
        <f t="shared" si="167"/>
        <v>1020.7205479452055</v>
      </c>
      <c r="AB155" s="6">
        <v>0</v>
      </c>
      <c r="AC155" s="6">
        <f t="shared" si="168"/>
        <v>0</v>
      </c>
      <c r="AD155" s="6">
        <f t="shared" si="169"/>
        <v>0</v>
      </c>
      <c r="AE155" s="6">
        <v>0</v>
      </c>
      <c r="AF155" s="6">
        <f t="shared" si="170"/>
        <v>0</v>
      </c>
      <c r="AG155" s="6">
        <f t="shared" si="171"/>
        <v>0</v>
      </c>
      <c r="AH155" s="6">
        <v>0</v>
      </c>
      <c r="AI155" s="6">
        <f t="shared" si="172"/>
        <v>0</v>
      </c>
      <c r="AJ155" s="6">
        <f t="shared" si="173"/>
        <v>0</v>
      </c>
      <c r="AK155" s="6">
        <v>0</v>
      </c>
      <c r="AL155" s="6">
        <f t="shared" si="174"/>
        <v>0</v>
      </c>
      <c r="AM155" s="6">
        <f t="shared" si="175"/>
        <v>0</v>
      </c>
      <c r="AN155" s="6">
        <v>0</v>
      </c>
      <c r="AO155" s="6">
        <f t="shared" si="176"/>
        <v>0</v>
      </c>
      <c r="AP155" s="6">
        <f t="shared" si="177"/>
        <v>0</v>
      </c>
      <c r="AQ155" s="6">
        <v>0</v>
      </c>
      <c r="AR155" s="6">
        <f t="shared" si="178"/>
        <v>0</v>
      </c>
      <c r="AS155" s="6">
        <f t="shared" si="179"/>
        <v>0</v>
      </c>
      <c r="AT155" s="6">
        <v>0</v>
      </c>
      <c r="AU155" s="6">
        <f t="shared" si="180"/>
        <v>0</v>
      </c>
      <c r="AV155" s="6">
        <f t="shared" si="181"/>
        <v>0</v>
      </c>
      <c r="AW155" s="6">
        <v>0</v>
      </c>
      <c r="AX155" s="6">
        <f t="shared" si="182"/>
        <v>0</v>
      </c>
      <c r="AY155" s="6">
        <f t="shared" si="183"/>
        <v>0</v>
      </c>
      <c r="AZ155" s="6">
        <v>0</v>
      </c>
      <c r="BA155" s="6">
        <f t="shared" si="184"/>
        <v>0</v>
      </c>
      <c r="BB155" s="6">
        <f t="shared" si="185"/>
        <v>0</v>
      </c>
      <c r="BC155" s="6">
        <v>0</v>
      </c>
      <c r="BD155" s="6">
        <f t="shared" si="186"/>
        <v>0</v>
      </c>
      <c r="BE155" s="6">
        <f t="shared" si="187"/>
        <v>0</v>
      </c>
      <c r="BF155" s="6">
        <v>0</v>
      </c>
      <c r="BG155" s="6">
        <f t="shared" si="188"/>
        <v>0</v>
      </c>
      <c r="BH155" s="6">
        <f t="shared" si="189"/>
        <v>0</v>
      </c>
      <c r="BI155" s="6">
        <v>0</v>
      </c>
      <c r="BJ155" s="6">
        <f t="shared" si="190"/>
        <v>0</v>
      </c>
      <c r="BK155" s="6">
        <f t="shared" si="191"/>
        <v>0</v>
      </c>
      <c r="BL155" s="6">
        <v>0</v>
      </c>
      <c r="BM155" s="6">
        <f t="shared" si="192"/>
        <v>0</v>
      </c>
      <c r="BN155" s="6">
        <f t="shared" si="193"/>
        <v>0</v>
      </c>
      <c r="BO155" s="6">
        <v>0</v>
      </c>
      <c r="BP155" s="6">
        <f t="shared" si="194"/>
        <v>0</v>
      </c>
      <c r="BQ155" s="6">
        <f t="shared" si="195"/>
        <v>0</v>
      </c>
      <c r="BR155" s="6">
        <v>0</v>
      </c>
      <c r="BS155" s="6">
        <f t="shared" si="196"/>
        <v>0</v>
      </c>
      <c r="BT155" s="6">
        <f t="shared" si="197"/>
        <v>0</v>
      </c>
      <c r="BU155" s="6">
        <v>0</v>
      </c>
      <c r="BV155" s="6">
        <f t="shared" si="198"/>
        <v>0</v>
      </c>
      <c r="BW155" s="6">
        <f t="shared" si="199"/>
        <v>0</v>
      </c>
      <c r="BX155" s="6">
        <v>0</v>
      </c>
      <c r="BY155" s="6">
        <f t="shared" si="200"/>
        <v>0</v>
      </c>
      <c r="BZ155" s="6">
        <f t="shared" si="201"/>
        <v>0</v>
      </c>
      <c r="CA155" s="6">
        <v>0</v>
      </c>
      <c r="CB155" s="6">
        <f t="shared" si="202"/>
        <v>0</v>
      </c>
      <c r="CC155" s="6">
        <f t="shared" si="203"/>
        <v>0</v>
      </c>
      <c r="CD155" s="6">
        <v>0</v>
      </c>
      <c r="CE155" s="6">
        <f t="shared" si="204"/>
        <v>0</v>
      </c>
      <c r="CF155" s="6">
        <f t="shared" si="205"/>
        <v>0</v>
      </c>
      <c r="CG155" s="6">
        <v>0</v>
      </c>
      <c r="CH155" s="6">
        <f t="shared" si="206"/>
        <v>0</v>
      </c>
      <c r="CI155" s="6">
        <f t="shared" si="207"/>
        <v>0</v>
      </c>
      <c r="CJ155" s="6">
        <v>0</v>
      </c>
      <c r="CK155" s="6">
        <f t="shared" si="208"/>
        <v>0</v>
      </c>
      <c r="CL155" s="6">
        <f t="shared" si="209"/>
        <v>0</v>
      </c>
      <c r="CM155" s="6">
        <v>0</v>
      </c>
      <c r="CN155" s="6">
        <f t="shared" si="210"/>
        <v>0</v>
      </c>
      <c r="CO155" s="6">
        <f t="shared" si="211"/>
        <v>0</v>
      </c>
      <c r="CP155" s="6">
        <v>0</v>
      </c>
      <c r="CQ155" s="6">
        <f t="shared" si="212"/>
        <v>0</v>
      </c>
      <c r="CR155" s="6">
        <f t="shared" si="213"/>
        <v>0</v>
      </c>
      <c r="CS155" s="6">
        <v>0</v>
      </c>
      <c r="CT155" s="6">
        <f t="shared" si="214"/>
        <v>0</v>
      </c>
      <c r="CU155" s="6">
        <f t="shared" si="215"/>
        <v>0</v>
      </c>
      <c r="CV155" s="6">
        <v>0</v>
      </c>
      <c r="CW155" s="6">
        <f t="shared" si="216"/>
        <v>0</v>
      </c>
      <c r="CX155" s="6">
        <f t="shared" si="217"/>
        <v>0</v>
      </c>
      <c r="CY155" s="6">
        <v>0</v>
      </c>
      <c r="CZ155" s="6">
        <f t="shared" si="218"/>
        <v>0</v>
      </c>
      <c r="DA155" s="6">
        <f t="shared" si="219"/>
        <v>0</v>
      </c>
      <c r="DB155" s="6">
        <v>0</v>
      </c>
      <c r="DC155" s="6">
        <f t="shared" si="220"/>
        <v>0</v>
      </c>
      <c r="DD155" s="6">
        <f t="shared" si="221"/>
        <v>0</v>
      </c>
      <c r="DE155" s="6">
        <v>0</v>
      </c>
      <c r="DF155" s="6">
        <f t="shared" si="222"/>
        <v>0</v>
      </c>
      <c r="DG155" s="6">
        <f t="shared" si="223"/>
        <v>0</v>
      </c>
      <c r="DH155" s="6">
        <v>0</v>
      </c>
      <c r="DI155" s="6">
        <f t="shared" si="224"/>
        <v>0</v>
      </c>
      <c r="DJ155" s="6">
        <f t="shared" si="225"/>
        <v>0</v>
      </c>
      <c r="DK155" s="6">
        <v>0</v>
      </c>
      <c r="DL155" s="6">
        <f t="shared" si="226"/>
        <v>0</v>
      </c>
      <c r="DM155" s="6">
        <f t="shared" si="227"/>
        <v>0</v>
      </c>
      <c r="DN155" s="6">
        <v>0</v>
      </c>
      <c r="DO155" s="6">
        <f t="shared" si="228"/>
        <v>0</v>
      </c>
      <c r="DP155" s="6">
        <f t="shared" si="229"/>
        <v>0</v>
      </c>
    </row>
    <row r="156" spans="1:120" x14ac:dyDescent="0.2">
      <c r="A156" s="21">
        <v>81</v>
      </c>
      <c r="B156" s="21" t="s">
        <v>132</v>
      </c>
      <c r="C156" s="21">
        <v>81065</v>
      </c>
      <c r="D156" s="21" t="s">
        <v>682</v>
      </c>
      <c r="E156" s="21" t="s">
        <v>683</v>
      </c>
      <c r="F156" s="22" t="s">
        <v>662</v>
      </c>
      <c r="G156" s="4" t="s">
        <v>268</v>
      </c>
      <c r="H156" s="6">
        <v>36718.29</v>
      </c>
      <c r="I156" s="6">
        <f t="shared" si="230"/>
        <v>100.59805479452055</v>
      </c>
      <c r="J156" s="6">
        <v>41471.744599999998</v>
      </c>
      <c r="K156" s="6">
        <v>36961.86</v>
      </c>
      <c r="L156" s="6">
        <f t="shared" si="231"/>
        <v>100.98868852459016</v>
      </c>
      <c r="M156" s="6">
        <v>41794.576300000001</v>
      </c>
      <c r="N156" s="6">
        <v>15417.97</v>
      </c>
      <c r="O156" s="6">
        <f t="shared" si="232"/>
        <v>42.241013698630134</v>
      </c>
      <c r="P156" s="6">
        <v>29140</v>
      </c>
      <c r="Q156" s="6">
        <v>12721.05</v>
      </c>
      <c r="R156" s="6">
        <f>Q156/181</f>
        <v>70.282044198895022</v>
      </c>
      <c r="S156" s="6">
        <v>23257</v>
      </c>
      <c r="T156" s="6">
        <f t="shared" si="162"/>
        <v>23257</v>
      </c>
      <c r="U156" s="6">
        <f t="shared" si="163"/>
        <v>63.717808219178082</v>
      </c>
      <c r="V156" s="6">
        <v>1644</v>
      </c>
      <c r="W156" s="6">
        <f t="shared" si="164"/>
        <v>1644</v>
      </c>
      <c r="X156" s="6">
        <f t="shared" si="165"/>
        <v>4.5041095890410956</v>
      </c>
      <c r="Y156" s="6">
        <v>0</v>
      </c>
      <c r="Z156" s="6">
        <f t="shared" si="166"/>
        <v>0</v>
      </c>
      <c r="AA156" s="6">
        <f t="shared" si="167"/>
        <v>0</v>
      </c>
      <c r="AB156" s="6">
        <v>0</v>
      </c>
      <c r="AC156" s="6">
        <f t="shared" si="168"/>
        <v>0</v>
      </c>
      <c r="AD156" s="6">
        <f t="shared" si="169"/>
        <v>0</v>
      </c>
      <c r="AE156" s="6">
        <v>0</v>
      </c>
      <c r="AF156" s="6">
        <f t="shared" si="170"/>
        <v>0</v>
      </c>
      <c r="AG156" s="6">
        <f t="shared" si="171"/>
        <v>0</v>
      </c>
      <c r="AH156" s="6">
        <v>0</v>
      </c>
      <c r="AI156" s="6">
        <f t="shared" si="172"/>
        <v>0</v>
      </c>
      <c r="AJ156" s="6">
        <f t="shared" si="173"/>
        <v>0</v>
      </c>
      <c r="AK156" s="6">
        <v>0</v>
      </c>
      <c r="AL156" s="6">
        <f t="shared" si="174"/>
        <v>0</v>
      </c>
      <c r="AM156" s="6">
        <f t="shared" si="175"/>
        <v>0</v>
      </c>
      <c r="AN156" s="6">
        <v>0</v>
      </c>
      <c r="AO156" s="6">
        <f t="shared" si="176"/>
        <v>0</v>
      </c>
      <c r="AP156" s="6">
        <f t="shared" si="177"/>
        <v>0</v>
      </c>
      <c r="AQ156" s="6">
        <v>0</v>
      </c>
      <c r="AR156" s="6">
        <f t="shared" si="178"/>
        <v>0</v>
      </c>
      <c r="AS156" s="6">
        <f t="shared" si="179"/>
        <v>0</v>
      </c>
      <c r="AT156" s="6">
        <v>0</v>
      </c>
      <c r="AU156" s="6">
        <f t="shared" si="180"/>
        <v>0</v>
      </c>
      <c r="AV156" s="6">
        <f t="shared" si="181"/>
        <v>0</v>
      </c>
      <c r="AW156" s="6">
        <v>0</v>
      </c>
      <c r="AX156" s="6">
        <f t="shared" si="182"/>
        <v>0</v>
      </c>
      <c r="AY156" s="6">
        <f t="shared" si="183"/>
        <v>0</v>
      </c>
      <c r="AZ156" s="6">
        <v>0</v>
      </c>
      <c r="BA156" s="6">
        <f t="shared" si="184"/>
        <v>0</v>
      </c>
      <c r="BB156" s="6">
        <f t="shared" si="185"/>
        <v>0</v>
      </c>
      <c r="BC156" s="6">
        <v>0</v>
      </c>
      <c r="BD156" s="6">
        <f t="shared" si="186"/>
        <v>0</v>
      </c>
      <c r="BE156" s="6">
        <f t="shared" si="187"/>
        <v>0</v>
      </c>
      <c r="BF156" s="6">
        <v>0</v>
      </c>
      <c r="BG156" s="6">
        <f t="shared" si="188"/>
        <v>0</v>
      </c>
      <c r="BH156" s="6">
        <f t="shared" si="189"/>
        <v>0</v>
      </c>
      <c r="BI156" s="6">
        <v>0</v>
      </c>
      <c r="BJ156" s="6">
        <f t="shared" si="190"/>
        <v>0</v>
      </c>
      <c r="BK156" s="6">
        <f t="shared" si="191"/>
        <v>0</v>
      </c>
      <c r="BL156" s="6">
        <v>0</v>
      </c>
      <c r="BM156" s="6">
        <f t="shared" si="192"/>
        <v>0</v>
      </c>
      <c r="BN156" s="6">
        <f t="shared" si="193"/>
        <v>0</v>
      </c>
      <c r="BO156" s="6">
        <v>0</v>
      </c>
      <c r="BP156" s="6">
        <f t="shared" si="194"/>
        <v>0</v>
      </c>
      <c r="BQ156" s="6">
        <f t="shared" si="195"/>
        <v>0</v>
      </c>
      <c r="BR156" s="6">
        <v>0</v>
      </c>
      <c r="BS156" s="6">
        <f t="shared" si="196"/>
        <v>0</v>
      </c>
      <c r="BT156" s="6">
        <f t="shared" si="197"/>
        <v>0</v>
      </c>
      <c r="BU156" s="6">
        <v>0</v>
      </c>
      <c r="BV156" s="6">
        <f t="shared" si="198"/>
        <v>0</v>
      </c>
      <c r="BW156" s="6">
        <f t="shared" si="199"/>
        <v>0</v>
      </c>
      <c r="BX156" s="6">
        <v>0</v>
      </c>
      <c r="BY156" s="6">
        <f t="shared" si="200"/>
        <v>0</v>
      </c>
      <c r="BZ156" s="6">
        <f t="shared" si="201"/>
        <v>0</v>
      </c>
      <c r="CA156" s="6">
        <v>0</v>
      </c>
      <c r="CB156" s="6">
        <f t="shared" si="202"/>
        <v>0</v>
      </c>
      <c r="CC156" s="6">
        <f t="shared" si="203"/>
        <v>0</v>
      </c>
      <c r="CD156" s="6">
        <v>0</v>
      </c>
      <c r="CE156" s="6">
        <f t="shared" si="204"/>
        <v>0</v>
      </c>
      <c r="CF156" s="6">
        <f t="shared" si="205"/>
        <v>0</v>
      </c>
      <c r="CG156" s="6">
        <v>0</v>
      </c>
      <c r="CH156" s="6">
        <f t="shared" si="206"/>
        <v>0</v>
      </c>
      <c r="CI156" s="6">
        <f t="shared" si="207"/>
        <v>0</v>
      </c>
      <c r="CJ156" s="6">
        <v>0</v>
      </c>
      <c r="CK156" s="6">
        <f t="shared" si="208"/>
        <v>0</v>
      </c>
      <c r="CL156" s="6">
        <f t="shared" si="209"/>
        <v>0</v>
      </c>
      <c r="CM156" s="6">
        <v>0</v>
      </c>
      <c r="CN156" s="6">
        <f t="shared" si="210"/>
        <v>0</v>
      </c>
      <c r="CO156" s="6">
        <f t="shared" si="211"/>
        <v>0</v>
      </c>
      <c r="CP156" s="6">
        <v>0</v>
      </c>
      <c r="CQ156" s="6">
        <f t="shared" si="212"/>
        <v>0</v>
      </c>
      <c r="CR156" s="6">
        <f t="shared" si="213"/>
        <v>0</v>
      </c>
      <c r="CS156" s="6">
        <v>0</v>
      </c>
      <c r="CT156" s="6">
        <f t="shared" si="214"/>
        <v>0</v>
      </c>
      <c r="CU156" s="6">
        <f t="shared" si="215"/>
        <v>0</v>
      </c>
      <c r="CV156" s="6">
        <v>0</v>
      </c>
      <c r="CW156" s="6">
        <f t="shared" si="216"/>
        <v>0</v>
      </c>
      <c r="CX156" s="6">
        <f t="shared" si="217"/>
        <v>0</v>
      </c>
      <c r="CY156" s="6">
        <v>0</v>
      </c>
      <c r="CZ156" s="6">
        <f t="shared" si="218"/>
        <v>0</v>
      </c>
      <c r="DA156" s="6">
        <f t="shared" si="219"/>
        <v>0</v>
      </c>
      <c r="DB156" s="6">
        <v>0</v>
      </c>
      <c r="DC156" s="6">
        <f t="shared" si="220"/>
        <v>0</v>
      </c>
      <c r="DD156" s="6">
        <f t="shared" si="221"/>
        <v>0</v>
      </c>
      <c r="DE156" s="6">
        <v>0</v>
      </c>
      <c r="DF156" s="6">
        <f t="shared" si="222"/>
        <v>0</v>
      </c>
      <c r="DG156" s="6">
        <f t="shared" si="223"/>
        <v>0</v>
      </c>
      <c r="DH156" s="6">
        <v>0</v>
      </c>
      <c r="DI156" s="6">
        <f t="shared" si="224"/>
        <v>0</v>
      </c>
      <c r="DJ156" s="6">
        <f t="shared" si="225"/>
        <v>0</v>
      </c>
      <c r="DK156" s="6">
        <v>0</v>
      </c>
      <c r="DL156" s="6">
        <f t="shared" si="226"/>
        <v>0</v>
      </c>
      <c r="DM156" s="6">
        <f t="shared" si="227"/>
        <v>0</v>
      </c>
      <c r="DN156" s="6">
        <v>0</v>
      </c>
      <c r="DO156" s="6">
        <f t="shared" si="228"/>
        <v>0</v>
      </c>
      <c r="DP156" s="6">
        <f t="shared" si="229"/>
        <v>0</v>
      </c>
    </row>
    <row r="157" spans="1:120" x14ac:dyDescent="0.2">
      <c r="A157" s="21">
        <v>85</v>
      </c>
      <c r="B157" s="21" t="s">
        <v>612</v>
      </c>
      <c r="C157" s="21">
        <v>85230</v>
      </c>
      <c r="D157" s="21" t="s">
        <v>614</v>
      </c>
      <c r="E157" s="21" t="s">
        <v>611</v>
      </c>
      <c r="F157" s="22" t="s">
        <v>662</v>
      </c>
      <c r="G157" s="4" t="s">
        <v>269</v>
      </c>
      <c r="H157" s="6">
        <v>13353.34</v>
      </c>
      <c r="I157" s="6">
        <f t="shared" si="230"/>
        <v>36.584493150684935</v>
      </c>
      <c r="J157" s="6">
        <v>11166.384599999999</v>
      </c>
      <c r="K157" s="6">
        <v>22412.720000000001</v>
      </c>
      <c r="L157" s="6">
        <f t="shared" si="231"/>
        <v>61.236939890710389</v>
      </c>
      <c r="M157" s="6">
        <v>9491.4269000000004</v>
      </c>
      <c r="N157" s="6">
        <v>4964.08</v>
      </c>
      <c r="O157" s="6">
        <f t="shared" si="232"/>
        <v>13.600219178082192</v>
      </c>
      <c r="P157" s="6">
        <v>8067.7129000000004</v>
      </c>
      <c r="Q157" s="6"/>
      <c r="R157" s="6"/>
      <c r="S157" s="6">
        <v>0</v>
      </c>
      <c r="T157" s="6">
        <f t="shared" si="162"/>
        <v>0</v>
      </c>
      <c r="U157" s="6">
        <f t="shared" si="163"/>
        <v>0</v>
      </c>
      <c r="V157" s="6">
        <v>0</v>
      </c>
      <c r="W157" s="6">
        <f t="shared" si="164"/>
        <v>0</v>
      </c>
      <c r="X157" s="6">
        <f t="shared" si="165"/>
        <v>0</v>
      </c>
      <c r="Y157" s="6">
        <v>0</v>
      </c>
      <c r="Z157" s="6">
        <f t="shared" si="166"/>
        <v>0</v>
      </c>
      <c r="AA157" s="6">
        <f t="shared" si="167"/>
        <v>0</v>
      </c>
      <c r="AB157" s="6">
        <v>0</v>
      </c>
      <c r="AC157" s="6">
        <f t="shared" si="168"/>
        <v>0</v>
      </c>
      <c r="AD157" s="6">
        <f t="shared" si="169"/>
        <v>0</v>
      </c>
      <c r="AE157" s="6">
        <v>0</v>
      </c>
      <c r="AF157" s="6">
        <f t="shared" si="170"/>
        <v>0</v>
      </c>
      <c r="AG157" s="6">
        <f t="shared" si="171"/>
        <v>0</v>
      </c>
      <c r="AH157" s="6">
        <v>0</v>
      </c>
      <c r="AI157" s="6">
        <f t="shared" si="172"/>
        <v>0</v>
      </c>
      <c r="AJ157" s="6">
        <f t="shared" si="173"/>
        <v>0</v>
      </c>
      <c r="AK157" s="6">
        <v>0</v>
      </c>
      <c r="AL157" s="6">
        <f t="shared" si="174"/>
        <v>0</v>
      </c>
      <c r="AM157" s="6">
        <f t="shared" si="175"/>
        <v>0</v>
      </c>
      <c r="AN157" s="6">
        <v>0</v>
      </c>
      <c r="AO157" s="6">
        <f t="shared" si="176"/>
        <v>0</v>
      </c>
      <c r="AP157" s="6">
        <f t="shared" si="177"/>
        <v>0</v>
      </c>
      <c r="AQ157" s="6">
        <v>0</v>
      </c>
      <c r="AR157" s="6">
        <f t="shared" si="178"/>
        <v>0</v>
      </c>
      <c r="AS157" s="6">
        <f t="shared" si="179"/>
        <v>0</v>
      </c>
      <c r="AT157" s="6">
        <v>0</v>
      </c>
      <c r="AU157" s="6">
        <f t="shared" si="180"/>
        <v>0</v>
      </c>
      <c r="AV157" s="6">
        <f t="shared" si="181"/>
        <v>0</v>
      </c>
      <c r="AW157" s="6">
        <v>0</v>
      </c>
      <c r="AX157" s="6">
        <f t="shared" si="182"/>
        <v>0</v>
      </c>
      <c r="AY157" s="6">
        <f t="shared" si="183"/>
        <v>0</v>
      </c>
      <c r="AZ157" s="6">
        <v>0</v>
      </c>
      <c r="BA157" s="6">
        <f t="shared" si="184"/>
        <v>0</v>
      </c>
      <c r="BB157" s="6">
        <f t="shared" si="185"/>
        <v>0</v>
      </c>
      <c r="BC157" s="6">
        <v>0</v>
      </c>
      <c r="BD157" s="6">
        <f t="shared" si="186"/>
        <v>0</v>
      </c>
      <c r="BE157" s="6">
        <f t="shared" si="187"/>
        <v>0</v>
      </c>
      <c r="BF157" s="6">
        <v>0</v>
      </c>
      <c r="BG157" s="6">
        <f t="shared" si="188"/>
        <v>0</v>
      </c>
      <c r="BH157" s="6">
        <f t="shared" si="189"/>
        <v>0</v>
      </c>
      <c r="BI157" s="6">
        <v>0</v>
      </c>
      <c r="BJ157" s="6">
        <f t="shared" si="190"/>
        <v>0</v>
      </c>
      <c r="BK157" s="6">
        <f t="shared" si="191"/>
        <v>0</v>
      </c>
      <c r="BL157" s="6">
        <v>0</v>
      </c>
      <c r="BM157" s="6">
        <f t="shared" si="192"/>
        <v>0</v>
      </c>
      <c r="BN157" s="6">
        <f t="shared" si="193"/>
        <v>0</v>
      </c>
      <c r="BO157" s="6">
        <v>0</v>
      </c>
      <c r="BP157" s="6">
        <f t="shared" si="194"/>
        <v>0</v>
      </c>
      <c r="BQ157" s="6">
        <f t="shared" si="195"/>
        <v>0</v>
      </c>
      <c r="BR157" s="6">
        <v>0</v>
      </c>
      <c r="BS157" s="6">
        <f t="shared" si="196"/>
        <v>0</v>
      </c>
      <c r="BT157" s="6">
        <f t="shared" si="197"/>
        <v>0</v>
      </c>
      <c r="BU157" s="6">
        <v>0</v>
      </c>
      <c r="BV157" s="6">
        <f t="shared" si="198"/>
        <v>0</v>
      </c>
      <c r="BW157" s="6">
        <f t="shared" si="199"/>
        <v>0</v>
      </c>
      <c r="BX157" s="6">
        <v>0</v>
      </c>
      <c r="BY157" s="6">
        <f t="shared" si="200"/>
        <v>0</v>
      </c>
      <c r="BZ157" s="6">
        <f t="shared" si="201"/>
        <v>0</v>
      </c>
      <c r="CA157" s="6">
        <v>0</v>
      </c>
      <c r="CB157" s="6">
        <f t="shared" si="202"/>
        <v>0</v>
      </c>
      <c r="CC157" s="6">
        <f t="shared" si="203"/>
        <v>0</v>
      </c>
      <c r="CD157" s="6">
        <v>0</v>
      </c>
      <c r="CE157" s="6">
        <f t="shared" si="204"/>
        <v>0</v>
      </c>
      <c r="CF157" s="6">
        <f t="shared" si="205"/>
        <v>0</v>
      </c>
      <c r="CG157" s="6">
        <v>0</v>
      </c>
      <c r="CH157" s="6">
        <f t="shared" si="206"/>
        <v>0</v>
      </c>
      <c r="CI157" s="6">
        <f t="shared" si="207"/>
        <v>0</v>
      </c>
      <c r="CJ157" s="6">
        <v>0</v>
      </c>
      <c r="CK157" s="6">
        <f t="shared" si="208"/>
        <v>0</v>
      </c>
      <c r="CL157" s="6">
        <f t="shared" si="209"/>
        <v>0</v>
      </c>
      <c r="CM157" s="6">
        <v>0</v>
      </c>
      <c r="CN157" s="6">
        <f t="shared" si="210"/>
        <v>0</v>
      </c>
      <c r="CO157" s="6">
        <f t="shared" si="211"/>
        <v>0</v>
      </c>
      <c r="CP157" s="6">
        <v>0</v>
      </c>
      <c r="CQ157" s="6">
        <f t="shared" si="212"/>
        <v>0</v>
      </c>
      <c r="CR157" s="6">
        <f t="shared" si="213"/>
        <v>0</v>
      </c>
      <c r="CS157" s="6">
        <v>0</v>
      </c>
      <c r="CT157" s="6">
        <f t="shared" si="214"/>
        <v>0</v>
      </c>
      <c r="CU157" s="6">
        <f t="shared" si="215"/>
        <v>0</v>
      </c>
      <c r="CV157" s="6">
        <v>0</v>
      </c>
      <c r="CW157" s="6">
        <f t="shared" si="216"/>
        <v>0</v>
      </c>
      <c r="CX157" s="6">
        <f t="shared" si="217"/>
        <v>0</v>
      </c>
      <c r="CY157" s="6">
        <v>0</v>
      </c>
      <c r="CZ157" s="6">
        <f t="shared" si="218"/>
        <v>0</v>
      </c>
      <c r="DA157" s="6">
        <f t="shared" si="219"/>
        <v>0</v>
      </c>
      <c r="DB157" s="6">
        <v>0</v>
      </c>
      <c r="DC157" s="6">
        <f t="shared" si="220"/>
        <v>0</v>
      </c>
      <c r="DD157" s="6">
        <f t="shared" si="221"/>
        <v>0</v>
      </c>
      <c r="DE157" s="6">
        <v>0</v>
      </c>
      <c r="DF157" s="6">
        <f t="shared" si="222"/>
        <v>0</v>
      </c>
      <c r="DG157" s="6">
        <f t="shared" si="223"/>
        <v>0</v>
      </c>
      <c r="DH157" s="6">
        <v>0</v>
      </c>
      <c r="DI157" s="6">
        <f t="shared" si="224"/>
        <v>0</v>
      </c>
      <c r="DJ157" s="6">
        <f t="shared" si="225"/>
        <v>0</v>
      </c>
      <c r="DK157" s="6">
        <v>0</v>
      </c>
      <c r="DL157" s="6">
        <f t="shared" si="226"/>
        <v>0</v>
      </c>
      <c r="DM157" s="6">
        <f t="shared" si="227"/>
        <v>0</v>
      </c>
      <c r="DN157" s="6">
        <v>0</v>
      </c>
      <c r="DO157" s="6">
        <f t="shared" si="228"/>
        <v>0</v>
      </c>
      <c r="DP157" s="6">
        <f t="shared" si="229"/>
        <v>0</v>
      </c>
    </row>
    <row r="158" spans="1:120" x14ac:dyDescent="0.2">
      <c r="A158" s="21">
        <v>85</v>
      </c>
      <c r="B158" s="21" t="s">
        <v>612</v>
      </c>
      <c r="C158" s="21">
        <v>85230</v>
      </c>
      <c r="D158" s="21" t="s">
        <v>614</v>
      </c>
      <c r="E158" s="21" t="s">
        <v>611</v>
      </c>
      <c r="F158" s="22" t="s">
        <v>662</v>
      </c>
      <c r="G158" s="4" t="s">
        <v>270</v>
      </c>
      <c r="H158" s="6">
        <v>170159.61</v>
      </c>
      <c r="I158" s="6">
        <f t="shared" si="230"/>
        <v>466.19071232876706</v>
      </c>
      <c r="J158" s="6">
        <v>189401.0632</v>
      </c>
      <c r="K158" s="6">
        <v>187154.21</v>
      </c>
      <c r="L158" s="6">
        <f t="shared" si="231"/>
        <v>511.35030054644807</v>
      </c>
      <c r="M158" s="6">
        <v>144781.1207</v>
      </c>
      <c r="N158" s="6">
        <v>218950.65</v>
      </c>
      <c r="O158" s="6">
        <f t="shared" si="232"/>
        <v>599.86479452054789</v>
      </c>
      <c r="P158" s="6">
        <v>114546.8158</v>
      </c>
      <c r="Q158" s="6">
        <v>107960.24</v>
      </c>
      <c r="R158" s="6">
        <f>Q158/181</f>
        <v>596.46541436464088</v>
      </c>
      <c r="S158" s="6">
        <v>87651.107900000003</v>
      </c>
      <c r="T158" s="6">
        <f t="shared" si="162"/>
        <v>87651.107900000003</v>
      </c>
      <c r="U158" s="6">
        <f t="shared" si="163"/>
        <v>240.14002164383561</v>
      </c>
      <c r="V158" s="6">
        <v>73096.525999999998</v>
      </c>
      <c r="W158" s="6">
        <f t="shared" si="164"/>
        <v>73096.525999999998</v>
      </c>
      <c r="X158" s="6">
        <f t="shared" si="165"/>
        <v>200.26445479452053</v>
      </c>
      <c r="Y158" s="6">
        <v>58018.675000000003</v>
      </c>
      <c r="Z158" s="6">
        <f t="shared" si="166"/>
        <v>58018.675000000003</v>
      </c>
      <c r="AA158" s="6">
        <f t="shared" si="167"/>
        <v>158.95527397260275</v>
      </c>
      <c r="AB158" s="6">
        <v>43040.225899999998</v>
      </c>
      <c r="AC158" s="6">
        <f t="shared" si="168"/>
        <v>43040.225899999998</v>
      </c>
      <c r="AD158" s="6">
        <f t="shared" si="169"/>
        <v>117.91842712328767</v>
      </c>
      <c r="AE158" s="6">
        <v>22293.981</v>
      </c>
      <c r="AF158" s="6">
        <f t="shared" si="170"/>
        <v>22293.981</v>
      </c>
      <c r="AG158" s="6">
        <f t="shared" si="171"/>
        <v>61.0794</v>
      </c>
      <c r="AH158" s="6">
        <v>19618.703300000001</v>
      </c>
      <c r="AI158" s="6">
        <f t="shared" si="172"/>
        <v>19618.703300000001</v>
      </c>
      <c r="AJ158" s="6">
        <f t="shared" si="173"/>
        <v>53.749872054794523</v>
      </c>
      <c r="AK158" s="6">
        <v>17264.458900000001</v>
      </c>
      <c r="AL158" s="6">
        <f t="shared" si="174"/>
        <v>17264.458900000001</v>
      </c>
      <c r="AM158" s="6">
        <f t="shared" si="175"/>
        <v>47.299887397260278</v>
      </c>
      <c r="AN158" s="6">
        <v>3982.1486</v>
      </c>
      <c r="AO158" s="6">
        <f t="shared" si="176"/>
        <v>3982.1486</v>
      </c>
      <c r="AP158" s="6">
        <f t="shared" si="177"/>
        <v>10.909996164383562</v>
      </c>
      <c r="AQ158" s="6">
        <v>0</v>
      </c>
      <c r="AR158" s="6">
        <f t="shared" si="178"/>
        <v>0</v>
      </c>
      <c r="AS158" s="6">
        <f t="shared" si="179"/>
        <v>0</v>
      </c>
      <c r="AT158" s="6">
        <v>0</v>
      </c>
      <c r="AU158" s="6">
        <f t="shared" si="180"/>
        <v>0</v>
      </c>
      <c r="AV158" s="6">
        <f t="shared" si="181"/>
        <v>0</v>
      </c>
      <c r="AW158" s="6">
        <v>0</v>
      </c>
      <c r="AX158" s="6">
        <f t="shared" si="182"/>
        <v>0</v>
      </c>
      <c r="AY158" s="6">
        <f t="shared" si="183"/>
        <v>0</v>
      </c>
      <c r="AZ158" s="6">
        <v>0</v>
      </c>
      <c r="BA158" s="6">
        <f t="shared" si="184"/>
        <v>0</v>
      </c>
      <c r="BB158" s="6">
        <f t="shared" si="185"/>
        <v>0</v>
      </c>
      <c r="BC158" s="6">
        <v>0</v>
      </c>
      <c r="BD158" s="6">
        <f t="shared" si="186"/>
        <v>0</v>
      </c>
      <c r="BE158" s="6">
        <f t="shared" si="187"/>
        <v>0</v>
      </c>
      <c r="BF158" s="6">
        <v>0</v>
      </c>
      <c r="BG158" s="6">
        <f t="shared" si="188"/>
        <v>0</v>
      </c>
      <c r="BH158" s="6">
        <f t="shared" si="189"/>
        <v>0</v>
      </c>
      <c r="BI158" s="6">
        <v>0</v>
      </c>
      <c r="BJ158" s="6">
        <f t="shared" si="190"/>
        <v>0</v>
      </c>
      <c r="BK158" s="6">
        <f t="shared" si="191"/>
        <v>0</v>
      </c>
      <c r="BL158" s="6">
        <v>0</v>
      </c>
      <c r="BM158" s="6">
        <f t="shared" si="192"/>
        <v>0</v>
      </c>
      <c r="BN158" s="6">
        <f t="shared" si="193"/>
        <v>0</v>
      </c>
      <c r="BO158" s="6">
        <v>0</v>
      </c>
      <c r="BP158" s="6">
        <f t="shared" si="194"/>
        <v>0</v>
      </c>
      <c r="BQ158" s="6">
        <f t="shared" si="195"/>
        <v>0</v>
      </c>
      <c r="BR158" s="6">
        <v>0</v>
      </c>
      <c r="BS158" s="6">
        <f t="shared" si="196"/>
        <v>0</v>
      </c>
      <c r="BT158" s="6">
        <f t="shared" si="197"/>
        <v>0</v>
      </c>
      <c r="BU158" s="6">
        <v>0</v>
      </c>
      <c r="BV158" s="6">
        <f t="shared" si="198"/>
        <v>0</v>
      </c>
      <c r="BW158" s="6">
        <f t="shared" si="199"/>
        <v>0</v>
      </c>
      <c r="BX158" s="6">
        <v>0</v>
      </c>
      <c r="BY158" s="6">
        <f t="shared" si="200"/>
        <v>0</v>
      </c>
      <c r="BZ158" s="6">
        <f t="shared" si="201"/>
        <v>0</v>
      </c>
      <c r="CA158" s="6">
        <v>0</v>
      </c>
      <c r="CB158" s="6">
        <f t="shared" si="202"/>
        <v>0</v>
      </c>
      <c r="CC158" s="6">
        <f t="shared" si="203"/>
        <v>0</v>
      </c>
      <c r="CD158" s="6">
        <v>0</v>
      </c>
      <c r="CE158" s="6">
        <f t="shared" si="204"/>
        <v>0</v>
      </c>
      <c r="CF158" s="6">
        <f t="shared" si="205"/>
        <v>0</v>
      </c>
      <c r="CG158" s="6">
        <v>0</v>
      </c>
      <c r="CH158" s="6">
        <f t="shared" si="206"/>
        <v>0</v>
      </c>
      <c r="CI158" s="6">
        <f t="shared" si="207"/>
        <v>0</v>
      </c>
      <c r="CJ158" s="6">
        <v>0</v>
      </c>
      <c r="CK158" s="6">
        <f t="shared" si="208"/>
        <v>0</v>
      </c>
      <c r="CL158" s="6">
        <f t="shared" si="209"/>
        <v>0</v>
      </c>
      <c r="CM158" s="6">
        <v>0</v>
      </c>
      <c r="CN158" s="6">
        <f t="shared" si="210"/>
        <v>0</v>
      </c>
      <c r="CO158" s="6">
        <f t="shared" si="211"/>
        <v>0</v>
      </c>
      <c r="CP158" s="6">
        <v>0</v>
      </c>
      <c r="CQ158" s="6">
        <f t="shared" si="212"/>
        <v>0</v>
      </c>
      <c r="CR158" s="6">
        <f t="shared" si="213"/>
        <v>0</v>
      </c>
      <c r="CS158" s="6">
        <v>0</v>
      </c>
      <c r="CT158" s="6">
        <f t="shared" si="214"/>
        <v>0</v>
      </c>
      <c r="CU158" s="6">
        <f t="shared" si="215"/>
        <v>0</v>
      </c>
      <c r="CV158" s="6">
        <v>0</v>
      </c>
      <c r="CW158" s="6">
        <f t="shared" si="216"/>
        <v>0</v>
      </c>
      <c r="CX158" s="6">
        <f t="shared" si="217"/>
        <v>0</v>
      </c>
      <c r="CY158" s="6">
        <v>0</v>
      </c>
      <c r="CZ158" s="6">
        <f t="shared" si="218"/>
        <v>0</v>
      </c>
      <c r="DA158" s="6">
        <f t="shared" si="219"/>
        <v>0</v>
      </c>
      <c r="DB158" s="6">
        <v>0</v>
      </c>
      <c r="DC158" s="6">
        <f t="shared" si="220"/>
        <v>0</v>
      </c>
      <c r="DD158" s="6">
        <f t="shared" si="221"/>
        <v>0</v>
      </c>
      <c r="DE158" s="6">
        <v>0</v>
      </c>
      <c r="DF158" s="6">
        <f t="shared" si="222"/>
        <v>0</v>
      </c>
      <c r="DG158" s="6">
        <f t="shared" si="223"/>
        <v>0</v>
      </c>
      <c r="DH158" s="6">
        <v>0</v>
      </c>
      <c r="DI158" s="6">
        <f t="shared" si="224"/>
        <v>0</v>
      </c>
      <c r="DJ158" s="6">
        <f t="shared" si="225"/>
        <v>0</v>
      </c>
      <c r="DK158" s="6">
        <v>0</v>
      </c>
      <c r="DL158" s="6">
        <f t="shared" si="226"/>
        <v>0</v>
      </c>
      <c r="DM158" s="6">
        <f t="shared" si="227"/>
        <v>0</v>
      </c>
      <c r="DN158" s="6">
        <v>0</v>
      </c>
      <c r="DO158" s="6">
        <f t="shared" si="228"/>
        <v>0</v>
      </c>
      <c r="DP158" s="6">
        <f t="shared" si="229"/>
        <v>0</v>
      </c>
    </row>
    <row r="159" spans="1:120" x14ac:dyDescent="0.2">
      <c r="A159" s="21">
        <v>86</v>
      </c>
      <c r="B159" s="21" t="s">
        <v>664</v>
      </c>
      <c r="C159" s="21">
        <v>86885</v>
      </c>
      <c r="D159" s="21" t="s">
        <v>715</v>
      </c>
      <c r="E159" s="21" t="s">
        <v>564</v>
      </c>
      <c r="F159" s="22" t="s">
        <v>662</v>
      </c>
      <c r="G159" s="4" t="s">
        <v>271</v>
      </c>
      <c r="H159" s="6">
        <v>99234.6</v>
      </c>
      <c r="I159" s="6">
        <f t="shared" si="230"/>
        <v>271.87561643835619</v>
      </c>
      <c r="J159" s="6">
        <v>86573.468900000007</v>
      </c>
      <c r="K159" s="6">
        <v>78361.23</v>
      </c>
      <c r="L159" s="6">
        <f t="shared" si="231"/>
        <v>214.10172131147539</v>
      </c>
      <c r="M159" s="6">
        <v>72206.746199999994</v>
      </c>
      <c r="N159" s="6">
        <v>71668.14</v>
      </c>
      <c r="O159" s="6">
        <f t="shared" si="232"/>
        <v>196.35106849315068</v>
      </c>
      <c r="P159" s="6">
        <v>64120.255700000002</v>
      </c>
      <c r="Q159" s="6">
        <v>37835.15</v>
      </c>
      <c r="R159" s="6">
        <f>Q159/181</f>
        <v>209.03397790055249</v>
      </c>
      <c r="S159" s="6">
        <v>57483.572999999997</v>
      </c>
      <c r="T159" s="6">
        <f t="shared" si="162"/>
        <v>57483.572999999997</v>
      </c>
      <c r="U159" s="6">
        <f t="shared" si="163"/>
        <v>157.48924109589041</v>
      </c>
      <c r="V159" s="6">
        <v>52083.476000000002</v>
      </c>
      <c r="W159" s="6">
        <f t="shared" si="164"/>
        <v>52083.476000000002</v>
      </c>
      <c r="X159" s="6">
        <f t="shared" si="165"/>
        <v>142.69445479452057</v>
      </c>
      <c r="Y159" s="6">
        <v>47255.4954</v>
      </c>
      <c r="Z159" s="6">
        <f t="shared" si="166"/>
        <v>47255.4954</v>
      </c>
      <c r="AA159" s="6">
        <f t="shared" si="167"/>
        <v>129.4671106849315</v>
      </c>
      <c r="AB159" s="6">
        <v>14632.876</v>
      </c>
      <c r="AC159" s="6">
        <f t="shared" si="168"/>
        <v>14632.876</v>
      </c>
      <c r="AD159" s="6">
        <f t="shared" si="169"/>
        <v>40.09007123287671</v>
      </c>
      <c r="AE159" s="6">
        <v>0</v>
      </c>
      <c r="AF159" s="6">
        <f t="shared" si="170"/>
        <v>0</v>
      </c>
      <c r="AG159" s="6">
        <f t="shared" si="171"/>
        <v>0</v>
      </c>
      <c r="AH159" s="6">
        <v>0</v>
      </c>
      <c r="AI159" s="6">
        <f t="shared" si="172"/>
        <v>0</v>
      </c>
      <c r="AJ159" s="6">
        <f t="shared" si="173"/>
        <v>0</v>
      </c>
      <c r="AK159" s="6">
        <v>0</v>
      </c>
      <c r="AL159" s="6">
        <f t="shared" si="174"/>
        <v>0</v>
      </c>
      <c r="AM159" s="6">
        <f t="shared" si="175"/>
        <v>0</v>
      </c>
      <c r="AN159" s="6">
        <v>0</v>
      </c>
      <c r="AO159" s="6">
        <f t="shared" si="176"/>
        <v>0</v>
      </c>
      <c r="AP159" s="6">
        <f t="shared" si="177"/>
        <v>0</v>
      </c>
      <c r="AQ159" s="6">
        <v>0</v>
      </c>
      <c r="AR159" s="6">
        <f t="shared" si="178"/>
        <v>0</v>
      </c>
      <c r="AS159" s="6">
        <f t="shared" si="179"/>
        <v>0</v>
      </c>
      <c r="AT159" s="6">
        <v>0</v>
      </c>
      <c r="AU159" s="6">
        <f t="shared" si="180"/>
        <v>0</v>
      </c>
      <c r="AV159" s="6">
        <f t="shared" si="181"/>
        <v>0</v>
      </c>
      <c r="AW159" s="6">
        <v>0</v>
      </c>
      <c r="AX159" s="6">
        <f t="shared" si="182"/>
        <v>0</v>
      </c>
      <c r="AY159" s="6">
        <f t="shared" si="183"/>
        <v>0</v>
      </c>
      <c r="AZ159" s="6">
        <v>0</v>
      </c>
      <c r="BA159" s="6">
        <f t="shared" si="184"/>
        <v>0</v>
      </c>
      <c r="BB159" s="6">
        <f t="shared" si="185"/>
        <v>0</v>
      </c>
      <c r="BC159" s="6">
        <v>0</v>
      </c>
      <c r="BD159" s="6">
        <f t="shared" si="186"/>
        <v>0</v>
      </c>
      <c r="BE159" s="6">
        <f t="shared" si="187"/>
        <v>0</v>
      </c>
      <c r="BF159" s="6">
        <v>0</v>
      </c>
      <c r="BG159" s="6">
        <f t="shared" si="188"/>
        <v>0</v>
      </c>
      <c r="BH159" s="6">
        <f t="shared" si="189"/>
        <v>0</v>
      </c>
      <c r="BI159" s="6">
        <v>0</v>
      </c>
      <c r="BJ159" s="6">
        <f t="shared" si="190"/>
        <v>0</v>
      </c>
      <c r="BK159" s="6">
        <f t="shared" si="191"/>
        <v>0</v>
      </c>
      <c r="BL159" s="6">
        <v>0</v>
      </c>
      <c r="BM159" s="6">
        <f t="shared" si="192"/>
        <v>0</v>
      </c>
      <c r="BN159" s="6">
        <f t="shared" si="193"/>
        <v>0</v>
      </c>
      <c r="BO159" s="6">
        <v>0</v>
      </c>
      <c r="BP159" s="6">
        <f t="shared" si="194"/>
        <v>0</v>
      </c>
      <c r="BQ159" s="6">
        <f t="shared" si="195"/>
        <v>0</v>
      </c>
      <c r="BR159" s="6">
        <v>0</v>
      </c>
      <c r="BS159" s="6">
        <f t="shared" si="196"/>
        <v>0</v>
      </c>
      <c r="BT159" s="6">
        <f t="shared" si="197"/>
        <v>0</v>
      </c>
      <c r="BU159" s="6">
        <v>0</v>
      </c>
      <c r="BV159" s="6">
        <f t="shared" si="198"/>
        <v>0</v>
      </c>
      <c r="BW159" s="6">
        <f t="shared" si="199"/>
        <v>0</v>
      </c>
      <c r="BX159" s="6">
        <v>0</v>
      </c>
      <c r="BY159" s="6">
        <f t="shared" si="200"/>
        <v>0</v>
      </c>
      <c r="BZ159" s="6">
        <f t="shared" si="201"/>
        <v>0</v>
      </c>
      <c r="CA159" s="6">
        <v>0</v>
      </c>
      <c r="CB159" s="6">
        <f t="shared" si="202"/>
        <v>0</v>
      </c>
      <c r="CC159" s="6">
        <f t="shared" si="203"/>
        <v>0</v>
      </c>
      <c r="CD159" s="6">
        <v>0</v>
      </c>
      <c r="CE159" s="6">
        <f t="shared" si="204"/>
        <v>0</v>
      </c>
      <c r="CF159" s="6">
        <f t="shared" si="205"/>
        <v>0</v>
      </c>
      <c r="CG159" s="6">
        <v>0</v>
      </c>
      <c r="CH159" s="6">
        <f t="shared" si="206"/>
        <v>0</v>
      </c>
      <c r="CI159" s="6">
        <f t="shared" si="207"/>
        <v>0</v>
      </c>
      <c r="CJ159" s="6">
        <v>0</v>
      </c>
      <c r="CK159" s="6">
        <f t="shared" si="208"/>
        <v>0</v>
      </c>
      <c r="CL159" s="6">
        <f t="shared" si="209"/>
        <v>0</v>
      </c>
      <c r="CM159" s="6">
        <v>0</v>
      </c>
      <c r="CN159" s="6">
        <f t="shared" si="210"/>
        <v>0</v>
      </c>
      <c r="CO159" s="6">
        <f t="shared" si="211"/>
        <v>0</v>
      </c>
      <c r="CP159" s="6">
        <v>0</v>
      </c>
      <c r="CQ159" s="6">
        <f t="shared" si="212"/>
        <v>0</v>
      </c>
      <c r="CR159" s="6">
        <f t="shared" si="213"/>
        <v>0</v>
      </c>
      <c r="CS159" s="6">
        <v>0</v>
      </c>
      <c r="CT159" s="6">
        <f t="shared" si="214"/>
        <v>0</v>
      </c>
      <c r="CU159" s="6">
        <f t="shared" si="215"/>
        <v>0</v>
      </c>
      <c r="CV159" s="6">
        <v>0</v>
      </c>
      <c r="CW159" s="6">
        <f t="shared" si="216"/>
        <v>0</v>
      </c>
      <c r="CX159" s="6">
        <f t="shared" si="217"/>
        <v>0</v>
      </c>
      <c r="CY159" s="6">
        <v>0</v>
      </c>
      <c r="CZ159" s="6">
        <f t="shared" si="218"/>
        <v>0</v>
      </c>
      <c r="DA159" s="6">
        <f t="shared" si="219"/>
        <v>0</v>
      </c>
      <c r="DB159" s="6">
        <v>0</v>
      </c>
      <c r="DC159" s="6">
        <f t="shared" si="220"/>
        <v>0</v>
      </c>
      <c r="DD159" s="6">
        <f t="shared" si="221"/>
        <v>0</v>
      </c>
      <c r="DE159" s="6">
        <v>0</v>
      </c>
      <c r="DF159" s="6">
        <f t="shared" si="222"/>
        <v>0</v>
      </c>
      <c r="DG159" s="6">
        <f t="shared" si="223"/>
        <v>0</v>
      </c>
      <c r="DH159" s="6">
        <v>0</v>
      </c>
      <c r="DI159" s="6">
        <f t="shared" si="224"/>
        <v>0</v>
      </c>
      <c r="DJ159" s="6">
        <f t="shared" si="225"/>
        <v>0</v>
      </c>
      <c r="DK159" s="6">
        <v>0</v>
      </c>
      <c r="DL159" s="6">
        <f t="shared" si="226"/>
        <v>0</v>
      </c>
      <c r="DM159" s="6">
        <f t="shared" si="227"/>
        <v>0</v>
      </c>
      <c r="DN159" s="6">
        <v>0</v>
      </c>
      <c r="DO159" s="6">
        <f t="shared" si="228"/>
        <v>0</v>
      </c>
      <c r="DP159" s="6">
        <f t="shared" si="229"/>
        <v>0</v>
      </c>
    </row>
    <row r="160" spans="1:120" x14ac:dyDescent="0.2">
      <c r="A160" s="21">
        <v>68</v>
      </c>
      <c r="B160" s="21" t="s">
        <v>673</v>
      </c>
      <c r="C160" s="21">
        <v>68615</v>
      </c>
      <c r="D160" s="21" t="s">
        <v>695</v>
      </c>
      <c r="E160" s="21" t="s">
        <v>564</v>
      </c>
      <c r="F160" s="22" t="s">
        <v>669</v>
      </c>
      <c r="G160" s="4" t="s">
        <v>272</v>
      </c>
      <c r="H160" s="6">
        <v>33842.31</v>
      </c>
      <c r="I160" s="6">
        <f t="shared" si="230"/>
        <v>92.718657534246574</v>
      </c>
      <c r="J160" s="6">
        <v>53356.576399999998</v>
      </c>
      <c r="K160" s="6">
        <v>119.47</v>
      </c>
      <c r="L160" s="6">
        <f t="shared" si="231"/>
        <v>0.32642076502732242</v>
      </c>
      <c r="M160" s="6">
        <v>44238.3079</v>
      </c>
      <c r="N160" s="6"/>
      <c r="O160" s="6"/>
      <c r="P160" s="6">
        <v>36852.368900000001</v>
      </c>
      <c r="Q160" s="6"/>
      <c r="R160" s="6"/>
      <c r="S160" s="6">
        <v>30772.053400000001</v>
      </c>
      <c r="T160" s="6">
        <f t="shared" si="162"/>
        <v>30772.053400000001</v>
      </c>
      <c r="U160" s="6">
        <f t="shared" si="163"/>
        <v>84.306995616438357</v>
      </c>
      <c r="V160" s="6">
        <v>17716.3763</v>
      </c>
      <c r="W160" s="6">
        <f t="shared" si="164"/>
        <v>17716.3763</v>
      </c>
      <c r="X160" s="6">
        <f t="shared" si="165"/>
        <v>48.538017260273975</v>
      </c>
      <c r="Y160" s="6">
        <v>0</v>
      </c>
      <c r="Z160" s="6">
        <f t="shared" si="166"/>
        <v>0</v>
      </c>
      <c r="AA160" s="6">
        <f t="shared" si="167"/>
        <v>0</v>
      </c>
      <c r="AB160" s="6">
        <v>0</v>
      </c>
      <c r="AC160" s="6">
        <f t="shared" si="168"/>
        <v>0</v>
      </c>
      <c r="AD160" s="6">
        <f t="shared" si="169"/>
        <v>0</v>
      </c>
      <c r="AE160" s="6">
        <v>0</v>
      </c>
      <c r="AF160" s="6">
        <f t="shared" si="170"/>
        <v>0</v>
      </c>
      <c r="AG160" s="6">
        <f t="shared" si="171"/>
        <v>0</v>
      </c>
      <c r="AH160" s="6">
        <v>0</v>
      </c>
      <c r="AI160" s="6">
        <f t="shared" si="172"/>
        <v>0</v>
      </c>
      <c r="AJ160" s="6">
        <f t="shared" si="173"/>
        <v>0</v>
      </c>
      <c r="AK160" s="6">
        <v>0</v>
      </c>
      <c r="AL160" s="6">
        <f t="shared" si="174"/>
        <v>0</v>
      </c>
      <c r="AM160" s="6">
        <f t="shared" si="175"/>
        <v>0</v>
      </c>
      <c r="AN160" s="6">
        <v>0</v>
      </c>
      <c r="AO160" s="6">
        <f t="shared" si="176"/>
        <v>0</v>
      </c>
      <c r="AP160" s="6">
        <f t="shared" si="177"/>
        <v>0</v>
      </c>
      <c r="AQ160" s="6">
        <v>0</v>
      </c>
      <c r="AR160" s="6">
        <f t="shared" si="178"/>
        <v>0</v>
      </c>
      <c r="AS160" s="6">
        <f t="shared" si="179"/>
        <v>0</v>
      </c>
      <c r="AT160" s="6">
        <v>0</v>
      </c>
      <c r="AU160" s="6">
        <f t="shared" si="180"/>
        <v>0</v>
      </c>
      <c r="AV160" s="6">
        <f t="shared" si="181"/>
        <v>0</v>
      </c>
      <c r="AW160" s="6">
        <v>0</v>
      </c>
      <c r="AX160" s="6">
        <f t="shared" si="182"/>
        <v>0</v>
      </c>
      <c r="AY160" s="6">
        <f t="shared" si="183"/>
        <v>0</v>
      </c>
      <c r="AZ160" s="6">
        <v>0</v>
      </c>
      <c r="BA160" s="6">
        <f t="shared" si="184"/>
        <v>0</v>
      </c>
      <c r="BB160" s="6">
        <f t="shared" si="185"/>
        <v>0</v>
      </c>
      <c r="BC160" s="6">
        <v>0</v>
      </c>
      <c r="BD160" s="6">
        <f t="shared" si="186"/>
        <v>0</v>
      </c>
      <c r="BE160" s="6">
        <f t="shared" si="187"/>
        <v>0</v>
      </c>
      <c r="BF160" s="6">
        <v>0</v>
      </c>
      <c r="BG160" s="6">
        <f t="shared" si="188"/>
        <v>0</v>
      </c>
      <c r="BH160" s="6">
        <f t="shared" si="189"/>
        <v>0</v>
      </c>
      <c r="BI160" s="6">
        <v>0</v>
      </c>
      <c r="BJ160" s="6">
        <f t="shared" si="190"/>
        <v>0</v>
      </c>
      <c r="BK160" s="6">
        <f t="shared" si="191"/>
        <v>0</v>
      </c>
      <c r="BL160" s="6">
        <v>0</v>
      </c>
      <c r="BM160" s="6">
        <f t="shared" si="192"/>
        <v>0</v>
      </c>
      <c r="BN160" s="6">
        <f t="shared" si="193"/>
        <v>0</v>
      </c>
      <c r="BO160" s="6">
        <v>0</v>
      </c>
      <c r="BP160" s="6">
        <f t="shared" si="194"/>
        <v>0</v>
      </c>
      <c r="BQ160" s="6">
        <f t="shared" si="195"/>
        <v>0</v>
      </c>
      <c r="BR160" s="6">
        <v>0</v>
      </c>
      <c r="BS160" s="6">
        <f t="shared" si="196"/>
        <v>0</v>
      </c>
      <c r="BT160" s="6">
        <f t="shared" si="197"/>
        <v>0</v>
      </c>
      <c r="BU160" s="6">
        <v>0</v>
      </c>
      <c r="BV160" s="6">
        <f t="shared" si="198"/>
        <v>0</v>
      </c>
      <c r="BW160" s="6">
        <f t="shared" si="199"/>
        <v>0</v>
      </c>
      <c r="BX160" s="6">
        <v>0</v>
      </c>
      <c r="BY160" s="6">
        <f t="shared" si="200"/>
        <v>0</v>
      </c>
      <c r="BZ160" s="6">
        <f t="shared" si="201"/>
        <v>0</v>
      </c>
      <c r="CA160" s="6">
        <v>0</v>
      </c>
      <c r="CB160" s="6">
        <f t="shared" si="202"/>
        <v>0</v>
      </c>
      <c r="CC160" s="6">
        <f t="shared" si="203"/>
        <v>0</v>
      </c>
      <c r="CD160" s="6">
        <v>0</v>
      </c>
      <c r="CE160" s="6">
        <f t="shared" si="204"/>
        <v>0</v>
      </c>
      <c r="CF160" s="6">
        <f t="shared" si="205"/>
        <v>0</v>
      </c>
      <c r="CG160" s="6">
        <v>0</v>
      </c>
      <c r="CH160" s="6">
        <f t="shared" si="206"/>
        <v>0</v>
      </c>
      <c r="CI160" s="6">
        <f t="shared" si="207"/>
        <v>0</v>
      </c>
      <c r="CJ160" s="6">
        <v>0</v>
      </c>
      <c r="CK160" s="6">
        <f t="shared" si="208"/>
        <v>0</v>
      </c>
      <c r="CL160" s="6">
        <f t="shared" si="209"/>
        <v>0</v>
      </c>
      <c r="CM160" s="6">
        <v>0</v>
      </c>
      <c r="CN160" s="6">
        <f t="shared" si="210"/>
        <v>0</v>
      </c>
      <c r="CO160" s="6">
        <f t="shared" si="211"/>
        <v>0</v>
      </c>
      <c r="CP160" s="6">
        <v>0</v>
      </c>
      <c r="CQ160" s="6">
        <f t="shared" si="212"/>
        <v>0</v>
      </c>
      <c r="CR160" s="6">
        <f t="shared" si="213"/>
        <v>0</v>
      </c>
      <c r="CS160" s="6">
        <v>0</v>
      </c>
      <c r="CT160" s="6">
        <f t="shared" si="214"/>
        <v>0</v>
      </c>
      <c r="CU160" s="6">
        <f t="shared" si="215"/>
        <v>0</v>
      </c>
      <c r="CV160" s="6">
        <v>0</v>
      </c>
      <c r="CW160" s="6">
        <f t="shared" si="216"/>
        <v>0</v>
      </c>
      <c r="CX160" s="6">
        <f t="shared" si="217"/>
        <v>0</v>
      </c>
      <c r="CY160" s="6">
        <v>0</v>
      </c>
      <c r="CZ160" s="6">
        <f t="shared" si="218"/>
        <v>0</v>
      </c>
      <c r="DA160" s="6">
        <f t="shared" si="219"/>
        <v>0</v>
      </c>
      <c r="DB160" s="6">
        <v>0</v>
      </c>
      <c r="DC160" s="6">
        <f t="shared" si="220"/>
        <v>0</v>
      </c>
      <c r="DD160" s="6">
        <f t="shared" si="221"/>
        <v>0</v>
      </c>
      <c r="DE160" s="6">
        <v>0</v>
      </c>
      <c r="DF160" s="6">
        <f t="shared" si="222"/>
        <v>0</v>
      </c>
      <c r="DG160" s="6">
        <f t="shared" si="223"/>
        <v>0</v>
      </c>
      <c r="DH160" s="6">
        <v>0</v>
      </c>
      <c r="DI160" s="6">
        <f t="shared" si="224"/>
        <v>0</v>
      </c>
      <c r="DJ160" s="6">
        <f t="shared" si="225"/>
        <v>0</v>
      </c>
      <c r="DK160" s="6">
        <v>0</v>
      </c>
      <c r="DL160" s="6">
        <f t="shared" si="226"/>
        <v>0</v>
      </c>
      <c r="DM160" s="6">
        <f t="shared" si="227"/>
        <v>0</v>
      </c>
      <c r="DN160" s="6">
        <v>0</v>
      </c>
      <c r="DO160" s="6">
        <f t="shared" si="228"/>
        <v>0</v>
      </c>
      <c r="DP160" s="6">
        <f t="shared" si="229"/>
        <v>0</v>
      </c>
    </row>
    <row r="161" spans="1:120" x14ac:dyDescent="0.2">
      <c r="A161" s="21">
        <v>85</v>
      </c>
      <c r="B161" s="21" t="s">
        <v>612</v>
      </c>
      <c r="C161" s="21">
        <v>85410</v>
      </c>
      <c r="D161" s="21" t="s">
        <v>691</v>
      </c>
      <c r="E161" s="21" t="s">
        <v>638</v>
      </c>
      <c r="F161" s="22" t="s">
        <v>669</v>
      </c>
      <c r="G161" s="4" t="s">
        <v>273</v>
      </c>
      <c r="H161" s="6">
        <v>68370.2</v>
      </c>
      <c r="I161" s="6">
        <f t="shared" si="230"/>
        <v>187.31561643835616</v>
      </c>
      <c r="J161" s="6">
        <v>120839.7066</v>
      </c>
      <c r="K161" s="6">
        <v>84854.74</v>
      </c>
      <c r="L161" s="6">
        <f t="shared" si="231"/>
        <v>231.84355191256833</v>
      </c>
      <c r="M161" s="6">
        <v>58676.010799999996</v>
      </c>
      <c r="N161" s="6">
        <v>98150.49</v>
      </c>
      <c r="O161" s="6">
        <f t="shared" ref="O161:O170" si="234">N161/365</f>
        <v>268.90545205479452</v>
      </c>
      <c r="P161" s="6">
        <v>0</v>
      </c>
      <c r="Q161" s="6">
        <v>28100.94</v>
      </c>
      <c r="R161" s="6">
        <f t="shared" ref="R161:R174" si="235">Q161/181</f>
        <v>155.25381215469613</v>
      </c>
      <c r="S161" s="6">
        <v>0</v>
      </c>
      <c r="T161" s="6">
        <f t="shared" si="162"/>
        <v>0</v>
      </c>
      <c r="U161" s="6">
        <f t="shared" si="163"/>
        <v>0</v>
      </c>
      <c r="V161" s="6">
        <v>0</v>
      </c>
      <c r="W161" s="6">
        <f t="shared" si="164"/>
        <v>0</v>
      </c>
      <c r="X161" s="6">
        <f t="shared" si="165"/>
        <v>0</v>
      </c>
      <c r="Y161" s="6">
        <v>0</v>
      </c>
      <c r="Z161" s="6">
        <f t="shared" si="166"/>
        <v>0</v>
      </c>
      <c r="AA161" s="6">
        <f t="shared" si="167"/>
        <v>0</v>
      </c>
      <c r="AB161" s="6">
        <v>0</v>
      </c>
      <c r="AC161" s="6">
        <f t="shared" si="168"/>
        <v>0</v>
      </c>
      <c r="AD161" s="6">
        <f t="shared" si="169"/>
        <v>0</v>
      </c>
      <c r="AE161" s="6">
        <v>0</v>
      </c>
      <c r="AF161" s="6">
        <f t="shared" si="170"/>
        <v>0</v>
      </c>
      <c r="AG161" s="6">
        <f t="shared" si="171"/>
        <v>0</v>
      </c>
      <c r="AH161" s="6">
        <v>0</v>
      </c>
      <c r="AI161" s="6">
        <f t="shared" si="172"/>
        <v>0</v>
      </c>
      <c r="AJ161" s="6">
        <f t="shared" si="173"/>
        <v>0</v>
      </c>
      <c r="AK161" s="6">
        <v>0</v>
      </c>
      <c r="AL161" s="6">
        <f t="shared" si="174"/>
        <v>0</v>
      </c>
      <c r="AM161" s="6">
        <f t="shared" si="175"/>
        <v>0</v>
      </c>
      <c r="AN161" s="6">
        <v>0</v>
      </c>
      <c r="AO161" s="6">
        <f t="shared" si="176"/>
        <v>0</v>
      </c>
      <c r="AP161" s="6">
        <f t="shared" si="177"/>
        <v>0</v>
      </c>
      <c r="AQ161" s="6">
        <v>0</v>
      </c>
      <c r="AR161" s="6">
        <f t="shared" si="178"/>
        <v>0</v>
      </c>
      <c r="AS161" s="6">
        <f t="shared" si="179"/>
        <v>0</v>
      </c>
      <c r="AT161" s="6">
        <v>0</v>
      </c>
      <c r="AU161" s="6">
        <f t="shared" si="180"/>
        <v>0</v>
      </c>
      <c r="AV161" s="6">
        <f t="shared" si="181"/>
        <v>0</v>
      </c>
      <c r="AW161" s="6">
        <v>0</v>
      </c>
      <c r="AX161" s="6">
        <f t="shared" si="182"/>
        <v>0</v>
      </c>
      <c r="AY161" s="6">
        <f t="shared" si="183"/>
        <v>0</v>
      </c>
      <c r="AZ161" s="6">
        <v>0</v>
      </c>
      <c r="BA161" s="6">
        <f t="shared" si="184"/>
        <v>0</v>
      </c>
      <c r="BB161" s="6">
        <f t="shared" si="185"/>
        <v>0</v>
      </c>
      <c r="BC161" s="6">
        <v>0</v>
      </c>
      <c r="BD161" s="6">
        <f t="shared" si="186"/>
        <v>0</v>
      </c>
      <c r="BE161" s="6">
        <f t="shared" si="187"/>
        <v>0</v>
      </c>
      <c r="BF161" s="6">
        <v>0</v>
      </c>
      <c r="BG161" s="6">
        <f t="shared" si="188"/>
        <v>0</v>
      </c>
      <c r="BH161" s="6">
        <f t="shared" si="189"/>
        <v>0</v>
      </c>
      <c r="BI161" s="6">
        <v>0</v>
      </c>
      <c r="BJ161" s="6">
        <f t="shared" si="190"/>
        <v>0</v>
      </c>
      <c r="BK161" s="6">
        <f t="shared" si="191"/>
        <v>0</v>
      </c>
      <c r="BL161" s="6">
        <v>0</v>
      </c>
      <c r="BM161" s="6">
        <f t="shared" si="192"/>
        <v>0</v>
      </c>
      <c r="BN161" s="6">
        <f t="shared" si="193"/>
        <v>0</v>
      </c>
      <c r="BO161" s="6">
        <v>0</v>
      </c>
      <c r="BP161" s="6">
        <f t="shared" si="194"/>
        <v>0</v>
      </c>
      <c r="BQ161" s="6">
        <f t="shared" si="195"/>
        <v>0</v>
      </c>
      <c r="BR161" s="6">
        <v>0</v>
      </c>
      <c r="BS161" s="6">
        <f t="shared" si="196"/>
        <v>0</v>
      </c>
      <c r="BT161" s="6">
        <f t="shared" si="197"/>
        <v>0</v>
      </c>
      <c r="BU161" s="6">
        <v>0</v>
      </c>
      <c r="BV161" s="6">
        <f t="shared" si="198"/>
        <v>0</v>
      </c>
      <c r="BW161" s="6">
        <f t="shared" si="199"/>
        <v>0</v>
      </c>
      <c r="BX161" s="6">
        <v>0</v>
      </c>
      <c r="BY161" s="6">
        <f t="shared" si="200"/>
        <v>0</v>
      </c>
      <c r="BZ161" s="6">
        <f t="shared" si="201"/>
        <v>0</v>
      </c>
      <c r="CA161" s="6">
        <v>0</v>
      </c>
      <c r="CB161" s="6">
        <f t="shared" si="202"/>
        <v>0</v>
      </c>
      <c r="CC161" s="6">
        <f t="shared" si="203"/>
        <v>0</v>
      </c>
      <c r="CD161" s="6">
        <v>0</v>
      </c>
      <c r="CE161" s="6">
        <f t="shared" si="204"/>
        <v>0</v>
      </c>
      <c r="CF161" s="6">
        <f t="shared" si="205"/>
        <v>0</v>
      </c>
      <c r="CG161" s="6">
        <v>0</v>
      </c>
      <c r="CH161" s="6">
        <f t="shared" si="206"/>
        <v>0</v>
      </c>
      <c r="CI161" s="6">
        <f t="shared" si="207"/>
        <v>0</v>
      </c>
      <c r="CJ161" s="6">
        <v>0</v>
      </c>
      <c r="CK161" s="6">
        <f t="shared" si="208"/>
        <v>0</v>
      </c>
      <c r="CL161" s="6">
        <f t="shared" si="209"/>
        <v>0</v>
      </c>
      <c r="CM161" s="6">
        <v>0</v>
      </c>
      <c r="CN161" s="6">
        <f t="shared" si="210"/>
        <v>0</v>
      </c>
      <c r="CO161" s="6">
        <f t="shared" si="211"/>
        <v>0</v>
      </c>
      <c r="CP161" s="6">
        <v>0</v>
      </c>
      <c r="CQ161" s="6">
        <f t="shared" si="212"/>
        <v>0</v>
      </c>
      <c r="CR161" s="6">
        <f t="shared" si="213"/>
        <v>0</v>
      </c>
      <c r="CS161" s="6">
        <v>0</v>
      </c>
      <c r="CT161" s="6">
        <f t="shared" si="214"/>
        <v>0</v>
      </c>
      <c r="CU161" s="6">
        <f t="shared" si="215"/>
        <v>0</v>
      </c>
      <c r="CV161" s="6">
        <v>0</v>
      </c>
      <c r="CW161" s="6">
        <f t="shared" si="216"/>
        <v>0</v>
      </c>
      <c r="CX161" s="6">
        <f t="shared" si="217"/>
        <v>0</v>
      </c>
      <c r="CY161" s="6">
        <v>0</v>
      </c>
      <c r="CZ161" s="6">
        <f t="shared" si="218"/>
        <v>0</v>
      </c>
      <c r="DA161" s="6">
        <f t="shared" si="219"/>
        <v>0</v>
      </c>
      <c r="DB161" s="6">
        <v>0</v>
      </c>
      <c r="DC161" s="6">
        <f t="shared" si="220"/>
        <v>0</v>
      </c>
      <c r="DD161" s="6">
        <f t="shared" si="221"/>
        <v>0</v>
      </c>
      <c r="DE161" s="6">
        <v>0</v>
      </c>
      <c r="DF161" s="6">
        <f t="shared" si="222"/>
        <v>0</v>
      </c>
      <c r="DG161" s="6">
        <f t="shared" si="223"/>
        <v>0</v>
      </c>
      <c r="DH161" s="6">
        <v>0</v>
      </c>
      <c r="DI161" s="6">
        <f t="shared" si="224"/>
        <v>0</v>
      </c>
      <c r="DJ161" s="6">
        <f t="shared" si="225"/>
        <v>0</v>
      </c>
      <c r="DK161" s="6">
        <v>0</v>
      </c>
      <c r="DL161" s="6">
        <f t="shared" si="226"/>
        <v>0</v>
      </c>
      <c r="DM161" s="6">
        <f t="shared" si="227"/>
        <v>0</v>
      </c>
      <c r="DN161" s="6">
        <v>0</v>
      </c>
      <c r="DO161" s="6">
        <f t="shared" si="228"/>
        <v>0</v>
      </c>
      <c r="DP161" s="6">
        <f t="shared" si="229"/>
        <v>0</v>
      </c>
    </row>
    <row r="162" spans="1:120" x14ac:dyDescent="0.2">
      <c r="A162" s="21">
        <v>85</v>
      </c>
      <c r="B162" s="21" t="s">
        <v>612</v>
      </c>
      <c r="C162" s="21">
        <v>85440</v>
      </c>
      <c r="D162" s="21" t="s">
        <v>677</v>
      </c>
      <c r="E162" s="21" t="s">
        <v>638</v>
      </c>
      <c r="F162" s="22" t="s">
        <v>669</v>
      </c>
      <c r="G162" s="4" t="s">
        <v>274</v>
      </c>
      <c r="H162" s="6">
        <v>814442.87</v>
      </c>
      <c r="I162" s="6">
        <f t="shared" si="230"/>
        <v>2231.3503287671233</v>
      </c>
      <c r="J162" s="6">
        <v>452302.4326</v>
      </c>
      <c r="K162" s="6">
        <v>604082.41</v>
      </c>
      <c r="L162" s="6">
        <f t="shared" si="231"/>
        <v>1650.4983879781421</v>
      </c>
      <c r="M162" s="6">
        <v>307935.05820000003</v>
      </c>
      <c r="N162" s="6">
        <v>348059.61</v>
      </c>
      <c r="O162" s="6">
        <f t="shared" si="234"/>
        <v>953.58797260273968</v>
      </c>
      <c r="P162" s="6">
        <v>219988.8449</v>
      </c>
      <c r="Q162" s="6">
        <v>159389.76000000001</v>
      </c>
      <c r="R162" s="6">
        <f t="shared" si="235"/>
        <v>880.60640883977908</v>
      </c>
      <c r="S162" s="6">
        <v>169831.75080000001</v>
      </c>
      <c r="T162" s="6">
        <f t="shared" si="162"/>
        <v>169831.75080000001</v>
      </c>
      <c r="U162" s="6">
        <f t="shared" si="163"/>
        <v>465.29246794520549</v>
      </c>
      <c r="V162" s="6">
        <v>131923.10800000001</v>
      </c>
      <c r="W162" s="6">
        <f t="shared" si="164"/>
        <v>131923.10800000001</v>
      </c>
      <c r="X162" s="6">
        <f t="shared" si="165"/>
        <v>361.43317260273977</v>
      </c>
      <c r="Y162" s="6">
        <v>71295.703599999993</v>
      </c>
      <c r="Z162" s="6">
        <f t="shared" si="166"/>
        <v>71295.703599999993</v>
      </c>
      <c r="AA162" s="6">
        <f t="shared" si="167"/>
        <v>195.33069479452053</v>
      </c>
      <c r="AB162" s="6">
        <v>51260.666400000002</v>
      </c>
      <c r="AC162" s="6">
        <f t="shared" si="168"/>
        <v>51260.666400000002</v>
      </c>
      <c r="AD162" s="6">
        <f t="shared" si="169"/>
        <v>140.44018191780822</v>
      </c>
      <c r="AE162" s="6">
        <v>44019.930399999997</v>
      </c>
      <c r="AF162" s="6">
        <f t="shared" si="170"/>
        <v>44019.930399999997</v>
      </c>
      <c r="AG162" s="6">
        <f t="shared" si="171"/>
        <v>120.60254904109588</v>
      </c>
      <c r="AH162" s="6">
        <v>33912.169600000001</v>
      </c>
      <c r="AI162" s="6">
        <f t="shared" si="172"/>
        <v>33912.169600000001</v>
      </c>
      <c r="AJ162" s="6">
        <f t="shared" si="173"/>
        <v>92.910053698630136</v>
      </c>
      <c r="AK162" s="6">
        <v>0</v>
      </c>
      <c r="AL162" s="6">
        <f t="shared" si="174"/>
        <v>0</v>
      </c>
      <c r="AM162" s="6">
        <f t="shared" si="175"/>
        <v>0</v>
      </c>
      <c r="AN162" s="6">
        <v>0</v>
      </c>
      <c r="AO162" s="6">
        <f t="shared" si="176"/>
        <v>0</v>
      </c>
      <c r="AP162" s="6">
        <f t="shared" si="177"/>
        <v>0</v>
      </c>
      <c r="AQ162" s="6">
        <v>0</v>
      </c>
      <c r="AR162" s="6">
        <f t="shared" si="178"/>
        <v>0</v>
      </c>
      <c r="AS162" s="6">
        <f t="shared" si="179"/>
        <v>0</v>
      </c>
      <c r="AT162" s="6">
        <v>0</v>
      </c>
      <c r="AU162" s="6">
        <f t="shared" si="180"/>
        <v>0</v>
      </c>
      <c r="AV162" s="6">
        <f t="shared" si="181"/>
        <v>0</v>
      </c>
      <c r="AW162" s="6">
        <v>0</v>
      </c>
      <c r="AX162" s="6">
        <f t="shared" si="182"/>
        <v>0</v>
      </c>
      <c r="AY162" s="6">
        <f t="shared" si="183"/>
        <v>0</v>
      </c>
      <c r="AZ162" s="6">
        <v>0</v>
      </c>
      <c r="BA162" s="6">
        <f t="shared" si="184"/>
        <v>0</v>
      </c>
      <c r="BB162" s="6">
        <f t="shared" si="185"/>
        <v>0</v>
      </c>
      <c r="BC162" s="6">
        <v>0</v>
      </c>
      <c r="BD162" s="6">
        <f t="shared" si="186"/>
        <v>0</v>
      </c>
      <c r="BE162" s="6">
        <f t="shared" si="187"/>
        <v>0</v>
      </c>
      <c r="BF162" s="6">
        <v>0</v>
      </c>
      <c r="BG162" s="6">
        <f t="shared" si="188"/>
        <v>0</v>
      </c>
      <c r="BH162" s="6">
        <f t="shared" si="189"/>
        <v>0</v>
      </c>
      <c r="BI162" s="6">
        <v>0</v>
      </c>
      <c r="BJ162" s="6">
        <f t="shared" si="190"/>
        <v>0</v>
      </c>
      <c r="BK162" s="6">
        <f t="shared" si="191"/>
        <v>0</v>
      </c>
      <c r="BL162" s="6">
        <v>0</v>
      </c>
      <c r="BM162" s="6">
        <f t="shared" si="192"/>
        <v>0</v>
      </c>
      <c r="BN162" s="6">
        <f t="shared" si="193"/>
        <v>0</v>
      </c>
      <c r="BO162" s="6">
        <v>0</v>
      </c>
      <c r="BP162" s="6">
        <f t="shared" si="194"/>
        <v>0</v>
      </c>
      <c r="BQ162" s="6">
        <f t="shared" si="195"/>
        <v>0</v>
      </c>
      <c r="BR162" s="6">
        <v>0</v>
      </c>
      <c r="BS162" s="6">
        <f t="shared" si="196"/>
        <v>0</v>
      </c>
      <c r="BT162" s="6">
        <f t="shared" si="197"/>
        <v>0</v>
      </c>
      <c r="BU162" s="6">
        <v>0</v>
      </c>
      <c r="BV162" s="6">
        <f t="shared" si="198"/>
        <v>0</v>
      </c>
      <c r="BW162" s="6">
        <f t="shared" si="199"/>
        <v>0</v>
      </c>
      <c r="BX162" s="6">
        <v>0</v>
      </c>
      <c r="BY162" s="6">
        <f t="shared" si="200"/>
        <v>0</v>
      </c>
      <c r="BZ162" s="6">
        <f t="shared" si="201"/>
        <v>0</v>
      </c>
      <c r="CA162" s="6">
        <v>0</v>
      </c>
      <c r="CB162" s="6">
        <f t="shared" si="202"/>
        <v>0</v>
      </c>
      <c r="CC162" s="6">
        <f t="shared" si="203"/>
        <v>0</v>
      </c>
      <c r="CD162" s="6">
        <v>0</v>
      </c>
      <c r="CE162" s="6">
        <f t="shared" si="204"/>
        <v>0</v>
      </c>
      <c r="CF162" s="6">
        <f t="shared" si="205"/>
        <v>0</v>
      </c>
      <c r="CG162" s="6">
        <v>0</v>
      </c>
      <c r="CH162" s="6">
        <f t="shared" si="206"/>
        <v>0</v>
      </c>
      <c r="CI162" s="6">
        <f t="shared" si="207"/>
        <v>0</v>
      </c>
      <c r="CJ162" s="6">
        <v>0</v>
      </c>
      <c r="CK162" s="6">
        <f t="shared" si="208"/>
        <v>0</v>
      </c>
      <c r="CL162" s="6">
        <f t="shared" si="209"/>
        <v>0</v>
      </c>
      <c r="CM162" s="6">
        <v>0</v>
      </c>
      <c r="CN162" s="6">
        <f t="shared" si="210"/>
        <v>0</v>
      </c>
      <c r="CO162" s="6">
        <f t="shared" si="211"/>
        <v>0</v>
      </c>
      <c r="CP162" s="6">
        <v>0</v>
      </c>
      <c r="CQ162" s="6">
        <f t="shared" si="212"/>
        <v>0</v>
      </c>
      <c r="CR162" s="6">
        <f t="shared" si="213"/>
        <v>0</v>
      </c>
      <c r="CS162" s="6">
        <v>0</v>
      </c>
      <c r="CT162" s="6">
        <f t="shared" si="214"/>
        <v>0</v>
      </c>
      <c r="CU162" s="6">
        <f t="shared" si="215"/>
        <v>0</v>
      </c>
      <c r="CV162" s="6">
        <v>0</v>
      </c>
      <c r="CW162" s="6">
        <f t="shared" si="216"/>
        <v>0</v>
      </c>
      <c r="CX162" s="6">
        <f t="shared" si="217"/>
        <v>0</v>
      </c>
      <c r="CY162" s="6">
        <v>0</v>
      </c>
      <c r="CZ162" s="6">
        <f t="shared" si="218"/>
        <v>0</v>
      </c>
      <c r="DA162" s="6">
        <f t="shared" si="219"/>
        <v>0</v>
      </c>
      <c r="DB162" s="6">
        <v>0</v>
      </c>
      <c r="DC162" s="6">
        <f t="shared" si="220"/>
        <v>0</v>
      </c>
      <c r="DD162" s="6">
        <f t="shared" si="221"/>
        <v>0</v>
      </c>
      <c r="DE162" s="6">
        <v>0</v>
      </c>
      <c r="DF162" s="6">
        <f t="shared" si="222"/>
        <v>0</v>
      </c>
      <c r="DG162" s="6">
        <f t="shared" si="223"/>
        <v>0</v>
      </c>
      <c r="DH162" s="6">
        <v>0</v>
      </c>
      <c r="DI162" s="6">
        <f t="shared" si="224"/>
        <v>0</v>
      </c>
      <c r="DJ162" s="6">
        <f t="shared" si="225"/>
        <v>0</v>
      </c>
      <c r="DK162" s="6">
        <v>0</v>
      </c>
      <c r="DL162" s="6">
        <f t="shared" si="226"/>
        <v>0</v>
      </c>
      <c r="DM162" s="6">
        <f t="shared" si="227"/>
        <v>0</v>
      </c>
      <c r="DN162" s="6">
        <v>0</v>
      </c>
      <c r="DO162" s="6">
        <f t="shared" si="228"/>
        <v>0</v>
      </c>
      <c r="DP162" s="6">
        <f t="shared" si="229"/>
        <v>0</v>
      </c>
    </row>
    <row r="163" spans="1:120" x14ac:dyDescent="0.2">
      <c r="A163" s="21">
        <v>47</v>
      </c>
      <c r="B163" s="21" t="s">
        <v>718</v>
      </c>
      <c r="C163" s="21">
        <v>47555</v>
      </c>
      <c r="D163" s="21" t="s">
        <v>731</v>
      </c>
      <c r="E163" s="21" t="s">
        <v>671</v>
      </c>
      <c r="F163" s="22" t="s">
        <v>669</v>
      </c>
      <c r="G163" s="4" t="s">
        <v>275</v>
      </c>
      <c r="H163" s="6">
        <v>1120048.29</v>
      </c>
      <c r="I163" s="6">
        <f t="shared" si="230"/>
        <v>3068.6254520547946</v>
      </c>
      <c r="J163" s="6">
        <v>1449400</v>
      </c>
      <c r="K163" s="6">
        <v>1281962.47</v>
      </c>
      <c r="L163" s="6">
        <f t="shared" si="231"/>
        <v>3502.6296994535519</v>
      </c>
      <c r="M163" s="6">
        <v>1551536.8092</v>
      </c>
      <c r="N163" s="6">
        <v>1299417.8400000001</v>
      </c>
      <c r="O163" s="6">
        <f t="shared" si="234"/>
        <v>3560.0488767123288</v>
      </c>
      <c r="P163" s="6">
        <v>1013460.2436</v>
      </c>
      <c r="Q163" s="6">
        <v>588502.18000000005</v>
      </c>
      <c r="R163" s="6">
        <f t="shared" si="235"/>
        <v>3251.3932596685086</v>
      </c>
      <c r="S163" s="6">
        <v>649983.4743</v>
      </c>
      <c r="T163" s="6">
        <f t="shared" si="162"/>
        <v>649983.4743</v>
      </c>
      <c r="U163" s="6">
        <f t="shared" si="163"/>
        <v>1780.7766419178083</v>
      </c>
      <c r="V163" s="6">
        <v>440357.0993</v>
      </c>
      <c r="W163" s="6">
        <f t="shared" si="164"/>
        <v>440357.0993</v>
      </c>
      <c r="X163" s="6">
        <f t="shared" si="165"/>
        <v>1206.4578063013698</v>
      </c>
      <c r="Y163" s="6">
        <v>309249.98550000001</v>
      </c>
      <c r="Z163" s="6">
        <f t="shared" si="166"/>
        <v>309249.98550000001</v>
      </c>
      <c r="AA163" s="6">
        <f t="shared" si="167"/>
        <v>847.26023424657535</v>
      </c>
      <c r="AB163" s="6">
        <v>225295.98860000001</v>
      </c>
      <c r="AC163" s="6">
        <f t="shared" si="168"/>
        <v>225295.98860000001</v>
      </c>
      <c r="AD163" s="6">
        <f t="shared" si="169"/>
        <v>617.24928383561644</v>
      </c>
      <c r="AE163" s="6">
        <v>168722.6917</v>
      </c>
      <c r="AF163" s="6">
        <f t="shared" si="170"/>
        <v>168722.6917</v>
      </c>
      <c r="AG163" s="6">
        <f t="shared" si="171"/>
        <v>462.2539498630137</v>
      </c>
      <c r="AH163" s="6">
        <v>129625.5373</v>
      </c>
      <c r="AI163" s="6">
        <f t="shared" si="172"/>
        <v>129625.5373</v>
      </c>
      <c r="AJ163" s="6">
        <f t="shared" si="173"/>
        <v>355.13845835616439</v>
      </c>
      <c r="AK163" s="6">
        <v>101017.10249999999</v>
      </c>
      <c r="AL163" s="6">
        <f t="shared" si="174"/>
        <v>101017.10249999999</v>
      </c>
      <c r="AM163" s="6">
        <f t="shared" si="175"/>
        <v>276.75918493150681</v>
      </c>
      <c r="AN163" s="6">
        <v>80319.447100000005</v>
      </c>
      <c r="AO163" s="6">
        <f t="shared" si="176"/>
        <v>80319.447100000005</v>
      </c>
      <c r="AP163" s="6">
        <f t="shared" si="177"/>
        <v>220.0532797260274</v>
      </c>
      <c r="AQ163" s="6">
        <v>64813.661999999997</v>
      </c>
      <c r="AR163" s="6">
        <f t="shared" si="178"/>
        <v>64813.661999999997</v>
      </c>
      <c r="AS163" s="6">
        <f t="shared" si="179"/>
        <v>177.57167671232875</v>
      </c>
      <c r="AT163" s="6">
        <v>53116.604500000001</v>
      </c>
      <c r="AU163" s="6">
        <f t="shared" si="180"/>
        <v>53116.604500000001</v>
      </c>
      <c r="AV163" s="6">
        <f t="shared" si="181"/>
        <v>145.52494383561645</v>
      </c>
      <c r="AW163" s="6">
        <v>4044.0270999999998</v>
      </c>
      <c r="AX163" s="6">
        <f t="shared" si="182"/>
        <v>4044.0270999999998</v>
      </c>
      <c r="AY163" s="6">
        <f t="shared" si="183"/>
        <v>11.079526301369862</v>
      </c>
      <c r="AZ163" s="6">
        <v>0</v>
      </c>
      <c r="BA163" s="6">
        <f t="shared" si="184"/>
        <v>0</v>
      </c>
      <c r="BB163" s="6">
        <f t="shared" si="185"/>
        <v>0</v>
      </c>
      <c r="BC163" s="6">
        <v>0</v>
      </c>
      <c r="BD163" s="6">
        <f t="shared" si="186"/>
        <v>0</v>
      </c>
      <c r="BE163" s="6">
        <f t="shared" si="187"/>
        <v>0</v>
      </c>
      <c r="BF163" s="6">
        <v>0</v>
      </c>
      <c r="BG163" s="6">
        <f t="shared" si="188"/>
        <v>0</v>
      </c>
      <c r="BH163" s="6">
        <f t="shared" si="189"/>
        <v>0</v>
      </c>
      <c r="BI163" s="6">
        <v>0</v>
      </c>
      <c r="BJ163" s="6">
        <f t="shared" si="190"/>
        <v>0</v>
      </c>
      <c r="BK163" s="6">
        <f t="shared" si="191"/>
        <v>0</v>
      </c>
      <c r="BL163" s="6">
        <v>0</v>
      </c>
      <c r="BM163" s="6">
        <f t="shared" si="192"/>
        <v>0</v>
      </c>
      <c r="BN163" s="6">
        <f t="shared" si="193"/>
        <v>0</v>
      </c>
      <c r="BO163" s="6">
        <v>0</v>
      </c>
      <c r="BP163" s="6">
        <f t="shared" si="194"/>
        <v>0</v>
      </c>
      <c r="BQ163" s="6">
        <f t="shared" si="195"/>
        <v>0</v>
      </c>
      <c r="BR163" s="6">
        <v>0</v>
      </c>
      <c r="BS163" s="6">
        <f t="shared" si="196"/>
        <v>0</v>
      </c>
      <c r="BT163" s="6">
        <f t="shared" si="197"/>
        <v>0</v>
      </c>
      <c r="BU163" s="6">
        <v>0</v>
      </c>
      <c r="BV163" s="6">
        <f t="shared" si="198"/>
        <v>0</v>
      </c>
      <c r="BW163" s="6">
        <f t="shared" si="199"/>
        <v>0</v>
      </c>
      <c r="BX163" s="6">
        <v>0</v>
      </c>
      <c r="BY163" s="6">
        <f t="shared" si="200"/>
        <v>0</v>
      </c>
      <c r="BZ163" s="6">
        <f t="shared" si="201"/>
        <v>0</v>
      </c>
      <c r="CA163" s="6">
        <v>0</v>
      </c>
      <c r="CB163" s="6">
        <f t="shared" si="202"/>
        <v>0</v>
      </c>
      <c r="CC163" s="6">
        <f t="shared" si="203"/>
        <v>0</v>
      </c>
      <c r="CD163" s="6">
        <v>0</v>
      </c>
      <c r="CE163" s="6">
        <f t="shared" si="204"/>
        <v>0</v>
      </c>
      <c r="CF163" s="6">
        <f t="shared" si="205"/>
        <v>0</v>
      </c>
      <c r="CG163" s="6">
        <v>0</v>
      </c>
      <c r="CH163" s="6">
        <f t="shared" si="206"/>
        <v>0</v>
      </c>
      <c r="CI163" s="6">
        <f t="shared" si="207"/>
        <v>0</v>
      </c>
      <c r="CJ163" s="6">
        <v>0</v>
      </c>
      <c r="CK163" s="6">
        <f t="shared" si="208"/>
        <v>0</v>
      </c>
      <c r="CL163" s="6">
        <f t="shared" si="209"/>
        <v>0</v>
      </c>
      <c r="CM163" s="6">
        <v>0</v>
      </c>
      <c r="CN163" s="6">
        <f t="shared" si="210"/>
        <v>0</v>
      </c>
      <c r="CO163" s="6">
        <f t="shared" si="211"/>
        <v>0</v>
      </c>
      <c r="CP163" s="6">
        <v>0</v>
      </c>
      <c r="CQ163" s="6">
        <f t="shared" si="212"/>
        <v>0</v>
      </c>
      <c r="CR163" s="6">
        <f t="shared" si="213"/>
        <v>0</v>
      </c>
      <c r="CS163" s="6">
        <v>0</v>
      </c>
      <c r="CT163" s="6">
        <f t="shared" si="214"/>
        <v>0</v>
      </c>
      <c r="CU163" s="6">
        <f t="shared" si="215"/>
        <v>0</v>
      </c>
      <c r="CV163" s="6">
        <v>0</v>
      </c>
      <c r="CW163" s="6">
        <f t="shared" si="216"/>
        <v>0</v>
      </c>
      <c r="CX163" s="6">
        <f t="shared" si="217"/>
        <v>0</v>
      </c>
      <c r="CY163" s="6">
        <v>0</v>
      </c>
      <c r="CZ163" s="6">
        <f t="shared" si="218"/>
        <v>0</v>
      </c>
      <c r="DA163" s="6">
        <f t="shared" si="219"/>
        <v>0</v>
      </c>
      <c r="DB163" s="6">
        <v>0</v>
      </c>
      <c r="DC163" s="6">
        <f t="shared" si="220"/>
        <v>0</v>
      </c>
      <c r="DD163" s="6">
        <f t="shared" si="221"/>
        <v>0</v>
      </c>
      <c r="DE163" s="6">
        <v>0</v>
      </c>
      <c r="DF163" s="6">
        <f t="shared" si="222"/>
        <v>0</v>
      </c>
      <c r="DG163" s="6">
        <f t="shared" si="223"/>
        <v>0</v>
      </c>
      <c r="DH163" s="6">
        <v>0</v>
      </c>
      <c r="DI163" s="6">
        <f t="shared" si="224"/>
        <v>0</v>
      </c>
      <c r="DJ163" s="6">
        <f t="shared" si="225"/>
        <v>0</v>
      </c>
      <c r="DK163" s="6">
        <v>0</v>
      </c>
      <c r="DL163" s="6">
        <f t="shared" si="226"/>
        <v>0</v>
      </c>
      <c r="DM163" s="6">
        <f t="shared" si="227"/>
        <v>0</v>
      </c>
      <c r="DN163" s="6">
        <v>0</v>
      </c>
      <c r="DO163" s="6">
        <f t="shared" si="228"/>
        <v>0</v>
      </c>
      <c r="DP163" s="6">
        <f t="shared" si="229"/>
        <v>0</v>
      </c>
    </row>
    <row r="164" spans="1:120" x14ac:dyDescent="0.2">
      <c r="A164" s="21">
        <v>41</v>
      </c>
      <c r="B164" s="21" t="s">
        <v>687</v>
      </c>
      <c r="C164" s="21">
        <v>41518</v>
      </c>
      <c r="D164" s="21" t="s">
        <v>732</v>
      </c>
      <c r="E164" s="21" t="s">
        <v>575</v>
      </c>
      <c r="F164" s="22" t="s">
        <v>662</v>
      </c>
      <c r="G164" s="4" t="s">
        <v>276</v>
      </c>
      <c r="H164" s="6">
        <v>417008.87</v>
      </c>
      <c r="I164" s="6">
        <f t="shared" si="230"/>
        <v>1142.4900547945206</v>
      </c>
      <c r="J164" s="6">
        <v>371468</v>
      </c>
      <c r="K164" s="6">
        <v>352288.85</v>
      </c>
      <c r="L164" s="6">
        <f t="shared" si="231"/>
        <v>962.53784153005461</v>
      </c>
      <c r="M164" s="6">
        <v>316587</v>
      </c>
      <c r="N164" s="6">
        <v>292506.46999999997</v>
      </c>
      <c r="O164" s="6">
        <f t="shared" si="234"/>
        <v>801.38758904109579</v>
      </c>
      <c r="P164" s="6">
        <v>274890</v>
      </c>
      <c r="Q164" s="6">
        <v>140491.79999999999</v>
      </c>
      <c r="R164" s="6">
        <f t="shared" si="235"/>
        <v>776.19779005524856</v>
      </c>
      <c r="S164" s="6">
        <v>241795</v>
      </c>
      <c r="T164" s="6">
        <f t="shared" si="162"/>
        <v>241795</v>
      </c>
      <c r="U164" s="6">
        <f t="shared" si="163"/>
        <v>662.45205479452056</v>
      </c>
      <c r="V164" s="6">
        <v>214863</v>
      </c>
      <c r="W164" s="6">
        <f t="shared" si="164"/>
        <v>214863</v>
      </c>
      <c r="X164" s="6">
        <f t="shared" si="165"/>
        <v>588.66575342465751</v>
      </c>
      <c r="Y164" s="6">
        <v>188997</v>
      </c>
      <c r="Z164" s="6">
        <f t="shared" si="166"/>
        <v>188997</v>
      </c>
      <c r="AA164" s="6">
        <f t="shared" si="167"/>
        <v>517.79999999999995</v>
      </c>
      <c r="AB164" s="6">
        <v>170602</v>
      </c>
      <c r="AC164" s="6">
        <f t="shared" si="168"/>
        <v>170602</v>
      </c>
      <c r="AD164" s="6">
        <f t="shared" si="169"/>
        <v>467.40273972602739</v>
      </c>
      <c r="AE164" s="6">
        <v>154401</v>
      </c>
      <c r="AF164" s="6">
        <f t="shared" si="170"/>
        <v>154401</v>
      </c>
      <c r="AG164" s="6">
        <f t="shared" si="171"/>
        <v>423.01643835616437</v>
      </c>
      <c r="AH164" s="6">
        <v>142058</v>
      </c>
      <c r="AI164" s="6">
        <f t="shared" si="172"/>
        <v>142058</v>
      </c>
      <c r="AJ164" s="6">
        <f t="shared" si="173"/>
        <v>389.2</v>
      </c>
      <c r="AK164" s="6">
        <v>130297</v>
      </c>
      <c r="AL164" s="6">
        <f t="shared" si="174"/>
        <v>130297</v>
      </c>
      <c r="AM164" s="6">
        <f t="shared" si="175"/>
        <v>356.9780821917808</v>
      </c>
      <c r="AN164" s="6">
        <v>118760</v>
      </c>
      <c r="AO164" s="6">
        <f t="shared" si="176"/>
        <v>118760</v>
      </c>
      <c r="AP164" s="6">
        <f t="shared" si="177"/>
        <v>325.36986301369865</v>
      </c>
      <c r="AQ164" s="6">
        <v>109666</v>
      </c>
      <c r="AR164" s="6">
        <f t="shared" si="178"/>
        <v>109666</v>
      </c>
      <c r="AS164" s="6">
        <f t="shared" si="179"/>
        <v>300.45479452054792</v>
      </c>
      <c r="AT164" s="6">
        <v>101928</v>
      </c>
      <c r="AU164" s="6">
        <f t="shared" si="180"/>
        <v>101928</v>
      </c>
      <c r="AV164" s="6">
        <f t="shared" si="181"/>
        <v>279.25479452054793</v>
      </c>
      <c r="AW164" s="6">
        <v>94346</v>
      </c>
      <c r="AX164" s="6">
        <f t="shared" si="182"/>
        <v>94346</v>
      </c>
      <c r="AY164" s="6">
        <f t="shared" si="183"/>
        <v>258.48219178082189</v>
      </c>
      <c r="AZ164" s="6">
        <v>87666</v>
      </c>
      <c r="BA164" s="6">
        <f t="shared" si="184"/>
        <v>87666</v>
      </c>
      <c r="BB164" s="6">
        <f t="shared" si="185"/>
        <v>240.18082191780823</v>
      </c>
      <c r="BC164" s="6">
        <v>81555</v>
      </c>
      <c r="BD164" s="6">
        <f t="shared" si="186"/>
        <v>81555</v>
      </c>
      <c r="BE164" s="6">
        <f t="shared" si="187"/>
        <v>223.43835616438355</v>
      </c>
      <c r="BF164" s="6">
        <v>76008</v>
      </c>
      <c r="BG164" s="6">
        <f t="shared" si="188"/>
        <v>76008</v>
      </c>
      <c r="BH164" s="6">
        <f t="shared" si="189"/>
        <v>208.24109589041095</v>
      </c>
      <c r="BI164" s="6">
        <v>69074</v>
      </c>
      <c r="BJ164" s="6">
        <f t="shared" si="190"/>
        <v>69074</v>
      </c>
      <c r="BK164" s="6">
        <f t="shared" si="191"/>
        <v>189.24383561643836</v>
      </c>
      <c r="BL164" s="6">
        <v>64514</v>
      </c>
      <c r="BM164" s="6">
        <f t="shared" si="192"/>
        <v>64514</v>
      </c>
      <c r="BN164" s="6">
        <f t="shared" si="193"/>
        <v>176.75068493150684</v>
      </c>
      <c r="BO164" s="6">
        <v>0</v>
      </c>
      <c r="BP164" s="6">
        <f t="shared" si="194"/>
        <v>0</v>
      </c>
      <c r="BQ164" s="6">
        <f t="shared" si="195"/>
        <v>0</v>
      </c>
      <c r="BR164" s="6">
        <v>0</v>
      </c>
      <c r="BS164" s="6">
        <f t="shared" si="196"/>
        <v>0</v>
      </c>
      <c r="BT164" s="6">
        <f t="shared" si="197"/>
        <v>0</v>
      </c>
      <c r="BU164" s="6">
        <v>0</v>
      </c>
      <c r="BV164" s="6">
        <f t="shared" si="198"/>
        <v>0</v>
      </c>
      <c r="BW164" s="6">
        <f t="shared" si="199"/>
        <v>0</v>
      </c>
      <c r="BX164" s="6">
        <v>0</v>
      </c>
      <c r="BY164" s="6">
        <f t="shared" si="200"/>
        <v>0</v>
      </c>
      <c r="BZ164" s="6">
        <f t="shared" si="201"/>
        <v>0</v>
      </c>
      <c r="CA164" s="6">
        <v>0</v>
      </c>
      <c r="CB164" s="6">
        <f t="shared" si="202"/>
        <v>0</v>
      </c>
      <c r="CC164" s="6">
        <f t="shared" si="203"/>
        <v>0</v>
      </c>
      <c r="CD164" s="6">
        <v>0</v>
      </c>
      <c r="CE164" s="6">
        <f t="shared" si="204"/>
        <v>0</v>
      </c>
      <c r="CF164" s="6">
        <f t="shared" si="205"/>
        <v>0</v>
      </c>
      <c r="CG164" s="6">
        <v>0</v>
      </c>
      <c r="CH164" s="6">
        <f t="shared" si="206"/>
        <v>0</v>
      </c>
      <c r="CI164" s="6">
        <f t="shared" si="207"/>
        <v>0</v>
      </c>
      <c r="CJ164" s="6">
        <v>0</v>
      </c>
      <c r="CK164" s="6">
        <f t="shared" si="208"/>
        <v>0</v>
      </c>
      <c r="CL164" s="6">
        <f t="shared" si="209"/>
        <v>0</v>
      </c>
      <c r="CM164" s="6">
        <v>0</v>
      </c>
      <c r="CN164" s="6">
        <f t="shared" si="210"/>
        <v>0</v>
      </c>
      <c r="CO164" s="6">
        <f t="shared" si="211"/>
        <v>0</v>
      </c>
      <c r="CP164" s="6">
        <v>0</v>
      </c>
      <c r="CQ164" s="6">
        <f t="shared" si="212"/>
        <v>0</v>
      </c>
      <c r="CR164" s="6">
        <f t="shared" si="213"/>
        <v>0</v>
      </c>
      <c r="CS164" s="6">
        <v>0</v>
      </c>
      <c r="CT164" s="6">
        <f t="shared" si="214"/>
        <v>0</v>
      </c>
      <c r="CU164" s="6">
        <f t="shared" si="215"/>
        <v>0</v>
      </c>
      <c r="CV164" s="6">
        <v>0</v>
      </c>
      <c r="CW164" s="6">
        <f t="shared" si="216"/>
        <v>0</v>
      </c>
      <c r="CX164" s="6">
        <f t="shared" si="217"/>
        <v>0</v>
      </c>
      <c r="CY164" s="6">
        <v>0</v>
      </c>
      <c r="CZ164" s="6">
        <f t="shared" si="218"/>
        <v>0</v>
      </c>
      <c r="DA164" s="6">
        <f t="shared" si="219"/>
        <v>0</v>
      </c>
      <c r="DB164" s="6">
        <v>0</v>
      </c>
      <c r="DC164" s="6">
        <f t="shared" si="220"/>
        <v>0</v>
      </c>
      <c r="DD164" s="6">
        <f t="shared" si="221"/>
        <v>0</v>
      </c>
      <c r="DE164" s="6">
        <v>0</v>
      </c>
      <c r="DF164" s="6">
        <f t="shared" si="222"/>
        <v>0</v>
      </c>
      <c r="DG164" s="6">
        <f t="shared" si="223"/>
        <v>0</v>
      </c>
      <c r="DH164" s="6">
        <v>0</v>
      </c>
      <c r="DI164" s="6">
        <f t="shared" si="224"/>
        <v>0</v>
      </c>
      <c r="DJ164" s="6">
        <f t="shared" si="225"/>
        <v>0</v>
      </c>
      <c r="DK164" s="6">
        <v>0</v>
      </c>
      <c r="DL164" s="6">
        <f t="shared" si="226"/>
        <v>0</v>
      </c>
      <c r="DM164" s="6">
        <f t="shared" si="227"/>
        <v>0</v>
      </c>
      <c r="DN164" s="6">
        <v>0</v>
      </c>
      <c r="DO164" s="6">
        <f t="shared" si="228"/>
        <v>0</v>
      </c>
      <c r="DP164" s="6">
        <f t="shared" si="229"/>
        <v>0</v>
      </c>
    </row>
    <row r="165" spans="1:120" x14ac:dyDescent="0.2">
      <c r="A165" s="21">
        <v>68</v>
      </c>
      <c r="B165" s="21" t="s">
        <v>673</v>
      </c>
      <c r="C165" s="21">
        <v>68081</v>
      </c>
      <c r="D165" s="21" t="s">
        <v>730</v>
      </c>
      <c r="E165" s="21" t="s">
        <v>522</v>
      </c>
      <c r="F165" s="22" t="s">
        <v>666</v>
      </c>
      <c r="G165" s="4" t="s">
        <v>277</v>
      </c>
      <c r="H165" s="6">
        <v>7082681.7800000003</v>
      </c>
      <c r="I165" s="6">
        <f t="shared" si="230"/>
        <v>19404.607616438356</v>
      </c>
      <c r="J165" s="6">
        <v>7026495.5001999997</v>
      </c>
      <c r="K165" s="6">
        <v>6998021.9699999997</v>
      </c>
      <c r="L165" s="6">
        <f t="shared" si="231"/>
        <v>19120.278606557375</v>
      </c>
      <c r="M165" s="6">
        <v>7059350.2023999998</v>
      </c>
      <c r="N165" s="6">
        <v>7106909.8799999999</v>
      </c>
      <c r="O165" s="6">
        <f t="shared" si="234"/>
        <v>19470.985972602739</v>
      </c>
      <c r="P165" s="6">
        <v>6928399.2666999996</v>
      </c>
      <c r="Q165" s="6">
        <v>3396907.39</v>
      </c>
      <c r="R165" s="6">
        <f t="shared" si="235"/>
        <v>18767.444143646411</v>
      </c>
      <c r="S165" s="6">
        <v>6821976.7386999996</v>
      </c>
      <c r="T165" s="6">
        <f t="shared" si="162"/>
        <v>6821976.7386999996</v>
      </c>
      <c r="U165" s="6">
        <f t="shared" si="163"/>
        <v>18690.347229315066</v>
      </c>
      <c r="V165" s="6">
        <v>6346298.2851</v>
      </c>
      <c r="W165" s="6">
        <f t="shared" si="164"/>
        <v>6346298.2851</v>
      </c>
      <c r="X165" s="6">
        <f t="shared" si="165"/>
        <v>17387.118589315069</v>
      </c>
      <c r="Y165" s="6">
        <v>5670977.7928999998</v>
      </c>
      <c r="Z165" s="6">
        <f t="shared" si="166"/>
        <v>5670977.7928999998</v>
      </c>
      <c r="AA165" s="6">
        <f t="shared" si="167"/>
        <v>15536.925459999999</v>
      </c>
      <c r="AB165" s="6">
        <v>4934624.3167000003</v>
      </c>
      <c r="AC165" s="6">
        <f t="shared" si="168"/>
        <v>4934624.3167000003</v>
      </c>
      <c r="AD165" s="6">
        <f t="shared" si="169"/>
        <v>13519.518675890411</v>
      </c>
      <c r="AE165" s="6">
        <v>4258941.2158000004</v>
      </c>
      <c r="AF165" s="6">
        <f t="shared" si="170"/>
        <v>4258941.2158000004</v>
      </c>
      <c r="AG165" s="6">
        <f t="shared" si="171"/>
        <v>11668.332098082194</v>
      </c>
      <c r="AH165" s="6">
        <v>3692522.0898000002</v>
      </c>
      <c r="AI165" s="6">
        <f t="shared" si="172"/>
        <v>3692522.0898000002</v>
      </c>
      <c r="AJ165" s="6">
        <f t="shared" si="173"/>
        <v>10116.498876164384</v>
      </c>
      <c r="AK165" s="6">
        <v>3191954.4815000002</v>
      </c>
      <c r="AL165" s="6">
        <f t="shared" si="174"/>
        <v>3191954.4815000002</v>
      </c>
      <c r="AM165" s="6">
        <f t="shared" si="175"/>
        <v>8745.0807712328769</v>
      </c>
      <c r="AN165" s="6">
        <v>2781341.3001000001</v>
      </c>
      <c r="AO165" s="6">
        <f t="shared" si="176"/>
        <v>2781341.3001000001</v>
      </c>
      <c r="AP165" s="6">
        <f t="shared" si="177"/>
        <v>7620.113150958904</v>
      </c>
      <c r="AQ165" s="6">
        <v>2416409.4186</v>
      </c>
      <c r="AR165" s="6">
        <f t="shared" si="178"/>
        <v>2416409.4186</v>
      </c>
      <c r="AS165" s="6">
        <f t="shared" si="179"/>
        <v>6620.2997769863014</v>
      </c>
      <c r="AT165" s="6">
        <v>2059358.5549999999</v>
      </c>
      <c r="AU165" s="6">
        <f t="shared" si="180"/>
        <v>2059358.5549999999</v>
      </c>
      <c r="AV165" s="6">
        <f t="shared" si="181"/>
        <v>5642.0782328767118</v>
      </c>
      <c r="AW165" s="6">
        <v>0</v>
      </c>
      <c r="AX165" s="6">
        <f t="shared" si="182"/>
        <v>0</v>
      </c>
      <c r="AY165" s="6">
        <f t="shared" si="183"/>
        <v>0</v>
      </c>
      <c r="AZ165" s="6">
        <v>0</v>
      </c>
      <c r="BA165" s="6">
        <f t="shared" si="184"/>
        <v>0</v>
      </c>
      <c r="BB165" s="6">
        <f t="shared" si="185"/>
        <v>0</v>
      </c>
      <c r="BC165" s="6">
        <v>0</v>
      </c>
      <c r="BD165" s="6">
        <f t="shared" si="186"/>
        <v>0</v>
      </c>
      <c r="BE165" s="6">
        <f t="shared" si="187"/>
        <v>0</v>
      </c>
      <c r="BF165" s="6">
        <v>0</v>
      </c>
      <c r="BG165" s="6">
        <f t="shared" si="188"/>
        <v>0</v>
      </c>
      <c r="BH165" s="6">
        <f t="shared" si="189"/>
        <v>0</v>
      </c>
      <c r="BI165" s="6">
        <v>0</v>
      </c>
      <c r="BJ165" s="6">
        <f t="shared" si="190"/>
        <v>0</v>
      </c>
      <c r="BK165" s="6">
        <f t="shared" si="191"/>
        <v>0</v>
      </c>
      <c r="BL165" s="6">
        <v>0</v>
      </c>
      <c r="BM165" s="6">
        <f t="shared" si="192"/>
        <v>0</v>
      </c>
      <c r="BN165" s="6">
        <f t="shared" si="193"/>
        <v>0</v>
      </c>
      <c r="BO165" s="6">
        <v>0</v>
      </c>
      <c r="BP165" s="6">
        <f t="shared" si="194"/>
        <v>0</v>
      </c>
      <c r="BQ165" s="6">
        <f t="shared" si="195"/>
        <v>0</v>
      </c>
      <c r="BR165" s="6">
        <v>0</v>
      </c>
      <c r="BS165" s="6">
        <f t="shared" si="196"/>
        <v>0</v>
      </c>
      <c r="BT165" s="6">
        <f t="shared" si="197"/>
        <v>0</v>
      </c>
      <c r="BU165" s="6">
        <v>0</v>
      </c>
      <c r="BV165" s="6">
        <f t="shared" si="198"/>
        <v>0</v>
      </c>
      <c r="BW165" s="6">
        <f t="shared" si="199"/>
        <v>0</v>
      </c>
      <c r="BX165" s="6">
        <v>0</v>
      </c>
      <c r="BY165" s="6">
        <f t="shared" si="200"/>
        <v>0</v>
      </c>
      <c r="BZ165" s="6">
        <f t="shared" si="201"/>
        <v>0</v>
      </c>
      <c r="CA165" s="6">
        <v>0</v>
      </c>
      <c r="CB165" s="6">
        <f t="shared" si="202"/>
        <v>0</v>
      </c>
      <c r="CC165" s="6">
        <f t="shared" si="203"/>
        <v>0</v>
      </c>
      <c r="CD165" s="6">
        <v>0</v>
      </c>
      <c r="CE165" s="6">
        <f t="shared" si="204"/>
        <v>0</v>
      </c>
      <c r="CF165" s="6">
        <f t="shared" si="205"/>
        <v>0</v>
      </c>
      <c r="CG165" s="6">
        <v>0</v>
      </c>
      <c r="CH165" s="6">
        <f t="shared" si="206"/>
        <v>0</v>
      </c>
      <c r="CI165" s="6">
        <f t="shared" si="207"/>
        <v>0</v>
      </c>
      <c r="CJ165" s="6">
        <v>0</v>
      </c>
      <c r="CK165" s="6">
        <f t="shared" si="208"/>
        <v>0</v>
      </c>
      <c r="CL165" s="6">
        <f t="shared" si="209"/>
        <v>0</v>
      </c>
      <c r="CM165" s="6">
        <v>0</v>
      </c>
      <c r="CN165" s="6">
        <f t="shared" si="210"/>
        <v>0</v>
      </c>
      <c r="CO165" s="6">
        <f t="shared" si="211"/>
        <v>0</v>
      </c>
      <c r="CP165" s="6">
        <v>0</v>
      </c>
      <c r="CQ165" s="6">
        <f t="shared" si="212"/>
        <v>0</v>
      </c>
      <c r="CR165" s="6">
        <f t="shared" si="213"/>
        <v>0</v>
      </c>
      <c r="CS165" s="6">
        <v>0</v>
      </c>
      <c r="CT165" s="6">
        <f t="shared" si="214"/>
        <v>0</v>
      </c>
      <c r="CU165" s="6">
        <f t="shared" si="215"/>
        <v>0</v>
      </c>
      <c r="CV165" s="6">
        <v>0</v>
      </c>
      <c r="CW165" s="6">
        <f t="shared" si="216"/>
        <v>0</v>
      </c>
      <c r="CX165" s="6">
        <f t="shared" si="217"/>
        <v>0</v>
      </c>
      <c r="CY165" s="6">
        <v>0</v>
      </c>
      <c r="CZ165" s="6">
        <f t="shared" si="218"/>
        <v>0</v>
      </c>
      <c r="DA165" s="6">
        <f t="shared" si="219"/>
        <v>0</v>
      </c>
      <c r="DB165" s="6">
        <v>0</v>
      </c>
      <c r="DC165" s="6">
        <f t="shared" si="220"/>
        <v>0</v>
      </c>
      <c r="DD165" s="6">
        <f t="shared" si="221"/>
        <v>0</v>
      </c>
      <c r="DE165" s="6">
        <v>0</v>
      </c>
      <c r="DF165" s="6">
        <f t="shared" si="222"/>
        <v>0</v>
      </c>
      <c r="DG165" s="6">
        <f t="shared" si="223"/>
        <v>0</v>
      </c>
      <c r="DH165" s="6">
        <v>0</v>
      </c>
      <c r="DI165" s="6">
        <f t="shared" si="224"/>
        <v>0</v>
      </c>
      <c r="DJ165" s="6">
        <f t="shared" si="225"/>
        <v>0</v>
      </c>
      <c r="DK165" s="6">
        <v>0</v>
      </c>
      <c r="DL165" s="6">
        <f t="shared" si="226"/>
        <v>0</v>
      </c>
      <c r="DM165" s="6">
        <f t="shared" si="227"/>
        <v>0</v>
      </c>
      <c r="DN165" s="6">
        <v>0</v>
      </c>
      <c r="DO165" s="6">
        <f t="shared" si="228"/>
        <v>0</v>
      </c>
      <c r="DP165" s="6">
        <f t="shared" si="229"/>
        <v>0</v>
      </c>
    </row>
    <row r="166" spans="1:120" x14ac:dyDescent="0.2">
      <c r="A166" s="21">
        <v>85</v>
      </c>
      <c r="B166" s="21" t="s">
        <v>612</v>
      </c>
      <c r="C166" s="21">
        <v>85325</v>
      </c>
      <c r="D166" s="21" t="s">
        <v>670</v>
      </c>
      <c r="E166" s="21" t="s">
        <v>611</v>
      </c>
      <c r="F166" s="22" t="s">
        <v>662</v>
      </c>
      <c r="G166" s="4" t="s">
        <v>278</v>
      </c>
      <c r="H166" s="6">
        <v>68689.97</v>
      </c>
      <c r="I166" s="6">
        <f t="shared" si="230"/>
        <v>188.19169863013698</v>
      </c>
      <c r="J166" s="6">
        <v>64215.262600000002</v>
      </c>
      <c r="K166" s="6">
        <v>73235.789999999994</v>
      </c>
      <c r="L166" s="6">
        <f t="shared" si="231"/>
        <v>200.09778688524588</v>
      </c>
      <c r="M166" s="6">
        <v>55763.675999999999</v>
      </c>
      <c r="N166" s="6">
        <v>65370.06</v>
      </c>
      <c r="O166" s="6">
        <f t="shared" si="234"/>
        <v>179.09605479452054</v>
      </c>
      <c r="P166" s="6">
        <v>48507.123099999997</v>
      </c>
      <c r="Q166" s="6">
        <v>34183.78</v>
      </c>
      <c r="R166" s="6">
        <f t="shared" si="235"/>
        <v>188.86066298342541</v>
      </c>
      <c r="S166" s="6">
        <v>41310.3606</v>
      </c>
      <c r="T166" s="6">
        <f t="shared" si="162"/>
        <v>41310.3606</v>
      </c>
      <c r="U166" s="6">
        <f t="shared" si="163"/>
        <v>113.1790701369863</v>
      </c>
      <c r="V166" s="6">
        <v>26582.424500000001</v>
      </c>
      <c r="W166" s="6">
        <f t="shared" si="164"/>
        <v>26582.424500000001</v>
      </c>
      <c r="X166" s="6">
        <f t="shared" si="165"/>
        <v>72.828560273972599</v>
      </c>
      <c r="Y166" s="6">
        <v>10234.673699999999</v>
      </c>
      <c r="Z166" s="6">
        <f t="shared" si="166"/>
        <v>10234.673699999999</v>
      </c>
      <c r="AA166" s="6">
        <f t="shared" si="167"/>
        <v>28.040201917808218</v>
      </c>
      <c r="AB166" s="6">
        <v>0</v>
      </c>
      <c r="AC166" s="6">
        <f t="shared" si="168"/>
        <v>0</v>
      </c>
      <c r="AD166" s="6">
        <f t="shared" si="169"/>
        <v>0</v>
      </c>
      <c r="AE166" s="6">
        <v>0</v>
      </c>
      <c r="AF166" s="6">
        <f t="shared" si="170"/>
        <v>0</v>
      </c>
      <c r="AG166" s="6">
        <f t="shared" si="171"/>
        <v>0</v>
      </c>
      <c r="AH166" s="6">
        <v>0</v>
      </c>
      <c r="AI166" s="6">
        <f t="shared" si="172"/>
        <v>0</v>
      </c>
      <c r="AJ166" s="6">
        <f t="shared" si="173"/>
        <v>0</v>
      </c>
      <c r="AK166" s="6">
        <v>0</v>
      </c>
      <c r="AL166" s="6">
        <f t="shared" si="174"/>
        <v>0</v>
      </c>
      <c r="AM166" s="6">
        <f t="shared" si="175"/>
        <v>0</v>
      </c>
      <c r="AN166" s="6">
        <v>0</v>
      </c>
      <c r="AO166" s="6">
        <f t="shared" si="176"/>
        <v>0</v>
      </c>
      <c r="AP166" s="6">
        <f t="shared" si="177"/>
        <v>0</v>
      </c>
      <c r="AQ166" s="6">
        <v>0</v>
      </c>
      <c r="AR166" s="6">
        <f t="shared" si="178"/>
        <v>0</v>
      </c>
      <c r="AS166" s="6">
        <f t="shared" si="179"/>
        <v>0</v>
      </c>
      <c r="AT166" s="6">
        <v>0</v>
      </c>
      <c r="AU166" s="6">
        <f t="shared" si="180"/>
        <v>0</v>
      </c>
      <c r="AV166" s="6">
        <f t="shared" si="181"/>
        <v>0</v>
      </c>
      <c r="AW166" s="6">
        <v>0</v>
      </c>
      <c r="AX166" s="6">
        <f t="shared" si="182"/>
        <v>0</v>
      </c>
      <c r="AY166" s="6">
        <f t="shared" si="183"/>
        <v>0</v>
      </c>
      <c r="AZ166" s="6">
        <v>0</v>
      </c>
      <c r="BA166" s="6">
        <f t="shared" si="184"/>
        <v>0</v>
      </c>
      <c r="BB166" s="6">
        <f t="shared" si="185"/>
        <v>0</v>
      </c>
      <c r="BC166" s="6">
        <v>0</v>
      </c>
      <c r="BD166" s="6">
        <f t="shared" si="186"/>
        <v>0</v>
      </c>
      <c r="BE166" s="6">
        <f t="shared" si="187"/>
        <v>0</v>
      </c>
      <c r="BF166" s="6">
        <v>0</v>
      </c>
      <c r="BG166" s="6">
        <f t="shared" si="188"/>
        <v>0</v>
      </c>
      <c r="BH166" s="6">
        <f t="shared" si="189"/>
        <v>0</v>
      </c>
      <c r="BI166" s="6">
        <v>0</v>
      </c>
      <c r="BJ166" s="6">
        <f t="shared" si="190"/>
        <v>0</v>
      </c>
      <c r="BK166" s="6">
        <f t="shared" si="191"/>
        <v>0</v>
      </c>
      <c r="BL166" s="6">
        <v>0</v>
      </c>
      <c r="BM166" s="6">
        <f t="shared" si="192"/>
        <v>0</v>
      </c>
      <c r="BN166" s="6">
        <f t="shared" si="193"/>
        <v>0</v>
      </c>
      <c r="BO166" s="6">
        <v>0</v>
      </c>
      <c r="BP166" s="6">
        <f t="shared" si="194"/>
        <v>0</v>
      </c>
      <c r="BQ166" s="6">
        <f t="shared" si="195"/>
        <v>0</v>
      </c>
      <c r="BR166" s="6">
        <v>0</v>
      </c>
      <c r="BS166" s="6">
        <f t="shared" si="196"/>
        <v>0</v>
      </c>
      <c r="BT166" s="6">
        <f t="shared" si="197"/>
        <v>0</v>
      </c>
      <c r="BU166" s="6">
        <v>0</v>
      </c>
      <c r="BV166" s="6">
        <f t="shared" si="198"/>
        <v>0</v>
      </c>
      <c r="BW166" s="6">
        <f t="shared" si="199"/>
        <v>0</v>
      </c>
      <c r="BX166" s="6">
        <v>0</v>
      </c>
      <c r="BY166" s="6">
        <f t="shared" si="200"/>
        <v>0</v>
      </c>
      <c r="BZ166" s="6">
        <f t="shared" si="201"/>
        <v>0</v>
      </c>
      <c r="CA166" s="6">
        <v>0</v>
      </c>
      <c r="CB166" s="6">
        <f t="shared" si="202"/>
        <v>0</v>
      </c>
      <c r="CC166" s="6">
        <f t="shared" si="203"/>
        <v>0</v>
      </c>
      <c r="CD166" s="6">
        <v>0</v>
      </c>
      <c r="CE166" s="6">
        <f t="shared" si="204"/>
        <v>0</v>
      </c>
      <c r="CF166" s="6">
        <f t="shared" si="205"/>
        <v>0</v>
      </c>
      <c r="CG166" s="6">
        <v>0</v>
      </c>
      <c r="CH166" s="6">
        <f t="shared" si="206"/>
        <v>0</v>
      </c>
      <c r="CI166" s="6">
        <f t="shared" si="207"/>
        <v>0</v>
      </c>
      <c r="CJ166" s="6">
        <v>0</v>
      </c>
      <c r="CK166" s="6">
        <f t="shared" si="208"/>
        <v>0</v>
      </c>
      <c r="CL166" s="6">
        <f t="shared" si="209"/>
        <v>0</v>
      </c>
      <c r="CM166" s="6">
        <v>0</v>
      </c>
      <c r="CN166" s="6">
        <f t="shared" si="210"/>
        <v>0</v>
      </c>
      <c r="CO166" s="6">
        <f t="shared" si="211"/>
        <v>0</v>
      </c>
      <c r="CP166" s="6">
        <v>0</v>
      </c>
      <c r="CQ166" s="6">
        <f t="shared" si="212"/>
        <v>0</v>
      </c>
      <c r="CR166" s="6">
        <f t="shared" si="213"/>
        <v>0</v>
      </c>
      <c r="CS166" s="6">
        <v>0</v>
      </c>
      <c r="CT166" s="6">
        <f t="shared" si="214"/>
        <v>0</v>
      </c>
      <c r="CU166" s="6">
        <f t="shared" si="215"/>
        <v>0</v>
      </c>
      <c r="CV166" s="6">
        <v>0</v>
      </c>
      <c r="CW166" s="6">
        <f t="shared" si="216"/>
        <v>0</v>
      </c>
      <c r="CX166" s="6">
        <f t="shared" si="217"/>
        <v>0</v>
      </c>
      <c r="CY166" s="6">
        <v>0</v>
      </c>
      <c r="CZ166" s="6">
        <f t="shared" si="218"/>
        <v>0</v>
      </c>
      <c r="DA166" s="6">
        <f t="shared" si="219"/>
        <v>0</v>
      </c>
      <c r="DB166" s="6">
        <v>0</v>
      </c>
      <c r="DC166" s="6">
        <f t="shared" si="220"/>
        <v>0</v>
      </c>
      <c r="DD166" s="6">
        <f t="shared" si="221"/>
        <v>0</v>
      </c>
      <c r="DE166" s="6">
        <v>0</v>
      </c>
      <c r="DF166" s="6">
        <f t="shared" si="222"/>
        <v>0</v>
      </c>
      <c r="DG166" s="6">
        <f t="shared" si="223"/>
        <v>0</v>
      </c>
      <c r="DH166" s="6">
        <v>0</v>
      </c>
      <c r="DI166" s="6">
        <f t="shared" si="224"/>
        <v>0</v>
      </c>
      <c r="DJ166" s="6">
        <f t="shared" si="225"/>
        <v>0</v>
      </c>
      <c r="DK166" s="6">
        <v>0</v>
      </c>
      <c r="DL166" s="6">
        <f t="shared" si="226"/>
        <v>0</v>
      </c>
      <c r="DM166" s="6">
        <f t="shared" si="227"/>
        <v>0</v>
      </c>
      <c r="DN166" s="6">
        <v>0</v>
      </c>
      <c r="DO166" s="6">
        <f t="shared" si="228"/>
        <v>0</v>
      </c>
      <c r="DP166" s="6">
        <f t="shared" si="229"/>
        <v>0</v>
      </c>
    </row>
    <row r="167" spans="1:120" x14ac:dyDescent="0.2">
      <c r="A167" s="21">
        <v>85</v>
      </c>
      <c r="B167" s="21" t="s">
        <v>612</v>
      </c>
      <c r="C167" s="21">
        <v>85010</v>
      </c>
      <c r="D167" s="21" t="s">
        <v>716</v>
      </c>
      <c r="E167" s="21" t="s">
        <v>611</v>
      </c>
      <c r="F167" s="22" t="s">
        <v>662</v>
      </c>
      <c r="G167" s="4" t="s">
        <v>279</v>
      </c>
      <c r="H167" s="6">
        <v>181953.26</v>
      </c>
      <c r="I167" s="6">
        <f t="shared" si="230"/>
        <v>498.50208219178086</v>
      </c>
      <c r="J167" s="6">
        <v>99250.466199999995</v>
      </c>
      <c r="K167" s="6">
        <v>184044.15</v>
      </c>
      <c r="L167" s="6">
        <f t="shared" si="231"/>
        <v>502.85286885245898</v>
      </c>
      <c r="M167" s="6">
        <v>132872.06450000001</v>
      </c>
      <c r="N167" s="6">
        <v>153756.68</v>
      </c>
      <c r="O167" s="6">
        <f t="shared" si="234"/>
        <v>421.25117808219176</v>
      </c>
      <c r="P167" s="6">
        <v>140622.33319999999</v>
      </c>
      <c r="Q167" s="6">
        <v>71218.84</v>
      </c>
      <c r="R167" s="6">
        <f t="shared" si="235"/>
        <v>393.47425414364636</v>
      </c>
      <c r="S167" s="6">
        <v>113145.5528</v>
      </c>
      <c r="T167" s="6">
        <f t="shared" si="162"/>
        <v>113145.5528</v>
      </c>
      <c r="U167" s="6">
        <f t="shared" si="163"/>
        <v>309.98781589041096</v>
      </c>
      <c r="V167" s="6">
        <v>91047.544999999998</v>
      </c>
      <c r="W167" s="6">
        <f t="shared" si="164"/>
        <v>91047.544999999998</v>
      </c>
      <c r="X167" s="6">
        <f t="shared" si="165"/>
        <v>249.44532876712327</v>
      </c>
      <c r="Y167" s="6">
        <v>32473.918000000001</v>
      </c>
      <c r="Z167" s="6">
        <f t="shared" si="166"/>
        <v>32473.918000000001</v>
      </c>
      <c r="AA167" s="6">
        <f t="shared" si="167"/>
        <v>88.969638356164381</v>
      </c>
      <c r="AB167" s="6">
        <v>0</v>
      </c>
      <c r="AC167" s="6">
        <f t="shared" si="168"/>
        <v>0</v>
      </c>
      <c r="AD167" s="6">
        <f t="shared" si="169"/>
        <v>0</v>
      </c>
      <c r="AE167" s="6">
        <v>0</v>
      </c>
      <c r="AF167" s="6">
        <f t="shared" si="170"/>
        <v>0</v>
      </c>
      <c r="AG167" s="6">
        <f t="shared" si="171"/>
        <v>0</v>
      </c>
      <c r="AH167" s="6">
        <v>0</v>
      </c>
      <c r="AI167" s="6">
        <f t="shared" si="172"/>
        <v>0</v>
      </c>
      <c r="AJ167" s="6">
        <f t="shared" si="173"/>
        <v>0</v>
      </c>
      <c r="AK167" s="6">
        <v>0</v>
      </c>
      <c r="AL167" s="6">
        <f t="shared" si="174"/>
        <v>0</v>
      </c>
      <c r="AM167" s="6">
        <f t="shared" si="175"/>
        <v>0</v>
      </c>
      <c r="AN167" s="6">
        <v>0</v>
      </c>
      <c r="AO167" s="6">
        <f t="shared" si="176"/>
        <v>0</v>
      </c>
      <c r="AP167" s="6">
        <f t="shared" si="177"/>
        <v>0</v>
      </c>
      <c r="AQ167" s="6">
        <v>0</v>
      </c>
      <c r="AR167" s="6">
        <f t="shared" si="178"/>
        <v>0</v>
      </c>
      <c r="AS167" s="6">
        <f t="shared" si="179"/>
        <v>0</v>
      </c>
      <c r="AT167" s="6">
        <v>0</v>
      </c>
      <c r="AU167" s="6">
        <f t="shared" si="180"/>
        <v>0</v>
      </c>
      <c r="AV167" s="6">
        <f t="shared" si="181"/>
        <v>0</v>
      </c>
      <c r="AW167" s="6">
        <v>0</v>
      </c>
      <c r="AX167" s="6">
        <f t="shared" si="182"/>
        <v>0</v>
      </c>
      <c r="AY167" s="6">
        <f t="shared" si="183"/>
        <v>0</v>
      </c>
      <c r="AZ167" s="6">
        <v>0</v>
      </c>
      <c r="BA167" s="6">
        <f t="shared" si="184"/>
        <v>0</v>
      </c>
      <c r="BB167" s="6">
        <f t="shared" si="185"/>
        <v>0</v>
      </c>
      <c r="BC167" s="6">
        <v>0</v>
      </c>
      <c r="BD167" s="6">
        <f t="shared" si="186"/>
        <v>0</v>
      </c>
      <c r="BE167" s="6">
        <f t="shared" si="187"/>
        <v>0</v>
      </c>
      <c r="BF167" s="6">
        <v>0</v>
      </c>
      <c r="BG167" s="6">
        <f t="shared" si="188"/>
        <v>0</v>
      </c>
      <c r="BH167" s="6">
        <f t="shared" si="189"/>
        <v>0</v>
      </c>
      <c r="BI167" s="6">
        <v>0</v>
      </c>
      <c r="BJ167" s="6">
        <f t="shared" si="190"/>
        <v>0</v>
      </c>
      <c r="BK167" s="6">
        <f t="shared" si="191"/>
        <v>0</v>
      </c>
      <c r="BL167" s="6">
        <v>0</v>
      </c>
      <c r="BM167" s="6">
        <f t="shared" si="192"/>
        <v>0</v>
      </c>
      <c r="BN167" s="6">
        <f t="shared" si="193"/>
        <v>0</v>
      </c>
      <c r="BO167" s="6">
        <v>0</v>
      </c>
      <c r="BP167" s="6">
        <f t="shared" si="194"/>
        <v>0</v>
      </c>
      <c r="BQ167" s="6">
        <f t="shared" si="195"/>
        <v>0</v>
      </c>
      <c r="BR167" s="6">
        <v>0</v>
      </c>
      <c r="BS167" s="6">
        <f t="shared" si="196"/>
        <v>0</v>
      </c>
      <c r="BT167" s="6">
        <f t="shared" si="197"/>
        <v>0</v>
      </c>
      <c r="BU167" s="6">
        <v>0</v>
      </c>
      <c r="BV167" s="6">
        <f t="shared" si="198"/>
        <v>0</v>
      </c>
      <c r="BW167" s="6">
        <f t="shared" si="199"/>
        <v>0</v>
      </c>
      <c r="BX167" s="6">
        <v>0</v>
      </c>
      <c r="BY167" s="6">
        <f t="shared" si="200"/>
        <v>0</v>
      </c>
      <c r="BZ167" s="6">
        <f t="shared" si="201"/>
        <v>0</v>
      </c>
      <c r="CA167" s="6">
        <v>0</v>
      </c>
      <c r="CB167" s="6">
        <f t="shared" si="202"/>
        <v>0</v>
      </c>
      <c r="CC167" s="6">
        <f t="shared" si="203"/>
        <v>0</v>
      </c>
      <c r="CD167" s="6">
        <v>0</v>
      </c>
      <c r="CE167" s="6">
        <f t="shared" si="204"/>
        <v>0</v>
      </c>
      <c r="CF167" s="6">
        <f t="shared" si="205"/>
        <v>0</v>
      </c>
      <c r="CG167" s="6">
        <v>0</v>
      </c>
      <c r="CH167" s="6">
        <f t="shared" si="206"/>
        <v>0</v>
      </c>
      <c r="CI167" s="6">
        <f t="shared" si="207"/>
        <v>0</v>
      </c>
      <c r="CJ167" s="6">
        <v>0</v>
      </c>
      <c r="CK167" s="6">
        <f t="shared" si="208"/>
        <v>0</v>
      </c>
      <c r="CL167" s="6">
        <f t="shared" si="209"/>
        <v>0</v>
      </c>
      <c r="CM167" s="6">
        <v>0</v>
      </c>
      <c r="CN167" s="6">
        <f t="shared" si="210"/>
        <v>0</v>
      </c>
      <c r="CO167" s="6">
        <f t="shared" si="211"/>
        <v>0</v>
      </c>
      <c r="CP167" s="6">
        <v>0</v>
      </c>
      <c r="CQ167" s="6">
        <f t="shared" si="212"/>
        <v>0</v>
      </c>
      <c r="CR167" s="6">
        <f t="shared" si="213"/>
        <v>0</v>
      </c>
      <c r="CS167" s="6">
        <v>0</v>
      </c>
      <c r="CT167" s="6">
        <f t="shared" si="214"/>
        <v>0</v>
      </c>
      <c r="CU167" s="6">
        <f t="shared" si="215"/>
        <v>0</v>
      </c>
      <c r="CV167" s="6">
        <v>0</v>
      </c>
      <c r="CW167" s="6">
        <f t="shared" si="216"/>
        <v>0</v>
      </c>
      <c r="CX167" s="6">
        <f t="shared" si="217"/>
        <v>0</v>
      </c>
      <c r="CY167" s="6">
        <v>0</v>
      </c>
      <c r="CZ167" s="6">
        <f t="shared" si="218"/>
        <v>0</v>
      </c>
      <c r="DA167" s="6">
        <f t="shared" si="219"/>
        <v>0</v>
      </c>
      <c r="DB167" s="6">
        <v>0</v>
      </c>
      <c r="DC167" s="6">
        <f t="shared" si="220"/>
        <v>0</v>
      </c>
      <c r="DD167" s="6">
        <f t="shared" si="221"/>
        <v>0</v>
      </c>
      <c r="DE167" s="6">
        <v>0</v>
      </c>
      <c r="DF167" s="6">
        <f t="shared" si="222"/>
        <v>0</v>
      </c>
      <c r="DG167" s="6">
        <f t="shared" si="223"/>
        <v>0</v>
      </c>
      <c r="DH167" s="6">
        <v>0</v>
      </c>
      <c r="DI167" s="6">
        <f t="shared" si="224"/>
        <v>0</v>
      </c>
      <c r="DJ167" s="6">
        <f t="shared" si="225"/>
        <v>0</v>
      </c>
      <c r="DK167" s="6">
        <v>0</v>
      </c>
      <c r="DL167" s="6">
        <f t="shared" si="226"/>
        <v>0</v>
      </c>
      <c r="DM167" s="6">
        <f t="shared" si="227"/>
        <v>0</v>
      </c>
      <c r="DN167" s="6">
        <v>0</v>
      </c>
      <c r="DO167" s="6">
        <f t="shared" si="228"/>
        <v>0</v>
      </c>
      <c r="DP167" s="6">
        <f t="shared" si="229"/>
        <v>0</v>
      </c>
    </row>
    <row r="168" spans="1:120" x14ac:dyDescent="0.2">
      <c r="A168" s="21">
        <v>85</v>
      </c>
      <c r="B168" s="21" t="s">
        <v>612</v>
      </c>
      <c r="C168" s="21">
        <v>85001</v>
      </c>
      <c r="D168" s="21" t="s">
        <v>698</v>
      </c>
      <c r="E168" s="21" t="s">
        <v>611</v>
      </c>
      <c r="F168" s="22" t="s">
        <v>662</v>
      </c>
      <c r="G168" s="4" t="s">
        <v>280</v>
      </c>
      <c r="H168" s="6">
        <v>306</v>
      </c>
      <c r="I168" s="6">
        <f t="shared" si="230"/>
        <v>0.83835616438356164</v>
      </c>
      <c r="J168" s="6">
        <v>135949.508</v>
      </c>
      <c r="K168" s="6">
        <v>36666.94</v>
      </c>
      <c r="L168" s="6">
        <f t="shared" si="231"/>
        <v>100.18289617486339</v>
      </c>
      <c r="M168" s="6">
        <v>128771.90429999999</v>
      </c>
      <c r="N168" s="6">
        <v>15114.75</v>
      </c>
      <c r="O168" s="6">
        <f t="shared" si="234"/>
        <v>41.410273972602738</v>
      </c>
      <c r="P168" s="6">
        <v>113845.32859999999</v>
      </c>
      <c r="Q168" s="6">
        <v>34279.5</v>
      </c>
      <c r="R168" s="6">
        <f t="shared" si="235"/>
        <v>189.38950276243094</v>
      </c>
      <c r="S168" s="6">
        <v>100878.522</v>
      </c>
      <c r="T168" s="6">
        <f t="shared" si="162"/>
        <v>100878.522</v>
      </c>
      <c r="U168" s="6">
        <f t="shared" si="163"/>
        <v>276.37951232876713</v>
      </c>
      <c r="V168" s="6">
        <v>89584.158500000005</v>
      </c>
      <c r="W168" s="6">
        <f t="shared" si="164"/>
        <v>89584.158500000005</v>
      </c>
      <c r="X168" s="6">
        <f t="shared" si="165"/>
        <v>245.43605068493153</v>
      </c>
      <c r="Y168" s="6">
        <v>34341.154699999999</v>
      </c>
      <c r="Z168" s="6">
        <f t="shared" si="166"/>
        <v>34341.154699999999</v>
      </c>
      <c r="AA168" s="6">
        <f t="shared" si="167"/>
        <v>94.085355342465746</v>
      </c>
      <c r="AB168" s="6">
        <v>0</v>
      </c>
      <c r="AC168" s="6">
        <f t="shared" si="168"/>
        <v>0</v>
      </c>
      <c r="AD168" s="6">
        <f t="shared" si="169"/>
        <v>0</v>
      </c>
      <c r="AE168" s="6">
        <v>0</v>
      </c>
      <c r="AF168" s="6">
        <f t="shared" si="170"/>
        <v>0</v>
      </c>
      <c r="AG168" s="6">
        <f t="shared" si="171"/>
        <v>0</v>
      </c>
      <c r="AH168" s="6">
        <v>0</v>
      </c>
      <c r="AI168" s="6">
        <f t="shared" si="172"/>
        <v>0</v>
      </c>
      <c r="AJ168" s="6">
        <f t="shared" si="173"/>
        <v>0</v>
      </c>
      <c r="AK168" s="6">
        <v>0</v>
      </c>
      <c r="AL168" s="6">
        <f t="shared" si="174"/>
        <v>0</v>
      </c>
      <c r="AM168" s="6">
        <f t="shared" si="175"/>
        <v>0</v>
      </c>
      <c r="AN168" s="6">
        <v>0</v>
      </c>
      <c r="AO168" s="6">
        <f t="shared" si="176"/>
        <v>0</v>
      </c>
      <c r="AP168" s="6">
        <f t="shared" si="177"/>
        <v>0</v>
      </c>
      <c r="AQ168" s="6">
        <v>0</v>
      </c>
      <c r="AR168" s="6">
        <f t="shared" si="178"/>
        <v>0</v>
      </c>
      <c r="AS168" s="6">
        <f t="shared" si="179"/>
        <v>0</v>
      </c>
      <c r="AT168" s="6">
        <v>0</v>
      </c>
      <c r="AU168" s="6">
        <f t="shared" si="180"/>
        <v>0</v>
      </c>
      <c r="AV168" s="6">
        <f t="shared" si="181"/>
        <v>0</v>
      </c>
      <c r="AW168" s="6">
        <v>0</v>
      </c>
      <c r="AX168" s="6">
        <f t="shared" si="182"/>
        <v>0</v>
      </c>
      <c r="AY168" s="6">
        <f t="shared" si="183"/>
        <v>0</v>
      </c>
      <c r="AZ168" s="6">
        <v>0</v>
      </c>
      <c r="BA168" s="6">
        <f t="shared" si="184"/>
        <v>0</v>
      </c>
      <c r="BB168" s="6">
        <f t="shared" si="185"/>
        <v>0</v>
      </c>
      <c r="BC168" s="6">
        <v>0</v>
      </c>
      <c r="BD168" s="6">
        <f t="shared" si="186"/>
        <v>0</v>
      </c>
      <c r="BE168" s="6">
        <f t="shared" si="187"/>
        <v>0</v>
      </c>
      <c r="BF168" s="6">
        <v>0</v>
      </c>
      <c r="BG168" s="6">
        <f t="shared" si="188"/>
        <v>0</v>
      </c>
      <c r="BH168" s="6">
        <f t="shared" si="189"/>
        <v>0</v>
      </c>
      <c r="BI168" s="6">
        <v>0</v>
      </c>
      <c r="BJ168" s="6">
        <f t="shared" si="190"/>
        <v>0</v>
      </c>
      <c r="BK168" s="6">
        <f t="shared" si="191"/>
        <v>0</v>
      </c>
      <c r="BL168" s="6">
        <v>0</v>
      </c>
      <c r="BM168" s="6">
        <f t="shared" si="192"/>
        <v>0</v>
      </c>
      <c r="BN168" s="6">
        <f t="shared" si="193"/>
        <v>0</v>
      </c>
      <c r="BO168" s="6">
        <v>0</v>
      </c>
      <c r="BP168" s="6">
        <f t="shared" si="194"/>
        <v>0</v>
      </c>
      <c r="BQ168" s="6">
        <f t="shared" si="195"/>
        <v>0</v>
      </c>
      <c r="BR168" s="6">
        <v>0</v>
      </c>
      <c r="BS168" s="6">
        <f t="shared" si="196"/>
        <v>0</v>
      </c>
      <c r="BT168" s="6">
        <f t="shared" si="197"/>
        <v>0</v>
      </c>
      <c r="BU168" s="6">
        <v>0</v>
      </c>
      <c r="BV168" s="6">
        <f t="shared" si="198"/>
        <v>0</v>
      </c>
      <c r="BW168" s="6">
        <f t="shared" si="199"/>
        <v>0</v>
      </c>
      <c r="BX168" s="6">
        <v>0</v>
      </c>
      <c r="BY168" s="6">
        <f t="shared" si="200"/>
        <v>0</v>
      </c>
      <c r="BZ168" s="6">
        <f t="shared" si="201"/>
        <v>0</v>
      </c>
      <c r="CA168" s="6">
        <v>0</v>
      </c>
      <c r="CB168" s="6">
        <f t="shared" si="202"/>
        <v>0</v>
      </c>
      <c r="CC168" s="6">
        <f t="shared" si="203"/>
        <v>0</v>
      </c>
      <c r="CD168" s="6">
        <v>0</v>
      </c>
      <c r="CE168" s="6">
        <f t="shared" si="204"/>
        <v>0</v>
      </c>
      <c r="CF168" s="6">
        <f t="shared" si="205"/>
        <v>0</v>
      </c>
      <c r="CG168" s="6">
        <v>0</v>
      </c>
      <c r="CH168" s="6">
        <f t="shared" si="206"/>
        <v>0</v>
      </c>
      <c r="CI168" s="6">
        <f t="shared" si="207"/>
        <v>0</v>
      </c>
      <c r="CJ168" s="6">
        <v>0</v>
      </c>
      <c r="CK168" s="6">
        <f t="shared" si="208"/>
        <v>0</v>
      </c>
      <c r="CL168" s="6">
        <f t="shared" si="209"/>
        <v>0</v>
      </c>
      <c r="CM168" s="6">
        <v>0</v>
      </c>
      <c r="CN168" s="6">
        <f t="shared" si="210"/>
        <v>0</v>
      </c>
      <c r="CO168" s="6">
        <f t="shared" si="211"/>
        <v>0</v>
      </c>
      <c r="CP168" s="6">
        <v>0</v>
      </c>
      <c r="CQ168" s="6">
        <f t="shared" si="212"/>
        <v>0</v>
      </c>
      <c r="CR168" s="6">
        <f t="shared" si="213"/>
        <v>0</v>
      </c>
      <c r="CS168" s="6">
        <v>0</v>
      </c>
      <c r="CT168" s="6">
        <f t="shared" si="214"/>
        <v>0</v>
      </c>
      <c r="CU168" s="6">
        <f t="shared" si="215"/>
        <v>0</v>
      </c>
      <c r="CV168" s="6">
        <v>0</v>
      </c>
      <c r="CW168" s="6">
        <f t="shared" si="216"/>
        <v>0</v>
      </c>
      <c r="CX168" s="6">
        <f t="shared" si="217"/>
        <v>0</v>
      </c>
      <c r="CY168" s="6">
        <v>0</v>
      </c>
      <c r="CZ168" s="6">
        <f t="shared" si="218"/>
        <v>0</v>
      </c>
      <c r="DA168" s="6">
        <f t="shared" si="219"/>
        <v>0</v>
      </c>
      <c r="DB168" s="6">
        <v>0</v>
      </c>
      <c r="DC168" s="6">
        <f t="shared" si="220"/>
        <v>0</v>
      </c>
      <c r="DD168" s="6">
        <f t="shared" si="221"/>
        <v>0</v>
      </c>
      <c r="DE168" s="6">
        <v>0</v>
      </c>
      <c r="DF168" s="6">
        <f t="shared" si="222"/>
        <v>0</v>
      </c>
      <c r="DG168" s="6">
        <f t="shared" si="223"/>
        <v>0</v>
      </c>
      <c r="DH168" s="6">
        <v>0</v>
      </c>
      <c r="DI168" s="6">
        <f t="shared" si="224"/>
        <v>0</v>
      </c>
      <c r="DJ168" s="6">
        <f t="shared" si="225"/>
        <v>0</v>
      </c>
      <c r="DK168" s="6">
        <v>0</v>
      </c>
      <c r="DL168" s="6">
        <f t="shared" si="226"/>
        <v>0</v>
      </c>
      <c r="DM168" s="6">
        <f t="shared" si="227"/>
        <v>0</v>
      </c>
      <c r="DN168" s="6">
        <v>0</v>
      </c>
      <c r="DO168" s="6">
        <f t="shared" si="228"/>
        <v>0</v>
      </c>
      <c r="DP168" s="6">
        <f t="shared" si="229"/>
        <v>0</v>
      </c>
    </row>
    <row r="169" spans="1:120" x14ac:dyDescent="0.2">
      <c r="A169" s="21">
        <v>41</v>
      </c>
      <c r="B169" s="21" t="s">
        <v>687</v>
      </c>
      <c r="C169" s="21">
        <v>41797</v>
      </c>
      <c r="D169" s="21" t="s">
        <v>733</v>
      </c>
      <c r="E169" s="21" t="s">
        <v>575</v>
      </c>
      <c r="F169" s="22" t="s">
        <v>662</v>
      </c>
      <c r="G169" s="4" t="s">
        <v>281</v>
      </c>
      <c r="H169" s="6">
        <v>315426</v>
      </c>
      <c r="I169" s="6">
        <f t="shared" si="230"/>
        <v>864.1808219178082</v>
      </c>
      <c r="J169" s="6">
        <v>304409</v>
      </c>
      <c r="K169" s="6">
        <v>260696.46</v>
      </c>
      <c r="L169" s="6">
        <f t="shared" si="231"/>
        <v>712.28540983606558</v>
      </c>
      <c r="M169" s="6">
        <v>244321</v>
      </c>
      <c r="N169" s="6">
        <v>223362.4</v>
      </c>
      <c r="O169" s="6">
        <f t="shared" si="234"/>
        <v>611.95178082191774</v>
      </c>
      <c r="P169" s="6">
        <v>196221</v>
      </c>
      <c r="Q169" s="6">
        <v>88764.57</v>
      </c>
      <c r="R169" s="6">
        <f t="shared" si="235"/>
        <v>490.41198895027628</v>
      </c>
      <c r="S169" s="6">
        <v>157679</v>
      </c>
      <c r="T169" s="6">
        <f t="shared" si="162"/>
        <v>157679</v>
      </c>
      <c r="U169" s="6">
        <f t="shared" si="163"/>
        <v>431.99726027397259</v>
      </c>
      <c r="V169" s="6">
        <v>130280</v>
      </c>
      <c r="W169" s="6">
        <f t="shared" si="164"/>
        <v>130280</v>
      </c>
      <c r="X169" s="6">
        <f t="shared" si="165"/>
        <v>356.93150684931504</v>
      </c>
      <c r="Y169" s="6">
        <v>108126</v>
      </c>
      <c r="Z169" s="6">
        <f t="shared" si="166"/>
        <v>108126</v>
      </c>
      <c r="AA169" s="6">
        <f t="shared" si="167"/>
        <v>296.23561643835615</v>
      </c>
      <c r="AB169" s="6">
        <v>0</v>
      </c>
      <c r="AC169" s="6">
        <f t="shared" si="168"/>
        <v>0</v>
      </c>
      <c r="AD169" s="6">
        <f t="shared" si="169"/>
        <v>0</v>
      </c>
      <c r="AE169" s="6">
        <v>0</v>
      </c>
      <c r="AF169" s="6">
        <f t="shared" si="170"/>
        <v>0</v>
      </c>
      <c r="AG169" s="6">
        <f t="shared" si="171"/>
        <v>0</v>
      </c>
      <c r="AH169" s="6">
        <v>0</v>
      </c>
      <c r="AI169" s="6">
        <f t="shared" si="172"/>
        <v>0</v>
      </c>
      <c r="AJ169" s="6">
        <f t="shared" si="173"/>
        <v>0</v>
      </c>
      <c r="AK169" s="6">
        <v>0</v>
      </c>
      <c r="AL169" s="6">
        <f t="shared" si="174"/>
        <v>0</v>
      </c>
      <c r="AM169" s="6">
        <f t="shared" si="175"/>
        <v>0</v>
      </c>
      <c r="AN169" s="6">
        <v>0</v>
      </c>
      <c r="AO169" s="6">
        <f t="shared" si="176"/>
        <v>0</v>
      </c>
      <c r="AP169" s="6">
        <f t="shared" si="177"/>
        <v>0</v>
      </c>
      <c r="AQ169" s="6">
        <v>0</v>
      </c>
      <c r="AR169" s="6">
        <f t="shared" si="178"/>
        <v>0</v>
      </c>
      <c r="AS169" s="6">
        <f t="shared" si="179"/>
        <v>0</v>
      </c>
      <c r="AT169" s="6">
        <v>0</v>
      </c>
      <c r="AU169" s="6">
        <f t="shared" si="180"/>
        <v>0</v>
      </c>
      <c r="AV169" s="6">
        <f t="shared" si="181"/>
        <v>0</v>
      </c>
      <c r="AW169" s="6">
        <v>0</v>
      </c>
      <c r="AX169" s="6">
        <f t="shared" si="182"/>
        <v>0</v>
      </c>
      <c r="AY169" s="6">
        <f t="shared" si="183"/>
        <v>0</v>
      </c>
      <c r="AZ169" s="6">
        <v>0</v>
      </c>
      <c r="BA169" s="6">
        <f t="shared" si="184"/>
        <v>0</v>
      </c>
      <c r="BB169" s="6">
        <f t="shared" si="185"/>
        <v>0</v>
      </c>
      <c r="BC169" s="6">
        <v>0</v>
      </c>
      <c r="BD169" s="6">
        <f t="shared" si="186"/>
        <v>0</v>
      </c>
      <c r="BE169" s="6">
        <f t="shared" si="187"/>
        <v>0</v>
      </c>
      <c r="BF169" s="6">
        <v>0</v>
      </c>
      <c r="BG169" s="6">
        <f t="shared" si="188"/>
        <v>0</v>
      </c>
      <c r="BH169" s="6">
        <f t="shared" si="189"/>
        <v>0</v>
      </c>
      <c r="BI169" s="6">
        <v>0</v>
      </c>
      <c r="BJ169" s="6">
        <f t="shared" si="190"/>
        <v>0</v>
      </c>
      <c r="BK169" s="6">
        <f t="shared" si="191"/>
        <v>0</v>
      </c>
      <c r="BL169" s="6">
        <v>0</v>
      </c>
      <c r="BM169" s="6">
        <f t="shared" si="192"/>
        <v>0</v>
      </c>
      <c r="BN169" s="6">
        <f t="shared" si="193"/>
        <v>0</v>
      </c>
      <c r="BO169" s="6">
        <v>0</v>
      </c>
      <c r="BP169" s="6">
        <f t="shared" si="194"/>
        <v>0</v>
      </c>
      <c r="BQ169" s="6">
        <f t="shared" si="195"/>
        <v>0</v>
      </c>
      <c r="BR169" s="6">
        <v>0</v>
      </c>
      <c r="BS169" s="6">
        <f t="shared" si="196"/>
        <v>0</v>
      </c>
      <c r="BT169" s="6">
        <f t="shared" si="197"/>
        <v>0</v>
      </c>
      <c r="BU169" s="6">
        <v>0</v>
      </c>
      <c r="BV169" s="6">
        <f t="shared" si="198"/>
        <v>0</v>
      </c>
      <c r="BW169" s="6">
        <f t="shared" si="199"/>
        <v>0</v>
      </c>
      <c r="BX169" s="6">
        <v>0</v>
      </c>
      <c r="BY169" s="6">
        <f t="shared" si="200"/>
        <v>0</v>
      </c>
      <c r="BZ169" s="6">
        <f t="shared" si="201"/>
        <v>0</v>
      </c>
      <c r="CA169" s="6">
        <v>0</v>
      </c>
      <c r="CB169" s="6">
        <f t="shared" si="202"/>
        <v>0</v>
      </c>
      <c r="CC169" s="6">
        <f t="shared" si="203"/>
        <v>0</v>
      </c>
      <c r="CD169" s="6">
        <v>0</v>
      </c>
      <c r="CE169" s="6">
        <f t="shared" si="204"/>
        <v>0</v>
      </c>
      <c r="CF169" s="6">
        <f t="shared" si="205"/>
        <v>0</v>
      </c>
      <c r="CG169" s="6">
        <v>0</v>
      </c>
      <c r="CH169" s="6">
        <f t="shared" si="206"/>
        <v>0</v>
      </c>
      <c r="CI169" s="6">
        <f t="shared" si="207"/>
        <v>0</v>
      </c>
      <c r="CJ169" s="6">
        <v>0</v>
      </c>
      <c r="CK169" s="6">
        <f t="shared" si="208"/>
        <v>0</v>
      </c>
      <c r="CL169" s="6">
        <f t="shared" si="209"/>
        <v>0</v>
      </c>
      <c r="CM169" s="6">
        <v>0</v>
      </c>
      <c r="CN169" s="6">
        <f t="shared" si="210"/>
        <v>0</v>
      </c>
      <c r="CO169" s="6">
        <f t="shared" si="211"/>
        <v>0</v>
      </c>
      <c r="CP169" s="6">
        <v>0</v>
      </c>
      <c r="CQ169" s="6">
        <f t="shared" si="212"/>
        <v>0</v>
      </c>
      <c r="CR169" s="6">
        <f t="shared" si="213"/>
        <v>0</v>
      </c>
      <c r="CS169" s="6">
        <v>0</v>
      </c>
      <c r="CT169" s="6">
        <f t="shared" si="214"/>
        <v>0</v>
      </c>
      <c r="CU169" s="6">
        <f t="shared" si="215"/>
        <v>0</v>
      </c>
      <c r="CV169" s="6">
        <v>0</v>
      </c>
      <c r="CW169" s="6">
        <f t="shared" si="216"/>
        <v>0</v>
      </c>
      <c r="CX169" s="6">
        <f t="shared" si="217"/>
        <v>0</v>
      </c>
      <c r="CY169" s="6">
        <v>0</v>
      </c>
      <c r="CZ169" s="6">
        <f t="shared" si="218"/>
        <v>0</v>
      </c>
      <c r="DA169" s="6">
        <f t="shared" si="219"/>
        <v>0</v>
      </c>
      <c r="DB169" s="6">
        <v>0</v>
      </c>
      <c r="DC169" s="6">
        <f t="shared" si="220"/>
        <v>0</v>
      </c>
      <c r="DD169" s="6">
        <f t="shared" si="221"/>
        <v>0</v>
      </c>
      <c r="DE169" s="6">
        <v>0</v>
      </c>
      <c r="DF169" s="6">
        <f t="shared" si="222"/>
        <v>0</v>
      </c>
      <c r="DG169" s="6">
        <f t="shared" si="223"/>
        <v>0</v>
      </c>
      <c r="DH169" s="6">
        <v>0</v>
      </c>
      <c r="DI169" s="6">
        <f t="shared" si="224"/>
        <v>0</v>
      </c>
      <c r="DJ169" s="6">
        <f t="shared" si="225"/>
        <v>0</v>
      </c>
      <c r="DK169" s="6">
        <v>0</v>
      </c>
      <c r="DL169" s="6">
        <f t="shared" si="226"/>
        <v>0</v>
      </c>
      <c r="DM169" s="6">
        <f t="shared" si="227"/>
        <v>0</v>
      </c>
      <c r="DN169" s="6">
        <v>0</v>
      </c>
      <c r="DO169" s="6">
        <f t="shared" si="228"/>
        <v>0</v>
      </c>
      <c r="DP169" s="6">
        <f t="shared" si="229"/>
        <v>0</v>
      </c>
    </row>
    <row r="170" spans="1:120" x14ac:dyDescent="0.2">
      <c r="A170" s="21">
        <v>41</v>
      </c>
      <c r="B170" s="21" t="s">
        <v>687</v>
      </c>
      <c r="C170" s="21">
        <v>41001</v>
      </c>
      <c r="D170" s="21" t="s">
        <v>721</v>
      </c>
      <c r="E170" s="21" t="s">
        <v>522</v>
      </c>
      <c r="F170" s="22" t="s">
        <v>693</v>
      </c>
      <c r="G170" s="4" t="s">
        <v>282</v>
      </c>
      <c r="H170" s="6">
        <v>17384.080000000002</v>
      </c>
      <c r="I170" s="6">
        <f t="shared" si="230"/>
        <v>47.627616438356171</v>
      </c>
      <c r="J170" s="6">
        <v>18408</v>
      </c>
      <c r="K170" s="6">
        <v>17093.810000000001</v>
      </c>
      <c r="L170" s="6">
        <f t="shared" si="231"/>
        <v>46.70439890710383</v>
      </c>
      <c r="M170" s="6">
        <v>18357</v>
      </c>
      <c r="N170" s="6">
        <v>13517.2</v>
      </c>
      <c r="O170" s="6">
        <f t="shared" si="234"/>
        <v>37.033424657534248</v>
      </c>
      <c r="P170" s="6">
        <v>18357</v>
      </c>
      <c r="Q170" s="6">
        <v>8284.43</v>
      </c>
      <c r="R170" s="6">
        <f t="shared" si="235"/>
        <v>45.77033149171271</v>
      </c>
      <c r="S170" s="6">
        <v>17608</v>
      </c>
      <c r="T170" s="6">
        <f t="shared" si="162"/>
        <v>17608</v>
      </c>
      <c r="U170" s="6">
        <f t="shared" si="163"/>
        <v>48.241095890410961</v>
      </c>
      <c r="V170" s="6">
        <v>16276</v>
      </c>
      <c r="W170" s="6">
        <f t="shared" si="164"/>
        <v>16276</v>
      </c>
      <c r="X170" s="6">
        <f t="shared" si="165"/>
        <v>44.591780821917808</v>
      </c>
      <c r="Y170" s="6">
        <v>14992</v>
      </c>
      <c r="Z170" s="6">
        <f t="shared" si="166"/>
        <v>14992</v>
      </c>
      <c r="AA170" s="6">
        <f t="shared" si="167"/>
        <v>41.073972602739723</v>
      </c>
      <c r="AB170" s="6">
        <v>13875</v>
      </c>
      <c r="AC170" s="6">
        <f t="shared" si="168"/>
        <v>13875</v>
      </c>
      <c r="AD170" s="6">
        <f t="shared" si="169"/>
        <v>38.013698630136986</v>
      </c>
      <c r="AE170" s="6">
        <v>12863</v>
      </c>
      <c r="AF170" s="6">
        <f t="shared" si="170"/>
        <v>12863</v>
      </c>
      <c r="AG170" s="6">
        <f t="shared" si="171"/>
        <v>35.241095890410961</v>
      </c>
      <c r="AH170" s="6">
        <v>11975</v>
      </c>
      <c r="AI170" s="6">
        <f t="shared" si="172"/>
        <v>11975</v>
      </c>
      <c r="AJ170" s="6">
        <f t="shared" si="173"/>
        <v>32.80821917808219</v>
      </c>
      <c r="AK170" s="6">
        <v>11108</v>
      </c>
      <c r="AL170" s="6">
        <f t="shared" si="174"/>
        <v>11108</v>
      </c>
      <c r="AM170" s="6">
        <f t="shared" si="175"/>
        <v>30.432876712328767</v>
      </c>
      <c r="AN170" s="6">
        <v>10346</v>
      </c>
      <c r="AO170" s="6">
        <f t="shared" si="176"/>
        <v>10346</v>
      </c>
      <c r="AP170" s="6">
        <f t="shared" si="177"/>
        <v>28.345205479452055</v>
      </c>
      <c r="AQ170" s="6">
        <v>9652</v>
      </c>
      <c r="AR170" s="6">
        <f t="shared" si="178"/>
        <v>9652</v>
      </c>
      <c r="AS170" s="6">
        <f t="shared" si="179"/>
        <v>26.443835616438356</v>
      </c>
      <c r="AT170" s="6">
        <v>0</v>
      </c>
      <c r="AU170" s="6">
        <f t="shared" si="180"/>
        <v>0</v>
      </c>
      <c r="AV170" s="6">
        <f t="shared" si="181"/>
        <v>0</v>
      </c>
      <c r="AW170" s="6">
        <v>0</v>
      </c>
      <c r="AX170" s="6">
        <f t="shared" si="182"/>
        <v>0</v>
      </c>
      <c r="AY170" s="6">
        <f t="shared" si="183"/>
        <v>0</v>
      </c>
      <c r="AZ170" s="6">
        <v>0</v>
      </c>
      <c r="BA170" s="6">
        <f t="shared" si="184"/>
        <v>0</v>
      </c>
      <c r="BB170" s="6">
        <f t="shared" si="185"/>
        <v>0</v>
      </c>
      <c r="BC170" s="6">
        <v>0</v>
      </c>
      <c r="BD170" s="6">
        <f t="shared" si="186"/>
        <v>0</v>
      </c>
      <c r="BE170" s="6">
        <f t="shared" si="187"/>
        <v>0</v>
      </c>
      <c r="BF170" s="6">
        <v>0</v>
      </c>
      <c r="BG170" s="6">
        <f t="shared" si="188"/>
        <v>0</v>
      </c>
      <c r="BH170" s="6">
        <f t="shared" si="189"/>
        <v>0</v>
      </c>
      <c r="BI170" s="6">
        <v>0</v>
      </c>
      <c r="BJ170" s="6">
        <f t="shared" si="190"/>
        <v>0</v>
      </c>
      <c r="BK170" s="6">
        <f t="shared" si="191"/>
        <v>0</v>
      </c>
      <c r="BL170" s="6">
        <v>0</v>
      </c>
      <c r="BM170" s="6">
        <f t="shared" si="192"/>
        <v>0</v>
      </c>
      <c r="BN170" s="6">
        <f t="shared" si="193"/>
        <v>0</v>
      </c>
      <c r="BO170" s="6">
        <v>0</v>
      </c>
      <c r="BP170" s="6">
        <f t="shared" si="194"/>
        <v>0</v>
      </c>
      <c r="BQ170" s="6">
        <f t="shared" si="195"/>
        <v>0</v>
      </c>
      <c r="BR170" s="6">
        <v>0</v>
      </c>
      <c r="BS170" s="6">
        <f t="shared" si="196"/>
        <v>0</v>
      </c>
      <c r="BT170" s="6">
        <f t="shared" si="197"/>
        <v>0</v>
      </c>
      <c r="BU170" s="6">
        <v>0</v>
      </c>
      <c r="BV170" s="6">
        <f t="shared" si="198"/>
        <v>0</v>
      </c>
      <c r="BW170" s="6">
        <f t="shared" si="199"/>
        <v>0</v>
      </c>
      <c r="BX170" s="6">
        <v>0</v>
      </c>
      <c r="BY170" s="6">
        <f t="shared" si="200"/>
        <v>0</v>
      </c>
      <c r="BZ170" s="6">
        <f t="shared" si="201"/>
        <v>0</v>
      </c>
      <c r="CA170" s="6">
        <v>0</v>
      </c>
      <c r="CB170" s="6">
        <f t="shared" si="202"/>
        <v>0</v>
      </c>
      <c r="CC170" s="6">
        <f t="shared" si="203"/>
        <v>0</v>
      </c>
      <c r="CD170" s="6">
        <v>0</v>
      </c>
      <c r="CE170" s="6">
        <f t="shared" si="204"/>
        <v>0</v>
      </c>
      <c r="CF170" s="6">
        <f t="shared" si="205"/>
        <v>0</v>
      </c>
      <c r="CG170" s="6">
        <v>0</v>
      </c>
      <c r="CH170" s="6">
        <f t="shared" si="206"/>
        <v>0</v>
      </c>
      <c r="CI170" s="6">
        <f t="shared" si="207"/>
        <v>0</v>
      </c>
      <c r="CJ170" s="6">
        <v>0</v>
      </c>
      <c r="CK170" s="6">
        <f t="shared" si="208"/>
        <v>0</v>
      </c>
      <c r="CL170" s="6">
        <f t="shared" si="209"/>
        <v>0</v>
      </c>
      <c r="CM170" s="6">
        <v>0</v>
      </c>
      <c r="CN170" s="6">
        <f t="shared" si="210"/>
        <v>0</v>
      </c>
      <c r="CO170" s="6">
        <f t="shared" si="211"/>
        <v>0</v>
      </c>
      <c r="CP170" s="6">
        <v>0</v>
      </c>
      <c r="CQ170" s="6">
        <f t="shared" si="212"/>
        <v>0</v>
      </c>
      <c r="CR170" s="6">
        <f t="shared" si="213"/>
        <v>0</v>
      </c>
      <c r="CS170" s="6">
        <v>0</v>
      </c>
      <c r="CT170" s="6">
        <f t="shared" si="214"/>
        <v>0</v>
      </c>
      <c r="CU170" s="6">
        <f t="shared" si="215"/>
        <v>0</v>
      </c>
      <c r="CV170" s="6">
        <v>0</v>
      </c>
      <c r="CW170" s="6">
        <f t="shared" si="216"/>
        <v>0</v>
      </c>
      <c r="CX170" s="6">
        <f t="shared" si="217"/>
        <v>0</v>
      </c>
      <c r="CY170" s="6">
        <v>0</v>
      </c>
      <c r="CZ170" s="6">
        <f t="shared" si="218"/>
        <v>0</v>
      </c>
      <c r="DA170" s="6">
        <f t="shared" si="219"/>
        <v>0</v>
      </c>
      <c r="DB170" s="6">
        <v>0</v>
      </c>
      <c r="DC170" s="6">
        <f t="shared" si="220"/>
        <v>0</v>
      </c>
      <c r="DD170" s="6">
        <f t="shared" si="221"/>
        <v>0</v>
      </c>
      <c r="DE170" s="6">
        <v>0</v>
      </c>
      <c r="DF170" s="6">
        <f t="shared" si="222"/>
        <v>0</v>
      </c>
      <c r="DG170" s="6">
        <f t="shared" si="223"/>
        <v>0</v>
      </c>
      <c r="DH170" s="6">
        <v>0</v>
      </c>
      <c r="DI170" s="6">
        <f t="shared" si="224"/>
        <v>0</v>
      </c>
      <c r="DJ170" s="6">
        <f t="shared" si="225"/>
        <v>0</v>
      </c>
      <c r="DK170" s="6">
        <v>0</v>
      </c>
      <c r="DL170" s="6">
        <f t="shared" si="226"/>
        <v>0</v>
      </c>
      <c r="DM170" s="6">
        <f t="shared" si="227"/>
        <v>0</v>
      </c>
      <c r="DN170" s="6">
        <v>0</v>
      </c>
      <c r="DO170" s="6">
        <f t="shared" si="228"/>
        <v>0</v>
      </c>
      <c r="DP170" s="6">
        <f t="shared" si="229"/>
        <v>0</v>
      </c>
    </row>
    <row r="171" spans="1:120" x14ac:dyDescent="0.2">
      <c r="A171" s="21">
        <v>50</v>
      </c>
      <c r="B171" s="21" t="s">
        <v>675</v>
      </c>
      <c r="C171" s="21">
        <v>50568</v>
      </c>
      <c r="D171" s="21" t="s">
        <v>700</v>
      </c>
      <c r="E171" s="21" t="s">
        <v>631</v>
      </c>
      <c r="F171" s="22" t="s">
        <v>669</v>
      </c>
      <c r="G171" s="4" t="s">
        <v>283</v>
      </c>
      <c r="H171" s="6">
        <v>2348.4699999999998</v>
      </c>
      <c r="I171" s="6">
        <f t="shared" si="230"/>
        <v>6.4341643835616429</v>
      </c>
      <c r="J171" s="6">
        <v>0</v>
      </c>
      <c r="K171" s="6"/>
      <c r="L171" s="6"/>
      <c r="M171" s="6">
        <v>0</v>
      </c>
      <c r="N171" s="6"/>
      <c r="O171" s="6"/>
      <c r="P171" s="6">
        <v>22026.471099999999</v>
      </c>
      <c r="Q171" s="6">
        <v>15510.45</v>
      </c>
      <c r="R171" s="6">
        <f t="shared" si="235"/>
        <v>85.69309392265194</v>
      </c>
      <c r="S171" s="6">
        <v>40423.424700000003</v>
      </c>
      <c r="T171" s="6">
        <f t="shared" si="162"/>
        <v>40423.424700000003</v>
      </c>
      <c r="U171" s="6">
        <f t="shared" si="163"/>
        <v>110.7491087671233</v>
      </c>
      <c r="V171" s="6">
        <v>36836.648999999998</v>
      </c>
      <c r="W171" s="6">
        <f t="shared" si="164"/>
        <v>36836.648999999998</v>
      </c>
      <c r="X171" s="6">
        <f t="shared" si="165"/>
        <v>100.92232602739725</v>
      </c>
      <c r="Y171" s="6">
        <v>92847.611900000004</v>
      </c>
      <c r="Z171" s="6">
        <f t="shared" si="166"/>
        <v>92847.611900000004</v>
      </c>
      <c r="AA171" s="6">
        <f t="shared" si="167"/>
        <v>254.3770189041096</v>
      </c>
      <c r="AB171" s="6">
        <v>77536.073900000003</v>
      </c>
      <c r="AC171" s="6">
        <f t="shared" si="168"/>
        <v>77536.073900000003</v>
      </c>
      <c r="AD171" s="6">
        <f t="shared" si="169"/>
        <v>212.42759972602741</v>
      </c>
      <c r="AE171" s="6">
        <v>64986.644899999999</v>
      </c>
      <c r="AF171" s="6">
        <f t="shared" si="170"/>
        <v>64986.644899999999</v>
      </c>
      <c r="AG171" s="6">
        <f t="shared" si="171"/>
        <v>178.04560246575343</v>
      </c>
      <c r="AH171" s="6">
        <v>55915.366999999998</v>
      </c>
      <c r="AI171" s="6">
        <f t="shared" si="172"/>
        <v>55915.366999999998</v>
      </c>
      <c r="AJ171" s="6">
        <f t="shared" si="173"/>
        <v>153.19278630136986</v>
      </c>
      <c r="AK171" s="6">
        <v>49216.824099999998</v>
      </c>
      <c r="AL171" s="6">
        <f t="shared" si="174"/>
        <v>49216.824099999998</v>
      </c>
      <c r="AM171" s="6">
        <f t="shared" si="175"/>
        <v>134.84061397260274</v>
      </c>
      <c r="AN171" s="6">
        <v>44265.815799999997</v>
      </c>
      <c r="AO171" s="6">
        <f t="shared" si="176"/>
        <v>44265.815799999997</v>
      </c>
      <c r="AP171" s="6">
        <f t="shared" si="177"/>
        <v>121.27620767123287</v>
      </c>
      <c r="AQ171" s="6">
        <v>40354.918599999997</v>
      </c>
      <c r="AR171" s="6">
        <f t="shared" si="178"/>
        <v>40354.918599999997</v>
      </c>
      <c r="AS171" s="6">
        <f t="shared" si="179"/>
        <v>110.56142082191781</v>
      </c>
      <c r="AT171" s="6">
        <v>37261.870199999998</v>
      </c>
      <c r="AU171" s="6">
        <f t="shared" si="180"/>
        <v>37261.870199999998</v>
      </c>
      <c r="AV171" s="6">
        <f t="shared" si="181"/>
        <v>102.08731561643835</v>
      </c>
      <c r="AW171" s="6">
        <v>34481.001499999998</v>
      </c>
      <c r="AX171" s="6">
        <f t="shared" si="182"/>
        <v>34481.001499999998</v>
      </c>
      <c r="AY171" s="6">
        <f t="shared" si="183"/>
        <v>94.468497260273963</v>
      </c>
      <c r="AZ171" s="6">
        <v>32099.289199999999</v>
      </c>
      <c r="BA171" s="6">
        <f t="shared" si="184"/>
        <v>32099.289199999999</v>
      </c>
      <c r="BB171" s="6">
        <f t="shared" si="185"/>
        <v>87.943258082191775</v>
      </c>
      <c r="BC171" s="6">
        <v>0</v>
      </c>
      <c r="BD171" s="6">
        <f t="shared" si="186"/>
        <v>0</v>
      </c>
      <c r="BE171" s="6">
        <f t="shared" si="187"/>
        <v>0</v>
      </c>
      <c r="BF171" s="6">
        <v>0</v>
      </c>
      <c r="BG171" s="6">
        <f t="shared" si="188"/>
        <v>0</v>
      </c>
      <c r="BH171" s="6">
        <f t="shared" si="189"/>
        <v>0</v>
      </c>
      <c r="BI171" s="6">
        <v>0</v>
      </c>
      <c r="BJ171" s="6">
        <f t="shared" si="190"/>
        <v>0</v>
      </c>
      <c r="BK171" s="6">
        <f t="shared" si="191"/>
        <v>0</v>
      </c>
      <c r="BL171" s="6">
        <v>0</v>
      </c>
      <c r="BM171" s="6">
        <f t="shared" si="192"/>
        <v>0</v>
      </c>
      <c r="BN171" s="6">
        <f t="shared" si="193"/>
        <v>0</v>
      </c>
      <c r="BO171" s="6">
        <v>0</v>
      </c>
      <c r="BP171" s="6">
        <f t="shared" si="194"/>
        <v>0</v>
      </c>
      <c r="BQ171" s="6">
        <f t="shared" si="195"/>
        <v>0</v>
      </c>
      <c r="BR171" s="6">
        <v>0</v>
      </c>
      <c r="BS171" s="6">
        <f t="shared" si="196"/>
        <v>0</v>
      </c>
      <c r="BT171" s="6">
        <f t="shared" si="197"/>
        <v>0</v>
      </c>
      <c r="BU171" s="6">
        <v>0</v>
      </c>
      <c r="BV171" s="6">
        <f t="shared" si="198"/>
        <v>0</v>
      </c>
      <c r="BW171" s="6">
        <f t="shared" si="199"/>
        <v>0</v>
      </c>
      <c r="BX171" s="6">
        <v>0</v>
      </c>
      <c r="BY171" s="6">
        <f t="shared" si="200"/>
        <v>0</v>
      </c>
      <c r="BZ171" s="6">
        <f t="shared" si="201"/>
        <v>0</v>
      </c>
      <c r="CA171" s="6">
        <v>0</v>
      </c>
      <c r="CB171" s="6">
        <f t="shared" si="202"/>
        <v>0</v>
      </c>
      <c r="CC171" s="6">
        <f t="shared" si="203"/>
        <v>0</v>
      </c>
      <c r="CD171" s="6">
        <v>0</v>
      </c>
      <c r="CE171" s="6">
        <f t="shared" si="204"/>
        <v>0</v>
      </c>
      <c r="CF171" s="6">
        <f t="shared" si="205"/>
        <v>0</v>
      </c>
      <c r="CG171" s="6">
        <v>0</v>
      </c>
      <c r="CH171" s="6">
        <f t="shared" si="206"/>
        <v>0</v>
      </c>
      <c r="CI171" s="6">
        <f t="shared" si="207"/>
        <v>0</v>
      </c>
      <c r="CJ171" s="6">
        <v>0</v>
      </c>
      <c r="CK171" s="6">
        <f t="shared" si="208"/>
        <v>0</v>
      </c>
      <c r="CL171" s="6">
        <f t="shared" si="209"/>
        <v>0</v>
      </c>
      <c r="CM171" s="6">
        <v>0</v>
      </c>
      <c r="CN171" s="6">
        <f t="shared" si="210"/>
        <v>0</v>
      </c>
      <c r="CO171" s="6">
        <f t="shared" si="211"/>
        <v>0</v>
      </c>
      <c r="CP171" s="6">
        <v>0</v>
      </c>
      <c r="CQ171" s="6">
        <f t="shared" si="212"/>
        <v>0</v>
      </c>
      <c r="CR171" s="6">
        <f t="shared" si="213"/>
        <v>0</v>
      </c>
      <c r="CS171" s="6">
        <v>0</v>
      </c>
      <c r="CT171" s="6">
        <f t="shared" si="214"/>
        <v>0</v>
      </c>
      <c r="CU171" s="6">
        <f t="shared" si="215"/>
        <v>0</v>
      </c>
      <c r="CV171" s="6">
        <v>0</v>
      </c>
      <c r="CW171" s="6">
        <f t="shared" si="216"/>
        <v>0</v>
      </c>
      <c r="CX171" s="6">
        <f t="shared" si="217"/>
        <v>0</v>
      </c>
      <c r="CY171" s="6">
        <v>0</v>
      </c>
      <c r="CZ171" s="6">
        <f t="shared" si="218"/>
        <v>0</v>
      </c>
      <c r="DA171" s="6">
        <f t="shared" si="219"/>
        <v>0</v>
      </c>
      <c r="DB171" s="6">
        <v>0</v>
      </c>
      <c r="DC171" s="6">
        <f t="shared" si="220"/>
        <v>0</v>
      </c>
      <c r="DD171" s="6">
        <f t="shared" si="221"/>
        <v>0</v>
      </c>
      <c r="DE171" s="6">
        <v>0</v>
      </c>
      <c r="DF171" s="6">
        <f t="shared" si="222"/>
        <v>0</v>
      </c>
      <c r="DG171" s="6">
        <f t="shared" si="223"/>
        <v>0</v>
      </c>
      <c r="DH171" s="6">
        <v>0</v>
      </c>
      <c r="DI171" s="6">
        <f t="shared" si="224"/>
        <v>0</v>
      </c>
      <c r="DJ171" s="6">
        <f t="shared" si="225"/>
        <v>0</v>
      </c>
      <c r="DK171" s="6">
        <v>0</v>
      </c>
      <c r="DL171" s="6">
        <f t="shared" si="226"/>
        <v>0</v>
      </c>
      <c r="DM171" s="6">
        <f t="shared" si="227"/>
        <v>0</v>
      </c>
      <c r="DN171" s="6">
        <v>0</v>
      </c>
      <c r="DO171" s="6">
        <f t="shared" si="228"/>
        <v>0</v>
      </c>
      <c r="DP171" s="6">
        <f t="shared" si="229"/>
        <v>0</v>
      </c>
    </row>
    <row r="172" spans="1:120" x14ac:dyDescent="0.2">
      <c r="A172" s="21">
        <v>85</v>
      </c>
      <c r="B172" s="21" t="s">
        <v>612</v>
      </c>
      <c r="C172" s="21">
        <v>85139</v>
      </c>
      <c r="D172" s="21" t="s">
        <v>702</v>
      </c>
      <c r="E172" s="21" t="s">
        <v>575</v>
      </c>
      <c r="F172" s="22" t="s">
        <v>666</v>
      </c>
      <c r="G172" s="4" t="s">
        <v>284</v>
      </c>
      <c r="H172" s="6">
        <v>26678</v>
      </c>
      <c r="I172" s="6">
        <f t="shared" si="230"/>
        <v>73.090410958904116</v>
      </c>
      <c r="J172" s="6">
        <v>73209</v>
      </c>
      <c r="K172" s="6">
        <v>1665.86</v>
      </c>
      <c r="L172" s="6">
        <f>K172/366</f>
        <v>4.5515300546448083</v>
      </c>
      <c r="M172" s="6">
        <v>44996</v>
      </c>
      <c r="N172" s="6">
        <v>80594.559999999998</v>
      </c>
      <c r="O172" s="6">
        <f>N172/365</f>
        <v>220.80701369863013</v>
      </c>
      <c r="P172" s="6">
        <v>47736</v>
      </c>
      <c r="Q172" s="6">
        <v>33570.57</v>
      </c>
      <c r="R172" s="6">
        <f t="shared" si="235"/>
        <v>185.47276243093921</v>
      </c>
      <c r="S172" s="6">
        <v>41253</v>
      </c>
      <c r="T172" s="6">
        <f t="shared" si="162"/>
        <v>41253</v>
      </c>
      <c r="U172" s="6">
        <f t="shared" si="163"/>
        <v>113.02191780821917</v>
      </c>
      <c r="V172" s="6">
        <v>27778</v>
      </c>
      <c r="W172" s="6">
        <f t="shared" si="164"/>
        <v>27778</v>
      </c>
      <c r="X172" s="6">
        <f t="shared" si="165"/>
        <v>76.104109589041101</v>
      </c>
      <c r="Y172" s="6">
        <v>15114</v>
      </c>
      <c r="Z172" s="6">
        <f t="shared" si="166"/>
        <v>15114</v>
      </c>
      <c r="AA172" s="6">
        <f t="shared" si="167"/>
        <v>41.408219178082192</v>
      </c>
      <c r="AB172" s="6">
        <v>12395</v>
      </c>
      <c r="AC172" s="6">
        <f t="shared" si="168"/>
        <v>12395</v>
      </c>
      <c r="AD172" s="6">
        <f t="shared" si="169"/>
        <v>33.958904109589042</v>
      </c>
      <c r="AE172" s="6">
        <v>0</v>
      </c>
      <c r="AF172" s="6">
        <f t="shared" si="170"/>
        <v>0</v>
      </c>
      <c r="AG172" s="6">
        <f t="shared" si="171"/>
        <v>0</v>
      </c>
      <c r="AH172" s="6">
        <v>0</v>
      </c>
      <c r="AI172" s="6">
        <f t="shared" si="172"/>
        <v>0</v>
      </c>
      <c r="AJ172" s="6">
        <f t="shared" si="173"/>
        <v>0</v>
      </c>
      <c r="AK172" s="6">
        <v>0</v>
      </c>
      <c r="AL172" s="6">
        <f t="shared" si="174"/>
        <v>0</v>
      </c>
      <c r="AM172" s="6">
        <f t="shared" si="175"/>
        <v>0</v>
      </c>
      <c r="AN172" s="6">
        <v>0</v>
      </c>
      <c r="AO172" s="6">
        <f t="shared" si="176"/>
        <v>0</v>
      </c>
      <c r="AP172" s="6">
        <f t="shared" si="177"/>
        <v>0</v>
      </c>
      <c r="AQ172" s="6">
        <v>0</v>
      </c>
      <c r="AR172" s="6">
        <f t="shared" si="178"/>
        <v>0</v>
      </c>
      <c r="AS172" s="6">
        <f t="shared" si="179"/>
        <v>0</v>
      </c>
      <c r="AT172" s="6">
        <v>0</v>
      </c>
      <c r="AU172" s="6">
        <f t="shared" si="180"/>
        <v>0</v>
      </c>
      <c r="AV172" s="6">
        <f t="shared" si="181"/>
        <v>0</v>
      </c>
      <c r="AW172" s="6">
        <v>0</v>
      </c>
      <c r="AX172" s="6">
        <f t="shared" si="182"/>
        <v>0</v>
      </c>
      <c r="AY172" s="6">
        <f t="shared" si="183"/>
        <v>0</v>
      </c>
      <c r="AZ172" s="6">
        <v>0</v>
      </c>
      <c r="BA172" s="6">
        <f t="shared" si="184"/>
        <v>0</v>
      </c>
      <c r="BB172" s="6">
        <f t="shared" si="185"/>
        <v>0</v>
      </c>
      <c r="BC172" s="6">
        <v>0</v>
      </c>
      <c r="BD172" s="6">
        <f t="shared" si="186"/>
        <v>0</v>
      </c>
      <c r="BE172" s="6">
        <f t="shared" si="187"/>
        <v>0</v>
      </c>
      <c r="BF172" s="6">
        <v>0</v>
      </c>
      <c r="BG172" s="6">
        <f t="shared" si="188"/>
        <v>0</v>
      </c>
      <c r="BH172" s="6">
        <f t="shared" si="189"/>
        <v>0</v>
      </c>
      <c r="BI172" s="6">
        <v>0</v>
      </c>
      <c r="BJ172" s="6">
        <f t="shared" si="190"/>
        <v>0</v>
      </c>
      <c r="BK172" s="6">
        <f t="shared" si="191"/>
        <v>0</v>
      </c>
      <c r="BL172" s="6">
        <v>0</v>
      </c>
      <c r="BM172" s="6">
        <f t="shared" si="192"/>
        <v>0</v>
      </c>
      <c r="BN172" s="6">
        <f t="shared" si="193"/>
        <v>0</v>
      </c>
      <c r="BO172" s="6">
        <v>0</v>
      </c>
      <c r="BP172" s="6">
        <f t="shared" si="194"/>
        <v>0</v>
      </c>
      <c r="BQ172" s="6">
        <f t="shared" si="195"/>
        <v>0</v>
      </c>
      <c r="BR172" s="6">
        <v>0</v>
      </c>
      <c r="BS172" s="6">
        <f t="shared" si="196"/>
        <v>0</v>
      </c>
      <c r="BT172" s="6">
        <f t="shared" si="197"/>
        <v>0</v>
      </c>
      <c r="BU172" s="6">
        <v>0</v>
      </c>
      <c r="BV172" s="6">
        <f t="shared" si="198"/>
        <v>0</v>
      </c>
      <c r="BW172" s="6">
        <f t="shared" si="199"/>
        <v>0</v>
      </c>
      <c r="BX172" s="6">
        <v>0</v>
      </c>
      <c r="BY172" s="6">
        <f t="shared" si="200"/>
        <v>0</v>
      </c>
      <c r="BZ172" s="6">
        <f t="shared" si="201"/>
        <v>0</v>
      </c>
      <c r="CA172" s="6">
        <v>0</v>
      </c>
      <c r="CB172" s="6">
        <f t="shared" si="202"/>
        <v>0</v>
      </c>
      <c r="CC172" s="6">
        <f t="shared" si="203"/>
        <v>0</v>
      </c>
      <c r="CD172" s="6">
        <v>0</v>
      </c>
      <c r="CE172" s="6">
        <f t="shared" si="204"/>
        <v>0</v>
      </c>
      <c r="CF172" s="6">
        <f t="shared" si="205"/>
        <v>0</v>
      </c>
      <c r="CG172" s="6">
        <v>0</v>
      </c>
      <c r="CH172" s="6">
        <f t="shared" si="206"/>
        <v>0</v>
      </c>
      <c r="CI172" s="6">
        <f t="shared" si="207"/>
        <v>0</v>
      </c>
      <c r="CJ172" s="6">
        <v>0</v>
      </c>
      <c r="CK172" s="6">
        <f t="shared" si="208"/>
        <v>0</v>
      </c>
      <c r="CL172" s="6">
        <f t="shared" si="209"/>
        <v>0</v>
      </c>
      <c r="CM172" s="6">
        <v>0</v>
      </c>
      <c r="CN172" s="6">
        <f t="shared" si="210"/>
        <v>0</v>
      </c>
      <c r="CO172" s="6">
        <f t="shared" si="211"/>
        <v>0</v>
      </c>
      <c r="CP172" s="6">
        <v>0</v>
      </c>
      <c r="CQ172" s="6">
        <f t="shared" si="212"/>
        <v>0</v>
      </c>
      <c r="CR172" s="6">
        <f t="shared" si="213"/>
        <v>0</v>
      </c>
      <c r="CS172" s="6">
        <v>0</v>
      </c>
      <c r="CT172" s="6">
        <f t="shared" si="214"/>
        <v>0</v>
      </c>
      <c r="CU172" s="6">
        <f t="shared" si="215"/>
        <v>0</v>
      </c>
      <c r="CV172" s="6">
        <v>0</v>
      </c>
      <c r="CW172" s="6">
        <f t="shared" si="216"/>
        <v>0</v>
      </c>
      <c r="CX172" s="6">
        <f t="shared" si="217"/>
        <v>0</v>
      </c>
      <c r="CY172" s="6">
        <v>0</v>
      </c>
      <c r="CZ172" s="6">
        <f t="shared" si="218"/>
        <v>0</v>
      </c>
      <c r="DA172" s="6">
        <f t="shared" si="219"/>
        <v>0</v>
      </c>
      <c r="DB172" s="6">
        <v>0</v>
      </c>
      <c r="DC172" s="6">
        <f t="shared" si="220"/>
        <v>0</v>
      </c>
      <c r="DD172" s="6">
        <f t="shared" si="221"/>
        <v>0</v>
      </c>
      <c r="DE172" s="6">
        <v>0</v>
      </c>
      <c r="DF172" s="6">
        <f t="shared" si="222"/>
        <v>0</v>
      </c>
      <c r="DG172" s="6">
        <f t="shared" si="223"/>
        <v>0</v>
      </c>
      <c r="DH172" s="6">
        <v>0</v>
      </c>
      <c r="DI172" s="6">
        <f t="shared" si="224"/>
        <v>0</v>
      </c>
      <c r="DJ172" s="6">
        <f t="shared" si="225"/>
        <v>0</v>
      </c>
      <c r="DK172" s="6">
        <v>0</v>
      </c>
      <c r="DL172" s="6">
        <f t="shared" si="226"/>
        <v>0</v>
      </c>
      <c r="DM172" s="6">
        <f t="shared" si="227"/>
        <v>0</v>
      </c>
      <c r="DN172" s="6">
        <v>0</v>
      </c>
      <c r="DO172" s="6">
        <f t="shared" si="228"/>
        <v>0</v>
      </c>
      <c r="DP172" s="6">
        <f t="shared" si="229"/>
        <v>0</v>
      </c>
    </row>
    <row r="173" spans="1:120" x14ac:dyDescent="0.2">
      <c r="A173" s="21">
        <v>68</v>
      </c>
      <c r="B173" s="21" t="s">
        <v>673</v>
      </c>
      <c r="C173" s="21">
        <v>68655</v>
      </c>
      <c r="D173" s="21" t="s">
        <v>689</v>
      </c>
      <c r="E173" s="21" t="s">
        <v>713</v>
      </c>
      <c r="F173" s="22" t="s">
        <v>662</v>
      </c>
      <c r="G173" s="4" t="s">
        <v>285</v>
      </c>
      <c r="H173" s="6">
        <v>329783.78999999998</v>
      </c>
      <c r="I173" s="6">
        <f t="shared" si="230"/>
        <v>903.51723287671223</v>
      </c>
      <c r="J173" s="6">
        <v>367500</v>
      </c>
      <c r="K173" s="6">
        <v>311483.98</v>
      </c>
      <c r="L173" s="6">
        <f>K173/366</f>
        <v>851.04912568306008</v>
      </c>
      <c r="M173" s="6">
        <v>427600</v>
      </c>
      <c r="N173" s="6">
        <v>305111.01</v>
      </c>
      <c r="O173" s="6">
        <f>N173/365</f>
        <v>835.92057534246578</v>
      </c>
      <c r="P173" s="6">
        <v>477100</v>
      </c>
      <c r="Q173" s="6">
        <v>143324.28</v>
      </c>
      <c r="R173" s="6">
        <f t="shared" si="235"/>
        <v>791.84685082872932</v>
      </c>
      <c r="S173" s="6">
        <v>528900</v>
      </c>
      <c r="T173" s="6">
        <f t="shared" si="162"/>
        <v>528900</v>
      </c>
      <c r="U173" s="6">
        <f t="shared" si="163"/>
        <v>1449.041095890411</v>
      </c>
      <c r="V173" s="6">
        <v>622500</v>
      </c>
      <c r="W173" s="6">
        <f t="shared" si="164"/>
        <v>622500</v>
      </c>
      <c r="X173" s="6">
        <f t="shared" si="165"/>
        <v>1705.4794520547946</v>
      </c>
      <c r="Y173" s="6">
        <v>613700</v>
      </c>
      <c r="Z173" s="6">
        <f t="shared" si="166"/>
        <v>613700</v>
      </c>
      <c r="AA173" s="6">
        <f t="shared" si="167"/>
        <v>1681.3698630136987</v>
      </c>
      <c r="AB173" s="6">
        <v>553000</v>
      </c>
      <c r="AC173" s="6">
        <f t="shared" si="168"/>
        <v>553000</v>
      </c>
      <c r="AD173" s="6">
        <f t="shared" si="169"/>
        <v>1515.0684931506848</v>
      </c>
      <c r="AE173" s="6">
        <v>494100</v>
      </c>
      <c r="AF173" s="6">
        <f t="shared" si="170"/>
        <v>494100</v>
      </c>
      <c r="AG173" s="6">
        <f t="shared" si="171"/>
        <v>1353.6986301369864</v>
      </c>
      <c r="AH173" s="6">
        <v>444600</v>
      </c>
      <c r="AI173" s="6">
        <f t="shared" si="172"/>
        <v>444600</v>
      </c>
      <c r="AJ173" s="6">
        <f t="shared" si="173"/>
        <v>1218.0821917808219</v>
      </c>
      <c r="AK173" s="6">
        <v>402000</v>
      </c>
      <c r="AL173" s="6">
        <f t="shared" si="174"/>
        <v>402000</v>
      </c>
      <c r="AM173" s="6">
        <f t="shared" si="175"/>
        <v>1101.3698630136987</v>
      </c>
      <c r="AN173" s="6">
        <v>363800</v>
      </c>
      <c r="AO173" s="6">
        <f t="shared" si="176"/>
        <v>363800</v>
      </c>
      <c r="AP173" s="6">
        <f t="shared" si="177"/>
        <v>996.71232876712327</v>
      </c>
      <c r="AQ173" s="6">
        <v>329500</v>
      </c>
      <c r="AR173" s="6">
        <f t="shared" si="178"/>
        <v>329500</v>
      </c>
      <c r="AS173" s="6">
        <f t="shared" si="179"/>
        <v>902.7397260273973</v>
      </c>
      <c r="AT173" s="6">
        <v>292100</v>
      </c>
      <c r="AU173" s="6">
        <f t="shared" si="180"/>
        <v>292100</v>
      </c>
      <c r="AV173" s="6">
        <f t="shared" si="181"/>
        <v>800.27397260273972</v>
      </c>
      <c r="AW173" s="6">
        <v>253800</v>
      </c>
      <c r="AX173" s="6">
        <f t="shared" si="182"/>
        <v>253800</v>
      </c>
      <c r="AY173" s="6">
        <f t="shared" si="183"/>
        <v>695.34246575342468</v>
      </c>
      <c r="AZ173" s="6">
        <v>225000</v>
      </c>
      <c r="BA173" s="6">
        <f t="shared" si="184"/>
        <v>225000</v>
      </c>
      <c r="BB173" s="6">
        <f t="shared" si="185"/>
        <v>616.43835616438355</v>
      </c>
      <c r="BC173" s="6">
        <v>186800</v>
      </c>
      <c r="BD173" s="6">
        <f t="shared" si="186"/>
        <v>186800</v>
      </c>
      <c r="BE173" s="6">
        <f t="shared" si="187"/>
        <v>511.78082191780823</v>
      </c>
      <c r="BF173" s="6">
        <v>170100</v>
      </c>
      <c r="BG173" s="6">
        <f t="shared" si="188"/>
        <v>170100</v>
      </c>
      <c r="BH173" s="6">
        <f t="shared" si="189"/>
        <v>466.02739726027397</v>
      </c>
      <c r="BI173" s="6">
        <v>156300</v>
      </c>
      <c r="BJ173" s="6">
        <f t="shared" si="190"/>
        <v>156300</v>
      </c>
      <c r="BK173" s="6">
        <f t="shared" si="191"/>
        <v>428.21917808219177</v>
      </c>
      <c r="BL173" s="6">
        <v>143300</v>
      </c>
      <c r="BM173" s="6">
        <f t="shared" si="192"/>
        <v>143300</v>
      </c>
      <c r="BN173" s="6">
        <f t="shared" si="193"/>
        <v>392.60273972602738</v>
      </c>
      <c r="BO173" s="6">
        <v>132900</v>
      </c>
      <c r="BP173" s="6">
        <f t="shared" si="194"/>
        <v>132900</v>
      </c>
      <c r="BQ173" s="6">
        <f t="shared" si="195"/>
        <v>364.10958904109589</v>
      </c>
      <c r="BR173" s="6">
        <v>123500</v>
      </c>
      <c r="BS173" s="6">
        <f t="shared" si="196"/>
        <v>123500</v>
      </c>
      <c r="BT173" s="6">
        <f t="shared" si="197"/>
        <v>338.35616438356163</v>
      </c>
      <c r="BU173" s="6">
        <v>113300</v>
      </c>
      <c r="BV173" s="6">
        <f t="shared" si="198"/>
        <v>113300</v>
      </c>
      <c r="BW173" s="6">
        <f t="shared" si="199"/>
        <v>310.41095890410958</v>
      </c>
      <c r="BX173" s="6">
        <v>105200</v>
      </c>
      <c r="BY173" s="6">
        <f t="shared" si="200"/>
        <v>105200</v>
      </c>
      <c r="BZ173" s="6">
        <f t="shared" si="201"/>
        <v>288.21917808219177</v>
      </c>
      <c r="CA173" s="6">
        <v>95800</v>
      </c>
      <c r="CB173" s="6">
        <f t="shared" si="202"/>
        <v>95800</v>
      </c>
      <c r="CC173" s="6">
        <f t="shared" si="203"/>
        <v>262.46575342465752</v>
      </c>
      <c r="CD173" s="6">
        <v>88400</v>
      </c>
      <c r="CE173" s="6">
        <f t="shared" si="204"/>
        <v>88400</v>
      </c>
      <c r="CF173" s="6">
        <f t="shared" si="205"/>
        <v>242.1917808219178</v>
      </c>
      <c r="CG173" s="6">
        <v>82500</v>
      </c>
      <c r="CH173" s="6">
        <f t="shared" si="206"/>
        <v>82500</v>
      </c>
      <c r="CI173" s="6">
        <f t="shared" si="207"/>
        <v>226.02739726027397</v>
      </c>
      <c r="CJ173" s="6">
        <v>78100</v>
      </c>
      <c r="CK173" s="6">
        <f t="shared" si="208"/>
        <v>78100</v>
      </c>
      <c r="CL173" s="6">
        <f t="shared" si="209"/>
        <v>213.97260273972603</v>
      </c>
      <c r="CM173" s="6">
        <v>69800</v>
      </c>
      <c r="CN173" s="6">
        <f t="shared" si="210"/>
        <v>69800</v>
      </c>
      <c r="CO173" s="6">
        <f t="shared" si="211"/>
        <v>191.23287671232876</v>
      </c>
      <c r="CP173" s="6">
        <v>63500</v>
      </c>
      <c r="CQ173" s="6">
        <f t="shared" si="212"/>
        <v>63500</v>
      </c>
      <c r="CR173" s="6">
        <f t="shared" si="213"/>
        <v>173.97260273972603</v>
      </c>
      <c r="CS173" s="6">
        <v>58600</v>
      </c>
      <c r="CT173" s="6">
        <f t="shared" si="214"/>
        <v>58600</v>
      </c>
      <c r="CU173" s="6">
        <f t="shared" si="215"/>
        <v>160.54794520547946</v>
      </c>
      <c r="CV173" s="6">
        <v>52000</v>
      </c>
      <c r="CW173" s="6">
        <f t="shared" si="216"/>
        <v>52000</v>
      </c>
      <c r="CX173" s="6">
        <f t="shared" si="217"/>
        <v>142.46575342465752</v>
      </c>
      <c r="CY173" s="6">
        <v>46000</v>
      </c>
      <c r="CZ173" s="6">
        <f t="shared" si="218"/>
        <v>46000</v>
      </c>
      <c r="DA173" s="6">
        <f t="shared" si="219"/>
        <v>126.02739726027397</v>
      </c>
      <c r="DB173" s="6">
        <v>21200</v>
      </c>
      <c r="DC173" s="6">
        <f t="shared" si="220"/>
        <v>21200</v>
      </c>
      <c r="DD173" s="6">
        <f t="shared" si="221"/>
        <v>58.082191780821915</v>
      </c>
      <c r="DE173" s="6">
        <v>0</v>
      </c>
      <c r="DF173" s="6">
        <f t="shared" si="222"/>
        <v>0</v>
      </c>
      <c r="DG173" s="6">
        <f t="shared" si="223"/>
        <v>0</v>
      </c>
      <c r="DH173" s="6">
        <v>0</v>
      </c>
      <c r="DI173" s="6">
        <f t="shared" si="224"/>
        <v>0</v>
      </c>
      <c r="DJ173" s="6">
        <f t="shared" si="225"/>
        <v>0</v>
      </c>
      <c r="DK173" s="6">
        <v>0</v>
      </c>
      <c r="DL173" s="6">
        <f t="shared" si="226"/>
        <v>0</v>
      </c>
      <c r="DM173" s="6">
        <f t="shared" si="227"/>
        <v>0</v>
      </c>
      <c r="DN173" s="6">
        <v>0</v>
      </c>
      <c r="DO173" s="6">
        <f t="shared" si="228"/>
        <v>0</v>
      </c>
      <c r="DP173" s="6">
        <f t="shared" si="229"/>
        <v>0</v>
      </c>
    </row>
    <row r="174" spans="1:120" x14ac:dyDescent="0.2">
      <c r="A174" s="21">
        <v>85</v>
      </c>
      <c r="B174" s="21" t="s">
        <v>612</v>
      </c>
      <c r="C174" s="21">
        <v>85230</v>
      </c>
      <c r="D174" s="21" t="s">
        <v>614</v>
      </c>
      <c r="E174" s="21" t="s">
        <v>699</v>
      </c>
      <c r="F174" s="22" t="s">
        <v>669</v>
      </c>
      <c r="G174" s="4" t="s">
        <v>286</v>
      </c>
      <c r="H174" s="6">
        <v>135829.81</v>
      </c>
      <c r="I174" s="6">
        <f t="shared" si="230"/>
        <v>372.13646575342466</v>
      </c>
      <c r="J174" s="6">
        <v>218528.63589999999</v>
      </c>
      <c r="K174" s="6">
        <v>114314.81</v>
      </c>
      <c r="L174" s="6">
        <f>K174/366</f>
        <v>312.33554644808743</v>
      </c>
      <c r="M174" s="6">
        <v>295638.53049999999</v>
      </c>
      <c r="N174" s="6">
        <v>72901.95</v>
      </c>
      <c r="O174" s="6">
        <f>N174/365</f>
        <v>199.7313698630137</v>
      </c>
      <c r="P174" s="6">
        <v>196404</v>
      </c>
      <c r="Q174" s="6">
        <v>33786.71</v>
      </c>
      <c r="R174" s="6">
        <f t="shared" si="235"/>
        <v>186.66690607734807</v>
      </c>
      <c r="S174" s="6">
        <v>159658</v>
      </c>
      <c r="T174" s="6">
        <f t="shared" si="162"/>
        <v>159658</v>
      </c>
      <c r="U174" s="6">
        <f t="shared" si="163"/>
        <v>437.41917808219176</v>
      </c>
      <c r="V174" s="6">
        <v>117858</v>
      </c>
      <c r="W174" s="6">
        <f t="shared" si="164"/>
        <v>117858</v>
      </c>
      <c r="X174" s="6">
        <f t="shared" si="165"/>
        <v>322.8986301369863</v>
      </c>
      <c r="Y174" s="6">
        <v>76525</v>
      </c>
      <c r="Z174" s="6">
        <f t="shared" si="166"/>
        <v>76525</v>
      </c>
      <c r="AA174" s="6">
        <f t="shared" si="167"/>
        <v>209.65753424657535</v>
      </c>
      <c r="AB174" s="6">
        <v>0</v>
      </c>
      <c r="AC174" s="6">
        <f t="shared" si="168"/>
        <v>0</v>
      </c>
      <c r="AD174" s="6">
        <f t="shared" si="169"/>
        <v>0</v>
      </c>
      <c r="AE174" s="6">
        <v>0</v>
      </c>
      <c r="AF174" s="6">
        <f t="shared" si="170"/>
        <v>0</v>
      </c>
      <c r="AG174" s="6">
        <f t="shared" si="171"/>
        <v>0</v>
      </c>
      <c r="AH174" s="6">
        <v>0</v>
      </c>
      <c r="AI174" s="6">
        <f t="shared" si="172"/>
        <v>0</v>
      </c>
      <c r="AJ174" s="6">
        <f t="shared" si="173"/>
        <v>0</v>
      </c>
      <c r="AK174" s="6">
        <v>0</v>
      </c>
      <c r="AL174" s="6">
        <f t="shared" si="174"/>
        <v>0</v>
      </c>
      <c r="AM174" s="6">
        <f t="shared" si="175"/>
        <v>0</v>
      </c>
      <c r="AN174" s="6">
        <v>0</v>
      </c>
      <c r="AO174" s="6">
        <f t="shared" si="176"/>
        <v>0</v>
      </c>
      <c r="AP174" s="6">
        <f t="shared" si="177"/>
        <v>0</v>
      </c>
      <c r="AQ174" s="6">
        <v>0</v>
      </c>
      <c r="AR174" s="6">
        <f t="shared" si="178"/>
        <v>0</v>
      </c>
      <c r="AS174" s="6">
        <f t="shared" si="179"/>
        <v>0</v>
      </c>
      <c r="AT174" s="6">
        <v>0</v>
      </c>
      <c r="AU174" s="6">
        <f t="shared" si="180"/>
        <v>0</v>
      </c>
      <c r="AV174" s="6">
        <f t="shared" si="181"/>
        <v>0</v>
      </c>
      <c r="AW174" s="6">
        <v>0</v>
      </c>
      <c r="AX174" s="6">
        <f t="shared" si="182"/>
        <v>0</v>
      </c>
      <c r="AY174" s="6">
        <f t="shared" si="183"/>
        <v>0</v>
      </c>
      <c r="AZ174" s="6">
        <v>0</v>
      </c>
      <c r="BA174" s="6">
        <f t="shared" si="184"/>
        <v>0</v>
      </c>
      <c r="BB174" s="6">
        <f t="shared" si="185"/>
        <v>0</v>
      </c>
      <c r="BC174" s="6">
        <v>0</v>
      </c>
      <c r="BD174" s="6">
        <f t="shared" si="186"/>
        <v>0</v>
      </c>
      <c r="BE174" s="6">
        <f t="shared" si="187"/>
        <v>0</v>
      </c>
      <c r="BF174" s="6">
        <v>0</v>
      </c>
      <c r="BG174" s="6">
        <f t="shared" si="188"/>
        <v>0</v>
      </c>
      <c r="BH174" s="6">
        <f t="shared" si="189"/>
        <v>0</v>
      </c>
      <c r="BI174" s="6">
        <v>0</v>
      </c>
      <c r="BJ174" s="6">
        <f t="shared" si="190"/>
        <v>0</v>
      </c>
      <c r="BK174" s="6">
        <f t="shared" si="191"/>
        <v>0</v>
      </c>
      <c r="BL174" s="6">
        <v>0</v>
      </c>
      <c r="BM174" s="6">
        <f t="shared" si="192"/>
        <v>0</v>
      </c>
      <c r="BN174" s="6">
        <f t="shared" si="193"/>
        <v>0</v>
      </c>
      <c r="BO174" s="6">
        <v>0</v>
      </c>
      <c r="BP174" s="6">
        <f t="shared" si="194"/>
        <v>0</v>
      </c>
      <c r="BQ174" s="6">
        <f t="shared" si="195"/>
        <v>0</v>
      </c>
      <c r="BR174" s="6">
        <v>0</v>
      </c>
      <c r="BS174" s="6">
        <f t="shared" si="196"/>
        <v>0</v>
      </c>
      <c r="BT174" s="6">
        <f t="shared" si="197"/>
        <v>0</v>
      </c>
      <c r="BU174" s="6">
        <v>0</v>
      </c>
      <c r="BV174" s="6">
        <f t="shared" si="198"/>
        <v>0</v>
      </c>
      <c r="BW174" s="6">
        <f t="shared" si="199"/>
        <v>0</v>
      </c>
      <c r="BX174" s="6">
        <v>0</v>
      </c>
      <c r="BY174" s="6">
        <f t="shared" si="200"/>
        <v>0</v>
      </c>
      <c r="BZ174" s="6">
        <f t="shared" si="201"/>
        <v>0</v>
      </c>
      <c r="CA174" s="6">
        <v>0</v>
      </c>
      <c r="CB174" s="6">
        <f t="shared" si="202"/>
        <v>0</v>
      </c>
      <c r="CC174" s="6">
        <f t="shared" si="203"/>
        <v>0</v>
      </c>
      <c r="CD174" s="6">
        <v>0</v>
      </c>
      <c r="CE174" s="6">
        <f t="shared" si="204"/>
        <v>0</v>
      </c>
      <c r="CF174" s="6">
        <f t="shared" si="205"/>
        <v>0</v>
      </c>
      <c r="CG174" s="6">
        <v>0</v>
      </c>
      <c r="CH174" s="6">
        <f t="shared" si="206"/>
        <v>0</v>
      </c>
      <c r="CI174" s="6">
        <f t="shared" si="207"/>
        <v>0</v>
      </c>
      <c r="CJ174" s="6">
        <v>0</v>
      </c>
      <c r="CK174" s="6">
        <f t="shared" si="208"/>
        <v>0</v>
      </c>
      <c r="CL174" s="6">
        <f t="shared" si="209"/>
        <v>0</v>
      </c>
      <c r="CM174" s="6">
        <v>0</v>
      </c>
      <c r="CN174" s="6">
        <f t="shared" si="210"/>
        <v>0</v>
      </c>
      <c r="CO174" s="6">
        <f t="shared" si="211"/>
        <v>0</v>
      </c>
      <c r="CP174" s="6">
        <v>0</v>
      </c>
      <c r="CQ174" s="6">
        <f t="shared" si="212"/>
        <v>0</v>
      </c>
      <c r="CR174" s="6">
        <f t="shared" si="213"/>
        <v>0</v>
      </c>
      <c r="CS174" s="6">
        <v>0</v>
      </c>
      <c r="CT174" s="6">
        <f t="shared" si="214"/>
        <v>0</v>
      </c>
      <c r="CU174" s="6">
        <f t="shared" si="215"/>
        <v>0</v>
      </c>
      <c r="CV174" s="6">
        <v>0</v>
      </c>
      <c r="CW174" s="6">
        <f t="shared" si="216"/>
        <v>0</v>
      </c>
      <c r="CX174" s="6">
        <f t="shared" si="217"/>
        <v>0</v>
      </c>
      <c r="CY174" s="6">
        <v>0</v>
      </c>
      <c r="CZ174" s="6">
        <f t="shared" si="218"/>
        <v>0</v>
      </c>
      <c r="DA174" s="6">
        <f t="shared" si="219"/>
        <v>0</v>
      </c>
      <c r="DB174" s="6">
        <v>0</v>
      </c>
      <c r="DC174" s="6">
        <f t="shared" si="220"/>
        <v>0</v>
      </c>
      <c r="DD174" s="6">
        <f t="shared" si="221"/>
        <v>0</v>
      </c>
      <c r="DE174" s="6">
        <v>0</v>
      </c>
      <c r="DF174" s="6">
        <f t="shared" si="222"/>
        <v>0</v>
      </c>
      <c r="DG174" s="6">
        <f t="shared" si="223"/>
        <v>0</v>
      </c>
      <c r="DH174" s="6">
        <v>0</v>
      </c>
      <c r="DI174" s="6">
        <f t="shared" si="224"/>
        <v>0</v>
      </c>
      <c r="DJ174" s="6">
        <f t="shared" si="225"/>
        <v>0</v>
      </c>
      <c r="DK174" s="6">
        <v>0</v>
      </c>
      <c r="DL174" s="6">
        <f t="shared" si="226"/>
        <v>0</v>
      </c>
      <c r="DM174" s="6">
        <f t="shared" si="227"/>
        <v>0</v>
      </c>
      <c r="DN174" s="6">
        <v>0</v>
      </c>
      <c r="DO174" s="6">
        <f t="shared" si="228"/>
        <v>0</v>
      </c>
      <c r="DP174" s="6">
        <f t="shared" si="229"/>
        <v>0</v>
      </c>
    </row>
    <row r="175" spans="1:120" x14ac:dyDescent="0.2">
      <c r="A175" s="21">
        <v>85</v>
      </c>
      <c r="B175" s="21" t="s">
        <v>612</v>
      </c>
      <c r="C175" s="21">
        <v>85325</v>
      </c>
      <c r="D175" s="21" t="s">
        <v>670</v>
      </c>
      <c r="E175" s="21" t="s">
        <v>671</v>
      </c>
      <c r="F175" s="22" t="s">
        <v>669</v>
      </c>
      <c r="G175" s="4" t="s">
        <v>287</v>
      </c>
      <c r="H175" s="6">
        <v>58752.2</v>
      </c>
      <c r="I175" s="6">
        <f t="shared" si="230"/>
        <v>160.9649315068493</v>
      </c>
      <c r="J175" s="6">
        <v>54946.439700000003</v>
      </c>
      <c r="K175" s="6">
        <v>44076.33</v>
      </c>
      <c r="L175" s="6">
        <f>K175/366</f>
        <v>120.42713114754099</v>
      </c>
      <c r="M175" s="6">
        <v>47356.652000000002</v>
      </c>
      <c r="N175" s="6">
        <v>48147.48</v>
      </c>
      <c r="O175" s="6">
        <f>N175/365</f>
        <v>131.91090410958904</v>
      </c>
      <c r="P175" s="6">
        <v>41380.451800000003</v>
      </c>
      <c r="Q175" s="6"/>
      <c r="R175" s="6"/>
      <c r="S175" s="6">
        <v>24783.1656</v>
      </c>
      <c r="T175" s="6">
        <f t="shared" si="162"/>
        <v>24783.1656</v>
      </c>
      <c r="U175" s="6">
        <f t="shared" si="163"/>
        <v>67.899083835616437</v>
      </c>
      <c r="V175" s="6">
        <v>0</v>
      </c>
      <c r="W175" s="6">
        <f t="shared" si="164"/>
        <v>0</v>
      </c>
      <c r="X175" s="6">
        <f t="shared" si="165"/>
        <v>0</v>
      </c>
      <c r="Y175" s="6">
        <v>0</v>
      </c>
      <c r="Z175" s="6">
        <f t="shared" si="166"/>
        <v>0</v>
      </c>
      <c r="AA175" s="6">
        <f t="shared" si="167"/>
        <v>0</v>
      </c>
      <c r="AB175" s="6">
        <v>0</v>
      </c>
      <c r="AC175" s="6">
        <f t="shared" si="168"/>
        <v>0</v>
      </c>
      <c r="AD175" s="6">
        <f t="shared" si="169"/>
        <v>0</v>
      </c>
      <c r="AE175" s="6">
        <v>0</v>
      </c>
      <c r="AF175" s="6">
        <f t="shared" si="170"/>
        <v>0</v>
      </c>
      <c r="AG175" s="6">
        <f t="shared" si="171"/>
        <v>0</v>
      </c>
      <c r="AH175" s="6">
        <v>0</v>
      </c>
      <c r="AI175" s="6">
        <f t="shared" si="172"/>
        <v>0</v>
      </c>
      <c r="AJ175" s="6">
        <f t="shared" si="173"/>
        <v>0</v>
      </c>
      <c r="AK175" s="6">
        <v>0</v>
      </c>
      <c r="AL175" s="6">
        <f t="shared" si="174"/>
        <v>0</v>
      </c>
      <c r="AM175" s="6">
        <f t="shared" si="175"/>
        <v>0</v>
      </c>
      <c r="AN175" s="6">
        <v>0</v>
      </c>
      <c r="AO175" s="6">
        <f t="shared" si="176"/>
        <v>0</v>
      </c>
      <c r="AP175" s="6">
        <f t="shared" si="177"/>
        <v>0</v>
      </c>
      <c r="AQ175" s="6">
        <v>0</v>
      </c>
      <c r="AR175" s="6">
        <f t="shared" si="178"/>
        <v>0</v>
      </c>
      <c r="AS175" s="6">
        <f t="shared" si="179"/>
        <v>0</v>
      </c>
      <c r="AT175" s="6">
        <v>0</v>
      </c>
      <c r="AU175" s="6">
        <f t="shared" si="180"/>
        <v>0</v>
      </c>
      <c r="AV175" s="6">
        <f t="shared" si="181"/>
        <v>0</v>
      </c>
      <c r="AW175" s="6">
        <v>0</v>
      </c>
      <c r="AX175" s="6">
        <f t="shared" si="182"/>
        <v>0</v>
      </c>
      <c r="AY175" s="6">
        <f t="shared" si="183"/>
        <v>0</v>
      </c>
      <c r="AZ175" s="6">
        <v>0</v>
      </c>
      <c r="BA175" s="6">
        <f t="shared" si="184"/>
        <v>0</v>
      </c>
      <c r="BB175" s="6">
        <f t="shared" si="185"/>
        <v>0</v>
      </c>
      <c r="BC175" s="6">
        <v>0</v>
      </c>
      <c r="BD175" s="6">
        <f t="shared" si="186"/>
        <v>0</v>
      </c>
      <c r="BE175" s="6">
        <f t="shared" si="187"/>
        <v>0</v>
      </c>
      <c r="BF175" s="6">
        <v>0</v>
      </c>
      <c r="BG175" s="6">
        <f t="shared" si="188"/>
        <v>0</v>
      </c>
      <c r="BH175" s="6">
        <f t="shared" si="189"/>
        <v>0</v>
      </c>
      <c r="BI175" s="6">
        <v>0</v>
      </c>
      <c r="BJ175" s="6">
        <f t="shared" si="190"/>
        <v>0</v>
      </c>
      <c r="BK175" s="6">
        <f t="shared" si="191"/>
        <v>0</v>
      </c>
      <c r="BL175" s="6">
        <v>0</v>
      </c>
      <c r="BM175" s="6">
        <f t="shared" si="192"/>
        <v>0</v>
      </c>
      <c r="BN175" s="6">
        <f t="shared" si="193"/>
        <v>0</v>
      </c>
      <c r="BO175" s="6">
        <v>0</v>
      </c>
      <c r="BP175" s="6">
        <f t="shared" si="194"/>
        <v>0</v>
      </c>
      <c r="BQ175" s="6">
        <f t="shared" si="195"/>
        <v>0</v>
      </c>
      <c r="BR175" s="6">
        <v>0</v>
      </c>
      <c r="BS175" s="6">
        <f t="shared" si="196"/>
        <v>0</v>
      </c>
      <c r="BT175" s="6">
        <f t="shared" si="197"/>
        <v>0</v>
      </c>
      <c r="BU175" s="6">
        <v>0</v>
      </c>
      <c r="BV175" s="6">
        <f t="shared" si="198"/>
        <v>0</v>
      </c>
      <c r="BW175" s="6">
        <f t="shared" si="199"/>
        <v>0</v>
      </c>
      <c r="BX175" s="6">
        <v>0</v>
      </c>
      <c r="BY175" s="6">
        <f t="shared" si="200"/>
        <v>0</v>
      </c>
      <c r="BZ175" s="6">
        <f t="shared" si="201"/>
        <v>0</v>
      </c>
      <c r="CA175" s="6">
        <v>0</v>
      </c>
      <c r="CB175" s="6">
        <f t="shared" si="202"/>
        <v>0</v>
      </c>
      <c r="CC175" s="6">
        <f t="shared" si="203"/>
        <v>0</v>
      </c>
      <c r="CD175" s="6">
        <v>0</v>
      </c>
      <c r="CE175" s="6">
        <f t="shared" si="204"/>
        <v>0</v>
      </c>
      <c r="CF175" s="6">
        <f t="shared" si="205"/>
        <v>0</v>
      </c>
      <c r="CG175" s="6">
        <v>0</v>
      </c>
      <c r="CH175" s="6">
        <f t="shared" si="206"/>
        <v>0</v>
      </c>
      <c r="CI175" s="6">
        <f t="shared" si="207"/>
        <v>0</v>
      </c>
      <c r="CJ175" s="6">
        <v>0</v>
      </c>
      <c r="CK175" s="6">
        <f t="shared" si="208"/>
        <v>0</v>
      </c>
      <c r="CL175" s="6">
        <f t="shared" si="209"/>
        <v>0</v>
      </c>
      <c r="CM175" s="6">
        <v>0</v>
      </c>
      <c r="CN175" s="6">
        <f t="shared" si="210"/>
        <v>0</v>
      </c>
      <c r="CO175" s="6">
        <f t="shared" si="211"/>
        <v>0</v>
      </c>
      <c r="CP175" s="6">
        <v>0</v>
      </c>
      <c r="CQ175" s="6">
        <f t="shared" si="212"/>
        <v>0</v>
      </c>
      <c r="CR175" s="6">
        <f t="shared" si="213"/>
        <v>0</v>
      </c>
      <c r="CS175" s="6">
        <v>0</v>
      </c>
      <c r="CT175" s="6">
        <f t="shared" si="214"/>
        <v>0</v>
      </c>
      <c r="CU175" s="6">
        <f t="shared" si="215"/>
        <v>0</v>
      </c>
      <c r="CV175" s="6">
        <v>0</v>
      </c>
      <c r="CW175" s="6">
        <f t="shared" si="216"/>
        <v>0</v>
      </c>
      <c r="CX175" s="6">
        <f t="shared" si="217"/>
        <v>0</v>
      </c>
      <c r="CY175" s="6">
        <v>0</v>
      </c>
      <c r="CZ175" s="6">
        <f t="shared" si="218"/>
        <v>0</v>
      </c>
      <c r="DA175" s="6">
        <f t="shared" si="219"/>
        <v>0</v>
      </c>
      <c r="DB175" s="6">
        <v>0</v>
      </c>
      <c r="DC175" s="6">
        <f t="shared" si="220"/>
        <v>0</v>
      </c>
      <c r="DD175" s="6">
        <f t="shared" si="221"/>
        <v>0</v>
      </c>
      <c r="DE175" s="6">
        <v>0</v>
      </c>
      <c r="DF175" s="6">
        <f t="shared" si="222"/>
        <v>0</v>
      </c>
      <c r="DG175" s="6">
        <f t="shared" si="223"/>
        <v>0</v>
      </c>
      <c r="DH175" s="6">
        <v>0</v>
      </c>
      <c r="DI175" s="6">
        <f t="shared" si="224"/>
        <v>0</v>
      </c>
      <c r="DJ175" s="6">
        <f t="shared" si="225"/>
        <v>0</v>
      </c>
      <c r="DK175" s="6">
        <v>0</v>
      </c>
      <c r="DL175" s="6">
        <f t="shared" si="226"/>
        <v>0</v>
      </c>
      <c r="DM175" s="6">
        <f t="shared" si="227"/>
        <v>0</v>
      </c>
      <c r="DN175" s="6">
        <v>0</v>
      </c>
      <c r="DO175" s="6">
        <f t="shared" si="228"/>
        <v>0</v>
      </c>
      <c r="DP175" s="6">
        <f t="shared" si="229"/>
        <v>0</v>
      </c>
    </row>
    <row r="176" spans="1:120" x14ac:dyDescent="0.2">
      <c r="A176" s="21">
        <v>85</v>
      </c>
      <c r="B176" s="21" t="s">
        <v>612</v>
      </c>
      <c r="C176" s="21">
        <v>85250</v>
      </c>
      <c r="D176" s="21" t="s">
        <v>663</v>
      </c>
      <c r="E176" s="21" t="s">
        <v>701</v>
      </c>
      <c r="F176" s="22" t="s">
        <v>669</v>
      </c>
      <c r="G176" s="4" t="s">
        <v>288</v>
      </c>
      <c r="H176" s="6">
        <v>4019.05</v>
      </c>
      <c r="I176" s="6">
        <f t="shared" si="230"/>
        <v>11.01109589041096</v>
      </c>
      <c r="J176" s="6">
        <v>0</v>
      </c>
      <c r="K176" s="6"/>
      <c r="L176" s="6"/>
      <c r="M176" s="6">
        <v>17419.794099999999</v>
      </c>
      <c r="N176" s="6"/>
      <c r="O176" s="6"/>
      <c r="P176" s="6">
        <v>18360.755799999999</v>
      </c>
      <c r="Q176" s="6"/>
      <c r="R176" s="6"/>
      <c r="S176" s="6">
        <v>11233.5643</v>
      </c>
      <c r="T176" s="6">
        <f t="shared" si="162"/>
        <v>11233.5643</v>
      </c>
      <c r="U176" s="6">
        <f t="shared" si="163"/>
        <v>30.776888493150686</v>
      </c>
      <c r="V176" s="6">
        <v>0</v>
      </c>
      <c r="W176" s="6">
        <f t="shared" si="164"/>
        <v>0</v>
      </c>
      <c r="X176" s="6">
        <f t="shared" si="165"/>
        <v>0</v>
      </c>
      <c r="Y176" s="6">
        <v>0</v>
      </c>
      <c r="Z176" s="6">
        <f t="shared" si="166"/>
        <v>0</v>
      </c>
      <c r="AA176" s="6">
        <f t="shared" si="167"/>
        <v>0</v>
      </c>
      <c r="AB176" s="6">
        <v>0</v>
      </c>
      <c r="AC176" s="6">
        <f t="shared" si="168"/>
        <v>0</v>
      </c>
      <c r="AD176" s="6">
        <f t="shared" si="169"/>
        <v>0</v>
      </c>
      <c r="AE176" s="6">
        <v>0</v>
      </c>
      <c r="AF176" s="6">
        <f t="shared" si="170"/>
        <v>0</v>
      </c>
      <c r="AG176" s="6">
        <f t="shared" si="171"/>
        <v>0</v>
      </c>
      <c r="AH176" s="6">
        <v>0</v>
      </c>
      <c r="AI176" s="6">
        <f t="shared" si="172"/>
        <v>0</v>
      </c>
      <c r="AJ176" s="6">
        <f t="shared" si="173"/>
        <v>0</v>
      </c>
      <c r="AK176" s="6">
        <v>0</v>
      </c>
      <c r="AL176" s="6">
        <f t="shared" si="174"/>
        <v>0</v>
      </c>
      <c r="AM176" s="6">
        <f t="shared" si="175"/>
        <v>0</v>
      </c>
      <c r="AN176" s="6">
        <v>0</v>
      </c>
      <c r="AO176" s="6">
        <f t="shared" si="176"/>
        <v>0</v>
      </c>
      <c r="AP176" s="6">
        <f t="shared" si="177"/>
        <v>0</v>
      </c>
      <c r="AQ176" s="6">
        <v>0</v>
      </c>
      <c r="AR176" s="6">
        <f t="shared" si="178"/>
        <v>0</v>
      </c>
      <c r="AS176" s="6">
        <f t="shared" si="179"/>
        <v>0</v>
      </c>
      <c r="AT176" s="6">
        <v>0</v>
      </c>
      <c r="AU176" s="6">
        <f t="shared" si="180"/>
        <v>0</v>
      </c>
      <c r="AV176" s="6">
        <f t="shared" si="181"/>
        <v>0</v>
      </c>
      <c r="AW176" s="6">
        <v>0</v>
      </c>
      <c r="AX176" s="6">
        <f t="shared" si="182"/>
        <v>0</v>
      </c>
      <c r="AY176" s="6">
        <f t="shared" si="183"/>
        <v>0</v>
      </c>
      <c r="AZ176" s="6">
        <v>0</v>
      </c>
      <c r="BA176" s="6">
        <f t="shared" si="184"/>
        <v>0</v>
      </c>
      <c r="BB176" s="6">
        <f t="shared" si="185"/>
        <v>0</v>
      </c>
      <c r="BC176" s="6">
        <v>0</v>
      </c>
      <c r="BD176" s="6">
        <f t="shared" si="186"/>
        <v>0</v>
      </c>
      <c r="BE176" s="6">
        <f t="shared" si="187"/>
        <v>0</v>
      </c>
      <c r="BF176" s="6">
        <v>0</v>
      </c>
      <c r="BG176" s="6">
        <f t="shared" si="188"/>
        <v>0</v>
      </c>
      <c r="BH176" s="6">
        <f t="shared" si="189"/>
        <v>0</v>
      </c>
      <c r="BI176" s="6">
        <v>0</v>
      </c>
      <c r="BJ176" s="6">
        <f t="shared" si="190"/>
        <v>0</v>
      </c>
      <c r="BK176" s="6">
        <f t="shared" si="191"/>
        <v>0</v>
      </c>
      <c r="BL176" s="6">
        <v>0</v>
      </c>
      <c r="BM176" s="6">
        <f t="shared" si="192"/>
        <v>0</v>
      </c>
      <c r="BN176" s="6">
        <f t="shared" si="193"/>
        <v>0</v>
      </c>
      <c r="BO176" s="6">
        <v>0</v>
      </c>
      <c r="BP176" s="6">
        <f t="shared" si="194"/>
        <v>0</v>
      </c>
      <c r="BQ176" s="6">
        <f t="shared" si="195"/>
        <v>0</v>
      </c>
      <c r="BR176" s="6">
        <v>0</v>
      </c>
      <c r="BS176" s="6">
        <f t="shared" si="196"/>
        <v>0</v>
      </c>
      <c r="BT176" s="6">
        <f t="shared" si="197"/>
        <v>0</v>
      </c>
      <c r="BU176" s="6">
        <v>0</v>
      </c>
      <c r="BV176" s="6">
        <f t="shared" si="198"/>
        <v>0</v>
      </c>
      <c r="BW176" s="6">
        <f t="shared" si="199"/>
        <v>0</v>
      </c>
      <c r="BX176" s="6">
        <v>0</v>
      </c>
      <c r="BY176" s="6">
        <f t="shared" si="200"/>
        <v>0</v>
      </c>
      <c r="BZ176" s="6">
        <f t="shared" si="201"/>
        <v>0</v>
      </c>
      <c r="CA176" s="6">
        <v>0</v>
      </c>
      <c r="CB176" s="6">
        <f t="shared" si="202"/>
        <v>0</v>
      </c>
      <c r="CC176" s="6">
        <f t="shared" si="203"/>
        <v>0</v>
      </c>
      <c r="CD176" s="6">
        <v>0</v>
      </c>
      <c r="CE176" s="6">
        <f t="shared" si="204"/>
        <v>0</v>
      </c>
      <c r="CF176" s="6">
        <f t="shared" si="205"/>
        <v>0</v>
      </c>
      <c r="CG176" s="6">
        <v>0</v>
      </c>
      <c r="CH176" s="6">
        <f t="shared" si="206"/>
        <v>0</v>
      </c>
      <c r="CI176" s="6">
        <f t="shared" si="207"/>
        <v>0</v>
      </c>
      <c r="CJ176" s="6">
        <v>0</v>
      </c>
      <c r="CK176" s="6">
        <f t="shared" si="208"/>
        <v>0</v>
      </c>
      <c r="CL176" s="6">
        <f t="shared" si="209"/>
        <v>0</v>
      </c>
      <c r="CM176" s="6">
        <v>0</v>
      </c>
      <c r="CN176" s="6">
        <f t="shared" si="210"/>
        <v>0</v>
      </c>
      <c r="CO176" s="6">
        <f t="shared" si="211"/>
        <v>0</v>
      </c>
      <c r="CP176" s="6">
        <v>0</v>
      </c>
      <c r="CQ176" s="6">
        <f t="shared" si="212"/>
        <v>0</v>
      </c>
      <c r="CR176" s="6">
        <f t="shared" si="213"/>
        <v>0</v>
      </c>
      <c r="CS176" s="6">
        <v>0</v>
      </c>
      <c r="CT176" s="6">
        <f t="shared" si="214"/>
        <v>0</v>
      </c>
      <c r="CU176" s="6">
        <f t="shared" si="215"/>
        <v>0</v>
      </c>
      <c r="CV176" s="6">
        <v>0</v>
      </c>
      <c r="CW176" s="6">
        <f t="shared" si="216"/>
        <v>0</v>
      </c>
      <c r="CX176" s="6">
        <f t="shared" si="217"/>
        <v>0</v>
      </c>
      <c r="CY176" s="6">
        <v>0</v>
      </c>
      <c r="CZ176" s="6">
        <f t="shared" si="218"/>
        <v>0</v>
      </c>
      <c r="DA176" s="6">
        <f t="shared" si="219"/>
        <v>0</v>
      </c>
      <c r="DB176" s="6">
        <v>0</v>
      </c>
      <c r="DC176" s="6">
        <f t="shared" si="220"/>
        <v>0</v>
      </c>
      <c r="DD176" s="6">
        <f t="shared" si="221"/>
        <v>0</v>
      </c>
      <c r="DE176" s="6">
        <v>0</v>
      </c>
      <c r="DF176" s="6">
        <f t="shared" si="222"/>
        <v>0</v>
      </c>
      <c r="DG176" s="6">
        <f t="shared" si="223"/>
        <v>0</v>
      </c>
      <c r="DH176" s="6">
        <v>0</v>
      </c>
      <c r="DI176" s="6">
        <f t="shared" si="224"/>
        <v>0</v>
      </c>
      <c r="DJ176" s="6">
        <f t="shared" si="225"/>
        <v>0</v>
      </c>
      <c r="DK176" s="6">
        <v>0</v>
      </c>
      <c r="DL176" s="6">
        <f t="shared" si="226"/>
        <v>0</v>
      </c>
      <c r="DM176" s="6">
        <f t="shared" si="227"/>
        <v>0</v>
      </c>
      <c r="DN176" s="6">
        <v>0</v>
      </c>
      <c r="DO176" s="6">
        <f t="shared" si="228"/>
        <v>0</v>
      </c>
      <c r="DP176" s="6">
        <f t="shared" si="229"/>
        <v>0</v>
      </c>
    </row>
    <row r="177" spans="1:120" x14ac:dyDescent="0.2">
      <c r="A177" s="21">
        <v>85</v>
      </c>
      <c r="B177" s="21" t="s">
        <v>612</v>
      </c>
      <c r="C177" s="21">
        <v>85325</v>
      </c>
      <c r="D177" s="21" t="s">
        <v>670</v>
      </c>
      <c r="E177" s="21" t="s">
        <v>699</v>
      </c>
      <c r="F177" s="22" t="s">
        <v>669</v>
      </c>
      <c r="G177" s="4" t="s">
        <v>289</v>
      </c>
      <c r="H177" s="6">
        <v>3213.49</v>
      </c>
      <c r="I177" s="6">
        <f t="shared" si="230"/>
        <v>8.8040821917808216</v>
      </c>
      <c r="J177" s="6">
        <v>32626.07</v>
      </c>
      <c r="K177" s="6">
        <v>14181.65</v>
      </c>
      <c r="L177" s="6">
        <f t="shared" ref="L177:L205" si="236">K177/366</f>
        <v>38.747677595628417</v>
      </c>
      <c r="M177" s="6">
        <v>54946.2042</v>
      </c>
      <c r="N177" s="6">
        <v>11841.24</v>
      </c>
      <c r="O177" s="6">
        <f t="shared" ref="O177:O194" si="237">N177/365</f>
        <v>32.441753424657534</v>
      </c>
      <c r="P177" s="6">
        <v>144693</v>
      </c>
      <c r="Q177" s="6">
        <v>7484.98</v>
      </c>
      <c r="R177" s="6">
        <f>Q177/181</f>
        <v>41.353480662983422</v>
      </c>
      <c r="S177" s="6">
        <v>170616</v>
      </c>
      <c r="T177" s="6">
        <f t="shared" si="162"/>
        <v>170616</v>
      </c>
      <c r="U177" s="6">
        <f t="shared" si="163"/>
        <v>467.44109589041096</v>
      </c>
      <c r="V177" s="6">
        <v>99076</v>
      </c>
      <c r="W177" s="6">
        <f t="shared" si="164"/>
        <v>99076</v>
      </c>
      <c r="X177" s="6">
        <f t="shared" si="165"/>
        <v>271.44109589041096</v>
      </c>
      <c r="Y177" s="6">
        <v>51385</v>
      </c>
      <c r="Z177" s="6">
        <f t="shared" si="166"/>
        <v>51385</v>
      </c>
      <c r="AA177" s="6">
        <f t="shared" si="167"/>
        <v>140.78082191780823</v>
      </c>
      <c r="AB177" s="6">
        <v>0</v>
      </c>
      <c r="AC177" s="6">
        <f t="shared" si="168"/>
        <v>0</v>
      </c>
      <c r="AD177" s="6">
        <f t="shared" si="169"/>
        <v>0</v>
      </c>
      <c r="AE177" s="6">
        <v>0</v>
      </c>
      <c r="AF177" s="6">
        <f t="shared" si="170"/>
        <v>0</v>
      </c>
      <c r="AG177" s="6">
        <f t="shared" si="171"/>
        <v>0</v>
      </c>
      <c r="AH177" s="6">
        <v>0</v>
      </c>
      <c r="AI177" s="6">
        <f t="shared" si="172"/>
        <v>0</v>
      </c>
      <c r="AJ177" s="6">
        <f t="shared" si="173"/>
        <v>0</v>
      </c>
      <c r="AK177" s="6">
        <v>0</v>
      </c>
      <c r="AL177" s="6">
        <f t="shared" si="174"/>
        <v>0</v>
      </c>
      <c r="AM177" s="6">
        <f t="shared" si="175"/>
        <v>0</v>
      </c>
      <c r="AN177" s="6">
        <v>0</v>
      </c>
      <c r="AO177" s="6">
        <f t="shared" si="176"/>
        <v>0</v>
      </c>
      <c r="AP177" s="6">
        <f t="shared" si="177"/>
        <v>0</v>
      </c>
      <c r="AQ177" s="6">
        <v>0</v>
      </c>
      <c r="AR177" s="6">
        <f t="shared" si="178"/>
        <v>0</v>
      </c>
      <c r="AS177" s="6">
        <f t="shared" si="179"/>
        <v>0</v>
      </c>
      <c r="AT177" s="6">
        <v>0</v>
      </c>
      <c r="AU177" s="6">
        <f t="shared" si="180"/>
        <v>0</v>
      </c>
      <c r="AV177" s="6">
        <f t="shared" si="181"/>
        <v>0</v>
      </c>
      <c r="AW177" s="6">
        <v>0</v>
      </c>
      <c r="AX177" s="6">
        <f t="shared" si="182"/>
        <v>0</v>
      </c>
      <c r="AY177" s="6">
        <f t="shared" si="183"/>
        <v>0</v>
      </c>
      <c r="AZ177" s="6">
        <v>0</v>
      </c>
      <c r="BA177" s="6">
        <f t="shared" si="184"/>
        <v>0</v>
      </c>
      <c r="BB177" s="6">
        <f t="shared" si="185"/>
        <v>0</v>
      </c>
      <c r="BC177" s="6">
        <v>0</v>
      </c>
      <c r="BD177" s="6">
        <f t="shared" si="186"/>
        <v>0</v>
      </c>
      <c r="BE177" s="6">
        <f t="shared" si="187"/>
        <v>0</v>
      </c>
      <c r="BF177" s="6">
        <v>0</v>
      </c>
      <c r="BG177" s="6">
        <f t="shared" si="188"/>
        <v>0</v>
      </c>
      <c r="BH177" s="6">
        <f t="shared" si="189"/>
        <v>0</v>
      </c>
      <c r="BI177" s="6">
        <v>0</v>
      </c>
      <c r="BJ177" s="6">
        <f t="shared" si="190"/>
        <v>0</v>
      </c>
      <c r="BK177" s="6">
        <f t="shared" si="191"/>
        <v>0</v>
      </c>
      <c r="BL177" s="6">
        <v>0</v>
      </c>
      <c r="BM177" s="6">
        <f t="shared" si="192"/>
        <v>0</v>
      </c>
      <c r="BN177" s="6">
        <f t="shared" si="193"/>
        <v>0</v>
      </c>
      <c r="BO177" s="6">
        <v>0</v>
      </c>
      <c r="BP177" s="6">
        <f t="shared" si="194"/>
        <v>0</v>
      </c>
      <c r="BQ177" s="6">
        <f t="shared" si="195"/>
        <v>0</v>
      </c>
      <c r="BR177" s="6">
        <v>0</v>
      </c>
      <c r="BS177" s="6">
        <f t="shared" si="196"/>
        <v>0</v>
      </c>
      <c r="BT177" s="6">
        <f t="shared" si="197"/>
        <v>0</v>
      </c>
      <c r="BU177" s="6">
        <v>0</v>
      </c>
      <c r="BV177" s="6">
        <f t="shared" si="198"/>
        <v>0</v>
      </c>
      <c r="BW177" s="6">
        <f t="shared" si="199"/>
        <v>0</v>
      </c>
      <c r="BX177" s="6">
        <v>0</v>
      </c>
      <c r="BY177" s="6">
        <f t="shared" si="200"/>
        <v>0</v>
      </c>
      <c r="BZ177" s="6">
        <f t="shared" si="201"/>
        <v>0</v>
      </c>
      <c r="CA177" s="6">
        <v>0</v>
      </c>
      <c r="CB177" s="6">
        <f t="shared" si="202"/>
        <v>0</v>
      </c>
      <c r="CC177" s="6">
        <f t="shared" si="203"/>
        <v>0</v>
      </c>
      <c r="CD177" s="6">
        <v>0</v>
      </c>
      <c r="CE177" s="6">
        <f t="shared" si="204"/>
        <v>0</v>
      </c>
      <c r="CF177" s="6">
        <f t="shared" si="205"/>
        <v>0</v>
      </c>
      <c r="CG177" s="6">
        <v>0</v>
      </c>
      <c r="CH177" s="6">
        <f t="shared" si="206"/>
        <v>0</v>
      </c>
      <c r="CI177" s="6">
        <f t="shared" si="207"/>
        <v>0</v>
      </c>
      <c r="CJ177" s="6">
        <v>0</v>
      </c>
      <c r="CK177" s="6">
        <f t="shared" si="208"/>
        <v>0</v>
      </c>
      <c r="CL177" s="6">
        <f t="shared" si="209"/>
        <v>0</v>
      </c>
      <c r="CM177" s="6">
        <v>0</v>
      </c>
      <c r="CN177" s="6">
        <f t="shared" si="210"/>
        <v>0</v>
      </c>
      <c r="CO177" s="6">
        <f t="shared" si="211"/>
        <v>0</v>
      </c>
      <c r="CP177" s="6">
        <v>0</v>
      </c>
      <c r="CQ177" s="6">
        <f t="shared" si="212"/>
        <v>0</v>
      </c>
      <c r="CR177" s="6">
        <f t="shared" si="213"/>
        <v>0</v>
      </c>
      <c r="CS177" s="6">
        <v>0</v>
      </c>
      <c r="CT177" s="6">
        <f t="shared" si="214"/>
        <v>0</v>
      </c>
      <c r="CU177" s="6">
        <f t="shared" si="215"/>
        <v>0</v>
      </c>
      <c r="CV177" s="6">
        <v>0</v>
      </c>
      <c r="CW177" s="6">
        <f t="shared" si="216"/>
        <v>0</v>
      </c>
      <c r="CX177" s="6">
        <f t="shared" si="217"/>
        <v>0</v>
      </c>
      <c r="CY177" s="6">
        <v>0</v>
      </c>
      <c r="CZ177" s="6">
        <f t="shared" si="218"/>
        <v>0</v>
      </c>
      <c r="DA177" s="6">
        <f t="shared" si="219"/>
        <v>0</v>
      </c>
      <c r="DB177" s="6">
        <v>0</v>
      </c>
      <c r="DC177" s="6">
        <f t="shared" si="220"/>
        <v>0</v>
      </c>
      <c r="DD177" s="6">
        <f t="shared" si="221"/>
        <v>0</v>
      </c>
      <c r="DE177" s="6">
        <v>0</v>
      </c>
      <c r="DF177" s="6">
        <f t="shared" si="222"/>
        <v>0</v>
      </c>
      <c r="DG177" s="6">
        <f t="shared" si="223"/>
        <v>0</v>
      </c>
      <c r="DH177" s="6">
        <v>0</v>
      </c>
      <c r="DI177" s="6">
        <f t="shared" si="224"/>
        <v>0</v>
      </c>
      <c r="DJ177" s="6">
        <f t="shared" si="225"/>
        <v>0</v>
      </c>
      <c r="DK177" s="6">
        <v>0</v>
      </c>
      <c r="DL177" s="6">
        <f t="shared" si="226"/>
        <v>0</v>
      </c>
      <c r="DM177" s="6">
        <f t="shared" si="227"/>
        <v>0</v>
      </c>
      <c r="DN177" s="6">
        <v>0</v>
      </c>
      <c r="DO177" s="6">
        <f t="shared" si="228"/>
        <v>0</v>
      </c>
      <c r="DP177" s="6">
        <f t="shared" si="229"/>
        <v>0</v>
      </c>
    </row>
    <row r="178" spans="1:120" x14ac:dyDescent="0.2">
      <c r="A178" s="21">
        <v>50</v>
      </c>
      <c r="B178" s="21" t="s">
        <v>675</v>
      </c>
      <c r="C178" s="21">
        <v>50001</v>
      </c>
      <c r="D178" s="21" t="s">
        <v>681</v>
      </c>
      <c r="E178" s="21" t="s">
        <v>522</v>
      </c>
      <c r="F178" s="22" t="s">
        <v>666</v>
      </c>
      <c r="G178" s="4" t="s">
        <v>290</v>
      </c>
      <c r="H178" s="6">
        <v>71663.23</v>
      </c>
      <c r="I178" s="6">
        <f t="shared" si="230"/>
        <v>196.33761643835615</v>
      </c>
      <c r="J178" s="6">
        <v>70993.48</v>
      </c>
      <c r="K178" s="6">
        <v>79006.289999999994</v>
      </c>
      <c r="L178" s="6">
        <f t="shared" si="236"/>
        <v>215.86418032786884</v>
      </c>
      <c r="M178" s="6">
        <v>46870.09</v>
      </c>
      <c r="N178" s="6">
        <v>77624.28</v>
      </c>
      <c r="O178" s="6">
        <f t="shared" si="237"/>
        <v>212.66926027397261</v>
      </c>
      <c r="P178" s="6">
        <v>31149</v>
      </c>
      <c r="Q178" s="6">
        <v>30012.12</v>
      </c>
      <c r="R178" s="6">
        <f>Q178/181</f>
        <v>165.81281767955801</v>
      </c>
      <c r="S178" s="6">
        <v>14735</v>
      </c>
      <c r="T178" s="6">
        <f t="shared" si="162"/>
        <v>14735</v>
      </c>
      <c r="U178" s="6">
        <f t="shared" si="163"/>
        <v>40.369863013698627</v>
      </c>
      <c r="V178" s="6">
        <v>0</v>
      </c>
      <c r="W178" s="6">
        <f t="shared" si="164"/>
        <v>0</v>
      </c>
      <c r="X178" s="6">
        <f t="shared" si="165"/>
        <v>0</v>
      </c>
      <c r="Y178" s="6">
        <v>0</v>
      </c>
      <c r="Z178" s="6">
        <f t="shared" si="166"/>
        <v>0</v>
      </c>
      <c r="AA178" s="6">
        <f t="shared" si="167"/>
        <v>0</v>
      </c>
      <c r="AB178" s="6">
        <v>0</v>
      </c>
      <c r="AC178" s="6">
        <f t="shared" si="168"/>
        <v>0</v>
      </c>
      <c r="AD178" s="6">
        <f t="shared" si="169"/>
        <v>0</v>
      </c>
      <c r="AE178" s="6">
        <v>0</v>
      </c>
      <c r="AF178" s="6">
        <f t="shared" si="170"/>
        <v>0</v>
      </c>
      <c r="AG178" s="6">
        <f t="shared" si="171"/>
        <v>0</v>
      </c>
      <c r="AH178" s="6">
        <v>0</v>
      </c>
      <c r="AI178" s="6">
        <f t="shared" si="172"/>
        <v>0</v>
      </c>
      <c r="AJ178" s="6">
        <f t="shared" si="173"/>
        <v>0</v>
      </c>
      <c r="AK178" s="6">
        <v>0</v>
      </c>
      <c r="AL178" s="6">
        <f t="shared" si="174"/>
        <v>0</v>
      </c>
      <c r="AM178" s="6">
        <f t="shared" si="175"/>
        <v>0</v>
      </c>
      <c r="AN178" s="6">
        <v>0</v>
      </c>
      <c r="AO178" s="6">
        <f t="shared" si="176"/>
        <v>0</v>
      </c>
      <c r="AP178" s="6">
        <f t="shared" si="177"/>
        <v>0</v>
      </c>
      <c r="AQ178" s="6">
        <v>0</v>
      </c>
      <c r="AR178" s="6">
        <f t="shared" si="178"/>
        <v>0</v>
      </c>
      <c r="AS178" s="6">
        <f t="shared" si="179"/>
        <v>0</v>
      </c>
      <c r="AT178" s="6">
        <v>0</v>
      </c>
      <c r="AU178" s="6">
        <f t="shared" si="180"/>
        <v>0</v>
      </c>
      <c r="AV178" s="6">
        <f t="shared" si="181"/>
        <v>0</v>
      </c>
      <c r="AW178" s="6">
        <v>0</v>
      </c>
      <c r="AX178" s="6">
        <f t="shared" si="182"/>
        <v>0</v>
      </c>
      <c r="AY178" s="6">
        <f t="shared" si="183"/>
        <v>0</v>
      </c>
      <c r="AZ178" s="6">
        <v>0</v>
      </c>
      <c r="BA178" s="6">
        <f t="shared" si="184"/>
        <v>0</v>
      </c>
      <c r="BB178" s="6">
        <f t="shared" si="185"/>
        <v>0</v>
      </c>
      <c r="BC178" s="6">
        <v>0</v>
      </c>
      <c r="BD178" s="6">
        <f t="shared" si="186"/>
        <v>0</v>
      </c>
      <c r="BE178" s="6">
        <f t="shared" si="187"/>
        <v>0</v>
      </c>
      <c r="BF178" s="6">
        <v>0</v>
      </c>
      <c r="BG178" s="6">
        <f t="shared" si="188"/>
        <v>0</v>
      </c>
      <c r="BH178" s="6">
        <f t="shared" si="189"/>
        <v>0</v>
      </c>
      <c r="BI178" s="6">
        <v>0</v>
      </c>
      <c r="BJ178" s="6">
        <f t="shared" si="190"/>
        <v>0</v>
      </c>
      <c r="BK178" s="6">
        <f t="shared" si="191"/>
        <v>0</v>
      </c>
      <c r="BL178" s="6">
        <v>0</v>
      </c>
      <c r="BM178" s="6">
        <f t="shared" si="192"/>
        <v>0</v>
      </c>
      <c r="BN178" s="6">
        <f t="shared" si="193"/>
        <v>0</v>
      </c>
      <c r="BO178" s="6">
        <v>0</v>
      </c>
      <c r="BP178" s="6">
        <f t="shared" si="194"/>
        <v>0</v>
      </c>
      <c r="BQ178" s="6">
        <f t="shared" si="195"/>
        <v>0</v>
      </c>
      <c r="BR178" s="6">
        <v>0</v>
      </c>
      <c r="BS178" s="6">
        <f t="shared" si="196"/>
        <v>0</v>
      </c>
      <c r="BT178" s="6">
        <f t="shared" si="197"/>
        <v>0</v>
      </c>
      <c r="BU178" s="6">
        <v>0</v>
      </c>
      <c r="BV178" s="6">
        <f t="shared" si="198"/>
        <v>0</v>
      </c>
      <c r="BW178" s="6">
        <f t="shared" si="199"/>
        <v>0</v>
      </c>
      <c r="BX178" s="6">
        <v>0</v>
      </c>
      <c r="BY178" s="6">
        <f t="shared" si="200"/>
        <v>0</v>
      </c>
      <c r="BZ178" s="6">
        <f t="shared" si="201"/>
        <v>0</v>
      </c>
      <c r="CA178" s="6">
        <v>0</v>
      </c>
      <c r="CB178" s="6">
        <f t="shared" si="202"/>
        <v>0</v>
      </c>
      <c r="CC178" s="6">
        <f t="shared" si="203"/>
        <v>0</v>
      </c>
      <c r="CD178" s="6">
        <v>0</v>
      </c>
      <c r="CE178" s="6">
        <f t="shared" si="204"/>
        <v>0</v>
      </c>
      <c r="CF178" s="6">
        <f t="shared" si="205"/>
        <v>0</v>
      </c>
      <c r="CG178" s="6">
        <v>0</v>
      </c>
      <c r="CH178" s="6">
        <f t="shared" si="206"/>
        <v>0</v>
      </c>
      <c r="CI178" s="6">
        <f t="shared" si="207"/>
        <v>0</v>
      </c>
      <c r="CJ178" s="6">
        <v>0</v>
      </c>
      <c r="CK178" s="6">
        <f t="shared" si="208"/>
        <v>0</v>
      </c>
      <c r="CL178" s="6">
        <f t="shared" si="209"/>
        <v>0</v>
      </c>
      <c r="CM178" s="6">
        <v>0</v>
      </c>
      <c r="CN178" s="6">
        <f t="shared" si="210"/>
        <v>0</v>
      </c>
      <c r="CO178" s="6">
        <f t="shared" si="211"/>
        <v>0</v>
      </c>
      <c r="CP178" s="6">
        <v>0</v>
      </c>
      <c r="CQ178" s="6">
        <f t="shared" si="212"/>
        <v>0</v>
      </c>
      <c r="CR178" s="6">
        <f t="shared" si="213"/>
        <v>0</v>
      </c>
      <c r="CS178" s="6">
        <v>0</v>
      </c>
      <c r="CT178" s="6">
        <f t="shared" si="214"/>
        <v>0</v>
      </c>
      <c r="CU178" s="6">
        <f t="shared" si="215"/>
        <v>0</v>
      </c>
      <c r="CV178" s="6">
        <v>0</v>
      </c>
      <c r="CW178" s="6">
        <f t="shared" si="216"/>
        <v>0</v>
      </c>
      <c r="CX178" s="6">
        <f t="shared" si="217"/>
        <v>0</v>
      </c>
      <c r="CY178" s="6">
        <v>0</v>
      </c>
      <c r="CZ178" s="6">
        <f t="shared" si="218"/>
        <v>0</v>
      </c>
      <c r="DA178" s="6">
        <f t="shared" si="219"/>
        <v>0</v>
      </c>
      <c r="DB178" s="6">
        <v>0</v>
      </c>
      <c r="DC178" s="6">
        <f t="shared" si="220"/>
        <v>0</v>
      </c>
      <c r="DD178" s="6">
        <f t="shared" si="221"/>
        <v>0</v>
      </c>
      <c r="DE178" s="6">
        <v>0</v>
      </c>
      <c r="DF178" s="6">
        <f t="shared" si="222"/>
        <v>0</v>
      </c>
      <c r="DG178" s="6">
        <f t="shared" si="223"/>
        <v>0</v>
      </c>
      <c r="DH178" s="6">
        <v>0</v>
      </c>
      <c r="DI178" s="6">
        <f t="shared" si="224"/>
        <v>0</v>
      </c>
      <c r="DJ178" s="6">
        <f t="shared" si="225"/>
        <v>0</v>
      </c>
      <c r="DK178" s="6">
        <v>0</v>
      </c>
      <c r="DL178" s="6">
        <f t="shared" si="226"/>
        <v>0</v>
      </c>
      <c r="DM178" s="6">
        <f t="shared" si="227"/>
        <v>0</v>
      </c>
      <c r="DN178" s="6">
        <v>0</v>
      </c>
      <c r="DO178" s="6">
        <f t="shared" si="228"/>
        <v>0</v>
      </c>
      <c r="DP178" s="6">
        <f t="shared" si="229"/>
        <v>0</v>
      </c>
    </row>
    <row r="179" spans="1:120" x14ac:dyDescent="0.2">
      <c r="A179" s="21">
        <v>50</v>
      </c>
      <c r="B179" s="21" t="s">
        <v>675</v>
      </c>
      <c r="C179" s="21">
        <v>50001</v>
      </c>
      <c r="D179" s="21" t="s">
        <v>681</v>
      </c>
      <c r="E179" s="21" t="s">
        <v>522</v>
      </c>
      <c r="F179" s="22" t="s">
        <v>666</v>
      </c>
      <c r="G179" s="4" t="s">
        <v>291</v>
      </c>
      <c r="H179" s="6">
        <v>92303.13</v>
      </c>
      <c r="I179" s="6">
        <f t="shared" si="230"/>
        <v>252.8852876712329</v>
      </c>
      <c r="J179" s="6">
        <v>93016.05</v>
      </c>
      <c r="K179" s="6">
        <v>127148.43</v>
      </c>
      <c r="L179" s="6">
        <f t="shared" si="236"/>
        <v>347.40008196721311</v>
      </c>
      <c r="M179" s="6">
        <v>66751.59</v>
      </c>
      <c r="N179" s="6">
        <v>159019.32999999999</v>
      </c>
      <c r="O179" s="6">
        <f t="shared" si="237"/>
        <v>435.66939726027391</v>
      </c>
      <c r="P179" s="6">
        <v>49204.06</v>
      </c>
      <c r="Q179" s="6">
        <v>68109.36</v>
      </c>
      <c r="R179" s="6">
        <f>Q179/181</f>
        <v>376.29480662983428</v>
      </c>
      <c r="S179" s="6">
        <v>25738.54</v>
      </c>
      <c r="T179" s="6">
        <f t="shared" si="162"/>
        <v>25738.54</v>
      </c>
      <c r="U179" s="6">
        <f t="shared" si="163"/>
        <v>70.516547945205488</v>
      </c>
      <c r="V179" s="6">
        <v>0</v>
      </c>
      <c r="W179" s="6">
        <f t="shared" si="164"/>
        <v>0</v>
      </c>
      <c r="X179" s="6">
        <f t="shared" si="165"/>
        <v>0</v>
      </c>
      <c r="Y179" s="6">
        <v>0</v>
      </c>
      <c r="Z179" s="6">
        <f t="shared" si="166"/>
        <v>0</v>
      </c>
      <c r="AA179" s="6">
        <f t="shared" si="167"/>
        <v>0</v>
      </c>
      <c r="AB179" s="6">
        <v>0</v>
      </c>
      <c r="AC179" s="6">
        <f t="shared" si="168"/>
        <v>0</v>
      </c>
      <c r="AD179" s="6">
        <f t="shared" si="169"/>
        <v>0</v>
      </c>
      <c r="AE179" s="6">
        <v>0</v>
      </c>
      <c r="AF179" s="6">
        <f t="shared" si="170"/>
        <v>0</v>
      </c>
      <c r="AG179" s="6">
        <f t="shared" si="171"/>
        <v>0</v>
      </c>
      <c r="AH179" s="6">
        <v>0</v>
      </c>
      <c r="AI179" s="6">
        <f t="shared" si="172"/>
        <v>0</v>
      </c>
      <c r="AJ179" s="6">
        <f t="shared" si="173"/>
        <v>0</v>
      </c>
      <c r="AK179" s="6">
        <v>0</v>
      </c>
      <c r="AL179" s="6">
        <f t="shared" si="174"/>
        <v>0</v>
      </c>
      <c r="AM179" s="6">
        <f t="shared" si="175"/>
        <v>0</v>
      </c>
      <c r="AN179" s="6">
        <v>0</v>
      </c>
      <c r="AO179" s="6">
        <f t="shared" si="176"/>
        <v>0</v>
      </c>
      <c r="AP179" s="6">
        <f t="shared" si="177"/>
        <v>0</v>
      </c>
      <c r="AQ179" s="6">
        <v>0</v>
      </c>
      <c r="AR179" s="6">
        <f t="shared" si="178"/>
        <v>0</v>
      </c>
      <c r="AS179" s="6">
        <f t="shared" si="179"/>
        <v>0</v>
      </c>
      <c r="AT179" s="6">
        <v>0</v>
      </c>
      <c r="AU179" s="6">
        <f t="shared" si="180"/>
        <v>0</v>
      </c>
      <c r="AV179" s="6">
        <f t="shared" si="181"/>
        <v>0</v>
      </c>
      <c r="AW179" s="6">
        <v>0</v>
      </c>
      <c r="AX179" s="6">
        <f t="shared" si="182"/>
        <v>0</v>
      </c>
      <c r="AY179" s="6">
        <f t="shared" si="183"/>
        <v>0</v>
      </c>
      <c r="AZ179" s="6">
        <v>0</v>
      </c>
      <c r="BA179" s="6">
        <f t="shared" si="184"/>
        <v>0</v>
      </c>
      <c r="BB179" s="6">
        <f t="shared" si="185"/>
        <v>0</v>
      </c>
      <c r="BC179" s="6">
        <v>0</v>
      </c>
      <c r="BD179" s="6">
        <f t="shared" si="186"/>
        <v>0</v>
      </c>
      <c r="BE179" s="6">
        <f t="shared" si="187"/>
        <v>0</v>
      </c>
      <c r="BF179" s="6">
        <v>0</v>
      </c>
      <c r="BG179" s="6">
        <f t="shared" si="188"/>
        <v>0</v>
      </c>
      <c r="BH179" s="6">
        <f t="shared" si="189"/>
        <v>0</v>
      </c>
      <c r="BI179" s="6">
        <v>0</v>
      </c>
      <c r="BJ179" s="6">
        <f t="shared" si="190"/>
        <v>0</v>
      </c>
      <c r="BK179" s="6">
        <f t="shared" si="191"/>
        <v>0</v>
      </c>
      <c r="BL179" s="6">
        <v>0</v>
      </c>
      <c r="BM179" s="6">
        <f t="shared" si="192"/>
        <v>0</v>
      </c>
      <c r="BN179" s="6">
        <f t="shared" si="193"/>
        <v>0</v>
      </c>
      <c r="BO179" s="6">
        <v>0</v>
      </c>
      <c r="BP179" s="6">
        <f t="shared" si="194"/>
        <v>0</v>
      </c>
      <c r="BQ179" s="6">
        <f t="shared" si="195"/>
        <v>0</v>
      </c>
      <c r="BR179" s="6">
        <v>0</v>
      </c>
      <c r="BS179" s="6">
        <f t="shared" si="196"/>
        <v>0</v>
      </c>
      <c r="BT179" s="6">
        <f t="shared" si="197"/>
        <v>0</v>
      </c>
      <c r="BU179" s="6">
        <v>0</v>
      </c>
      <c r="BV179" s="6">
        <f t="shared" si="198"/>
        <v>0</v>
      </c>
      <c r="BW179" s="6">
        <f t="shared" si="199"/>
        <v>0</v>
      </c>
      <c r="BX179" s="6">
        <v>0</v>
      </c>
      <c r="BY179" s="6">
        <f t="shared" si="200"/>
        <v>0</v>
      </c>
      <c r="BZ179" s="6">
        <f t="shared" si="201"/>
        <v>0</v>
      </c>
      <c r="CA179" s="6">
        <v>0</v>
      </c>
      <c r="CB179" s="6">
        <f t="shared" si="202"/>
        <v>0</v>
      </c>
      <c r="CC179" s="6">
        <f t="shared" si="203"/>
        <v>0</v>
      </c>
      <c r="CD179" s="6">
        <v>0</v>
      </c>
      <c r="CE179" s="6">
        <f t="shared" si="204"/>
        <v>0</v>
      </c>
      <c r="CF179" s="6">
        <f t="shared" si="205"/>
        <v>0</v>
      </c>
      <c r="CG179" s="6">
        <v>0</v>
      </c>
      <c r="CH179" s="6">
        <f t="shared" si="206"/>
        <v>0</v>
      </c>
      <c r="CI179" s="6">
        <f t="shared" si="207"/>
        <v>0</v>
      </c>
      <c r="CJ179" s="6">
        <v>0</v>
      </c>
      <c r="CK179" s="6">
        <f t="shared" si="208"/>
        <v>0</v>
      </c>
      <c r="CL179" s="6">
        <f t="shared" si="209"/>
        <v>0</v>
      </c>
      <c r="CM179" s="6">
        <v>0</v>
      </c>
      <c r="CN179" s="6">
        <f t="shared" si="210"/>
        <v>0</v>
      </c>
      <c r="CO179" s="6">
        <f t="shared" si="211"/>
        <v>0</v>
      </c>
      <c r="CP179" s="6">
        <v>0</v>
      </c>
      <c r="CQ179" s="6">
        <f t="shared" si="212"/>
        <v>0</v>
      </c>
      <c r="CR179" s="6">
        <f t="shared" si="213"/>
        <v>0</v>
      </c>
      <c r="CS179" s="6">
        <v>0</v>
      </c>
      <c r="CT179" s="6">
        <f t="shared" si="214"/>
        <v>0</v>
      </c>
      <c r="CU179" s="6">
        <f t="shared" si="215"/>
        <v>0</v>
      </c>
      <c r="CV179" s="6">
        <v>0</v>
      </c>
      <c r="CW179" s="6">
        <f t="shared" si="216"/>
        <v>0</v>
      </c>
      <c r="CX179" s="6">
        <f t="shared" si="217"/>
        <v>0</v>
      </c>
      <c r="CY179" s="6">
        <v>0</v>
      </c>
      <c r="CZ179" s="6">
        <f t="shared" si="218"/>
        <v>0</v>
      </c>
      <c r="DA179" s="6">
        <f t="shared" si="219"/>
        <v>0</v>
      </c>
      <c r="DB179" s="6">
        <v>0</v>
      </c>
      <c r="DC179" s="6">
        <f t="shared" si="220"/>
        <v>0</v>
      </c>
      <c r="DD179" s="6">
        <f t="shared" si="221"/>
        <v>0</v>
      </c>
      <c r="DE179" s="6">
        <v>0</v>
      </c>
      <c r="DF179" s="6">
        <f t="shared" si="222"/>
        <v>0</v>
      </c>
      <c r="DG179" s="6">
        <f t="shared" si="223"/>
        <v>0</v>
      </c>
      <c r="DH179" s="6">
        <v>0</v>
      </c>
      <c r="DI179" s="6">
        <f t="shared" si="224"/>
        <v>0</v>
      </c>
      <c r="DJ179" s="6">
        <f t="shared" si="225"/>
        <v>0</v>
      </c>
      <c r="DK179" s="6">
        <v>0</v>
      </c>
      <c r="DL179" s="6">
        <f t="shared" si="226"/>
        <v>0</v>
      </c>
      <c r="DM179" s="6">
        <f t="shared" si="227"/>
        <v>0</v>
      </c>
      <c r="DN179" s="6">
        <v>0</v>
      </c>
      <c r="DO179" s="6">
        <f t="shared" si="228"/>
        <v>0</v>
      </c>
      <c r="DP179" s="6">
        <f t="shared" si="229"/>
        <v>0</v>
      </c>
    </row>
    <row r="180" spans="1:120" x14ac:dyDescent="0.2">
      <c r="A180" s="21">
        <v>68</v>
      </c>
      <c r="B180" s="21" t="s">
        <v>673</v>
      </c>
      <c r="C180" s="21">
        <v>68190</v>
      </c>
      <c r="D180" s="21" t="s">
        <v>734</v>
      </c>
      <c r="E180" s="21" t="s">
        <v>623</v>
      </c>
      <c r="F180" s="22" t="s">
        <v>662</v>
      </c>
      <c r="G180" s="4" t="s">
        <v>292</v>
      </c>
      <c r="H180" s="6"/>
      <c r="I180" s="6"/>
      <c r="J180" s="6">
        <v>9891</v>
      </c>
      <c r="K180" s="6">
        <v>4588.33</v>
      </c>
      <c r="L180" s="6">
        <f t="shared" si="236"/>
        <v>12.536420765027323</v>
      </c>
      <c r="M180" s="6">
        <v>8243</v>
      </c>
      <c r="N180" s="6">
        <v>6047.57</v>
      </c>
      <c r="O180" s="6">
        <f t="shared" si="237"/>
        <v>16.568684931506848</v>
      </c>
      <c r="P180" s="6">
        <v>6890</v>
      </c>
      <c r="Q180" s="6">
        <v>2659.36</v>
      </c>
      <c r="R180" s="6">
        <f>Q180/181</f>
        <v>14.692596685082874</v>
      </c>
      <c r="S180" s="6">
        <v>5758</v>
      </c>
      <c r="T180" s="6">
        <f t="shared" si="162"/>
        <v>5758</v>
      </c>
      <c r="U180" s="6">
        <f t="shared" si="163"/>
        <v>15.775342465753425</v>
      </c>
      <c r="V180" s="6">
        <v>4826</v>
      </c>
      <c r="W180" s="6">
        <f t="shared" si="164"/>
        <v>4826</v>
      </c>
      <c r="X180" s="6">
        <f t="shared" si="165"/>
        <v>13.221917808219178</v>
      </c>
      <c r="Y180" s="6">
        <v>4024</v>
      </c>
      <c r="Z180" s="6">
        <f t="shared" si="166"/>
        <v>4024</v>
      </c>
      <c r="AA180" s="6">
        <f t="shared" si="167"/>
        <v>11.024657534246575</v>
      </c>
      <c r="AB180" s="6">
        <v>3362</v>
      </c>
      <c r="AC180" s="6">
        <f t="shared" si="168"/>
        <v>3362</v>
      </c>
      <c r="AD180" s="6">
        <f t="shared" si="169"/>
        <v>9.2109589041095887</v>
      </c>
      <c r="AE180" s="6">
        <v>2811</v>
      </c>
      <c r="AF180" s="6">
        <f t="shared" si="170"/>
        <v>2811</v>
      </c>
      <c r="AG180" s="6">
        <f t="shared" si="171"/>
        <v>7.7013698630136984</v>
      </c>
      <c r="AH180" s="6">
        <v>2355</v>
      </c>
      <c r="AI180" s="6">
        <f t="shared" si="172"/>
        <v>2355</v>
      </c>
      <c r="AJ180" s="6">
        <f t="shared" si="173"/>
        <v>6.4520547945205475</v>
      </c>
      <c r="AK180" s="6">
        <v>1964</v>
      </c>
      <c r="AL180" s="6">
        <f t="shared" si="174"/>
        <v>1964</v>
      </c>
      <c r="AM180" s="6">
        <f t="shared" si="175"/>
        <v>5.3808219178082188</v>
      </c>
      <c r="AN180" s="6">
        <v>1641</v>
      </c>
      <c r="AO180" s="6">
        <f t="shared" si="176"/>
        <v>1641</v>
      </c>
      <c r="AP180" s="6">
        <f t="shared" si="177"/>
        <v>4.4958904109589044</v>
      </c>
      <c r="AQ180" s="6">
        <v>1372</v>
      </c>
      <c r="AR180" s="6">
        <f t="shared" si="178"/>
        <v>1372</v>
      </c>
      <c r="AS180" s="6">
        <f t="shared" si="179"/>
        <v>3.7589041095890412</v>
      </c>
      <c r="AT180" s="6">
        <v>0</v>
      </c>
      <c r="AU180" s="6">
        <f t="shared" si="180"/>
        <v>0</v>
      </c>
      <c r="AV180" s="6">
        <f t="shared" si="181"/>
        <v>0</v>
      </c>
      <c r="AW180" s="6">
        <v>0</v>
      </c>
      <c r="AX180" s="6">
        <f t="shared" si="182"/>
        <v>0</v>
      </c>
      <c r="AY180" s="6">
        <f t="shared" si="183"/>
        <v>0</v>
      </c>
      <c r="AZ180" s="6">
        <v>0</v>
      </c>
      <c r="BA180" s="6">
        <f t="shared" si="184"/>
        <v>0</v>
      </c>
      <c r="BB180" s="6">
        <f t="shared" si="185"/>
        <v>0</v>
      </c>
      <c r="BC180" s="6">
        <v>0</v>
      </c>
      <c r="BD180" s="6">
        <f t="shared" si="186"/>
        <v>0</v>
      </c>
      <c r="BE180" s="6">
        <f t="shared" si="187"/>
        <v>0</v>
      </c>
      <c r="BF180" s="6">
        <v>0</v>
      </c>
      <c r="BG180" s="6">
        <f t="shared" si="188"/>
        <v>0</v>
      </c>
      <c r="BH180" s="6">
        <f t="shared" si="189"/>
        <v>0</v>
      </c>
      <c r="BI180" s="6">
        <v>0</v>
      </c>
      <c r="BJ180" s="6">
        <f t="shared" si="190"/>
        <v>0</v>
      </c>
      <c r="BK180" s="6">
        <f t="shared" si="191"/>
        <v>0</v>
      </c>
      <c r="BL180" s="6">
        <v>0</v>
      </c>
      <c r="BM180" s="6">
        <f t="shared" si="192"/>
        <v>0</v>
      </c>
      <c r="BN180" s="6">
        <f t="shared" si="193"/>
        <v>0</v>
      </c>
      <c r="BO180" s="6">
        <v>0</v>
      </c>
      <c r="BP180" s="6">
        <f t="shared" si="194"/>
        <v>0</v>
      </c>
      <c r="BQ180" s="6">
        <f t="shared" si="195"/>
        <v>0</v>
      </c>
      <c r="BR180" s="6">
        <v>0</v>
      </c>
      <c r="BS180" s="6">
        <f t="shared" si="196"/>
        <v>0</v>
      </c>
      <c r="BT180" s="6">
        <f t="shared" si="197"/>
        <v>0</v>
      </c>
      <c r="BU180" s="6">
        <v>0</v>
      </c>
      <c r="BV180" s="6">
        <f t="shared" si="198"/>
        <v>0</v>
      </c>
      <c r="BW180" s="6">
        <f t="shared" si="199"/>
        <v>0</v>
      </c>
      <c r="BX180" s="6">
        <v>0</v>
      </c>
      <c r="BY180" s="6">
        <f t="shared" si="200"/>
        <v>0</v>
      </c>
      <c r="BZ180" s="6">
        <f t="shared" si="201"/>
        <v>0</v>
      </c>
      <c r="CA180" s="6">
        <v>0</v>
      </c>
      <c r="CB180" s="6">
        <f t="shared" si="202"/>
        <v>0</v>
      </c>
      <c r="CC180" s="6">
        <f t="shared" si="203"/>
        <v>0</v>
      </c>
      <c r="CD180" s="6">
        <v>0</v>
      </c>
      <c r="CE180" s="6">
        <f t="shared" si="204"/>
        <v>0</v>
      </c>
      <c r="CF180" s="6">
        <f t="shared" si="205"/>
        <v>0</v>
      </c>
      <c r="CG180" s="6">
        <v>0</v>
      </c>
      <c r="CH180" s="6">
        <f t="shared" si="206"/>
        <v>0</v>
      </c>
      <c r="CI180" s="6">
        <f t="shared" si="207"/>
        <v>0</v>
      </c>
      <c r="CJ180" s="6">
        <v>0</v>
      </c>
      <c r="CK180" s="6">
        <f t="shared" si="208"/>
        <v>0</v>
      </c>
      <c r="CL180" s="6">
        <f t="shared" si="209"/>
        <v>0</v>
      </c>
      <c r="CM180" s="6">
        <v>0</v>
      </c>
      <c r="CN180" s="6">
        <f t="shared" si="210"/>
        <v>0</v>
      </c>
      <c r="CO180" s="6">
        <f t="shared" si="211"/>
        <v>0</v>
      </c>
      <c r="CP180" s="6">
        <v>0</v>
      </c>
      <c r="CQ180" s="6">
        <f t="shared" si="212"/>
        <v>0</v>
      </c>
      <c r="CR180" s="6">
        <f t="shared" si="213"/>
        <v>0</v>
      </c>
      <c r="CS180" s="6">
        <v>0</v>
      </c>
      <c r="CT180" s="6">
        <f t="shared" si="214"/>
        <v>0</v>
      </c>
      <c r="CU180" s="6">
        <f t="shared" si="215"/>
        <v>0</v>
      </c>
      <c r="CV180" s="6">
        <v>0</v>
      </c>
      <c r="CW180" s="6">
        <f t="shared" si="216"/>
        <v>0</v>
      </c>
      <c r="CX180" s="6">
        <f t="shared" si="217"/>
        <v>0</v>
      </c>
      <c r="CY180" s="6">
        <v>0</v>
      </c>
      <c r="CZ180" s="6">
        <f t="shared" si="218"/>
        <v>0</v>
      </c>
      <c r="DA180" s="6">
        <f t="shared" si="219"/>
        <v>0</v>
      </c>
      <c r="DB180" s="6">
        <v>0</v>
      </c>
      <c r="DC180" s="6">
        <f t="shared" si="220"/>
        <v>0</v>
      </c>
      <c r="DD180" s="6">
        <f t="shared" si="221"/>
        <v>0</v>
      </c>
      <c r="DE180" s="6">
        <v>0</v>
      </c>
      <c r="DF180" s="6">
        <f t="shared" si="222"/>
        <v>0</v>
      </c>
      <c r="DG180" s="6">
        <f t="shared" si="223"/>
        <v>0</v>
      </c>
      <c r="DH180" s="6">
        <v>0</v>
      </c>
      <c r="DI180" s="6">
        <f t="shared" si="224"/>
        <v>0</v>
      </c>
      <c r="DJ180" s="6">
        <f t="shared" si="225"/>
        <v>0</v>
      </c>
      <c r="DK180" s="6">
        <v>0</v>
      </c>
      <c r="DL180" s="6">
        <f t="shared" si="226"/>
        <v>0</v>
      </c>
      <c r="DM180" s="6">
        <f t="shared" si="227"/>
        <v>0</v>
      </c>
      <c r="DN180" s="6">
        <v>0</v>
      </c>
      <c r="DO180" s="6">
        <f t="shared" si="228"/>
        <v>0</v>
      </c>
      <c r="DP180" s="6">
        <f t="shared" si="229"/>
        <v>0</v>
      </c>
    </row>
    <row r="181" spans="1:120" x14ac:dyDescent="0.2">
      <c r="A181" s="21">
        <v>68</v>
      </c>
      <c r="B181" s="21" t="s">
        <v>673</v>
      </c>
      <c r="C181" s="21">
        <v>68689</v>
      </c>
      <c r="D181" s="21" t="s">
        <v>735</v>
      </c>
      <c r="E181" s="21" t="s">
        <v>522</v>
      </c>
      <c r="F181" s="22" t="s">
        <v>666</v>
      </c>
      <c r="G181" s="4" t="s">
        <v>293</v>
      </c>
      <c r="H181" s="6">
        <v>193662.56</v>
      </c>
      <c r="I181" s="6">
        <f t="shared" ref="I181:I209" si="238">H181/365</f>
        <v>530.58235616438355</v>
      </c>
      <c r="J181" s="6">
        <v>254391</v>
      </c>
      <c r="K181" s="6">
        <v>243830.82</v>
      </c>
      <c r="L181" s="6">
        <f t="shared" si="236"/>
        <v>666.20442622950827</v>
      </c>
      <c r="M181" s="6">
        <v>261274</v>
      </c>
      <c r="N181" s="6">
        <v>214036.47</v>
      </c>
      <c r="O181" s="6">
        <f t="shared" si="237"/>
        <v>586.40128767123292</v>
      </c>
      <c r="P181" s="6">
        <v>232817</v>
      </c>
      <c r="Q181" s="6"/>
      <c r="R181" s="6"/>
      <c r="S181" s="6">
        <v>208887</v>
      </c>
      <c r="T181" s="6">
        <f t="shared" si="162"/>
        <v>208887</v>
      </c>
      <c r="U181" s="6">
        <f t="shared" si="163"/>
        <v>572.29315068493156</v>
      </c>
      <c r="V181" s="6">
        <v>188043</v>
      </c>
      <c r="W181" s="6">
        <f t="shared" si="164"/>
        <v>188043</v>
      </c>
      <c r="X181" s="6">
        <f t="shared" si="165"/>
        <v>515.18630136986303</v>
      </c>
      <c r="Y181" s="6">
        <v>167540</v>
      </c>
      <c r="Z181" s="6">
        <f t="shared" si="166"/>
        <v>167540</v>
      </c>
      <c r="AA181" s="6">
        <f t="shared" si="167"/>
        <v>459.01369863013701</v>
      </c>
      <c r="AB181" s="6">
        <v>148186</v>
      </c>
      <c r="AC181" s="6">
        <f t="shared" si="168"/>
        <v>148186</v>
      </c>
      <c r="AD181" s="6">
        <f t="shared" si="169"/>
        <v>405.9890410958904</v>
      </c>
      <c r="AE181" s="6">
        <v>132635</v>
      </c>
      <c r="AF181" s="6">
        <f t="shared" si="170"/>
        <v>132635</v>
      </c>
      <c r="AG181" s="6">
        <f t="shared" si="171"/>
        <v>363.38356164383561</v>
      </c>
      <c r="AH181" s="6">
        <v>0</v>
      </c>
      <c r="AI181" s="6">
        <f t="shared" si="172"/>
        <v>0</v>
      </c>
      <c r="AJ181" s="6">
        <f t="shared" si="173"/>
        <v>0</v>
      </c>
      <c r="AK181" s="6">
        <v>0</v>
      </c>
      <c r="AL181" s="6">
        <f t="shared" si="174"/>
        <v>0</v>
      </c>
      <c r="AM181" s="6">
        <f t="shared" si="175"/>
        <v>0</v>
      </c>
      <c r="AN181" s="6">
        <v>0</v>
      </c>
      <c r="AO181" s="6">
        <f t="shared" si="176"/>
        <v>0</v>
      </c>
      <c r="AP181" s="6">
        <f t="shared" si="177"/>
        <v>0</v>
      </c>
      <c r="AQ181" s="6">
        <v>0</v>
      </c>
      <c r="AR181" s="6">
        <f t="shared" si="178"/>
        <v>0</v>
      </c>
      <c r="AS181" s="6">
        <f t="shared" si="179"/>
        <v>0</v>
      </c>
      <c r="AT181" s="6">
        <v>0</v>
      </c>
      <c r="AU181" s="6">
        <f t="shared" si="180"/>
        <v>0</v>
      </c>
      <c r="AV181" s="6">
        <f t="shared" si="181"/>
        <v>0</v>
      </c>
      <c r="AW181" s="6">
        <v>0</v>
      </c>
      <c r="AX181" s="6">
        <f t="shared" si="182"/>
        <v>0</v>
      </c>
      <c r="AY181" s="6">
        <f t="shared" si="183"/>
        <v>0</v>
      </c>
      <c r="AZ181" s="6">
        <v>0</v>
      </c>
      <c r="BA181" s="6">
        <f t="shared" si="184"/>
        <v>0</v>
      </c>
      <c r="BB181" s="6">
        <f t="shared" si="185"/>
        <v>0</v>
      </c>
      <c r="BC181" s="6">
        <v>0</v>
      </c>
      <c r="BD181" s="6">
        <f t="shared" si="186"/>
        <v>0</v>
      </c>
      <c r="BE181" s="6">
        <f t="shared" si="187"/>
        <v>0</v>
      </c>
      <c r="BF181" s="6">
        <v>0</v>
      </c>
      <c r="BG181" s="6">
        <f t="shared" si="188"/>
        <v>0</v>
      </c>
      <c r="BH181" s="6">
        <f t="shared" si="189"/>
        <v>0</v>
      </c>
      <c r="BI181" s="6">
        <v>0</v>
      </c>
      <c r="BJ181" s="6">
        <f t="shared" si="190"/>
        <v>0</v>
      </c>
      <c r="BK181" s="6">
        <f t="shared" si="191"/>
        <v>0</v>
      </c>
      <c r="BL181" s="6">
        <v>0</v>
      </c>
      <c r="BM181" s="6">
        <f t="shared" si="192"/>
        <v>0</v>
      </c>
      <c r="BN181" s="6">
        <f t="shared" si="193"/>
        <v>0</v>
      </c>
      <c r="BO181" s="6">
        <v>0</v>
      </c>
      <c r="BP181" s="6">
        <f t="shared" si="194"/>
        <v>0</v>
      </c>
      <c r="BQ181" s="6">
        <f t="shared" si="195"/>
        <v>0</v>
      </c>
      <c r="BR181" s="6">
        <v>0</v>
      </c>
      <c r="BS181" s="6">
        <f t="shared" si="196"/>
        <v>0</v>
      </c>
      <c r="BT181" s="6">
        <f t="shared" si="197"/>
        <v>0</v>
      </c>
      <c r="BU181" s="6">
        <v>0</v>
      </c>
      <c r="BV181" s="6">
        <f t="shared" si="198"/>
        <v>0</v>
      </c>
      <c r="BW181" s="6">
        <f t="shared" si="199"/>
        <v>0</v>
      </c>
      <c r="BX181" s="6">
        <v>0</v>
      </c>
      <c r="BY181" s="6">
        <f t="shared" si="200"/>
        <v>0</v>
      </c>
      <c r="BZ181" s="6">
        <f t="shared" si="201"/>
        <v>0</v>
      </c>
      <c r="CA181" s="6">
        <v>0</v>
      </c>
      <c r="CB181" s="6">
        <f t="shared" si="202"/>
        <v>0</v>
      </c>
      <c r="CC181" s="6">
        <f t="shared" si="203"/>
        <v>0</v>
      </c>
      <c r="CD181" s="6">
        <v>0</v>
      </c>
      <c r="CE181" s="6">
        <f t="shared" si="204"/>
        <v>0</v>
      </c>
      <c r="CF181" s="6">
        <f t="shared" si="205"/>
        <v>0</v>
      </c>
      <c r="CG181" s="6">
        <v>0</v>
      </c>
      <c r="CH181" s="6">
        <f t="shared" si="206"/>
        <v>0</v>
      </c>
      <c r="CI181" s="6">
        <f t="shared" si="207"/>
        <v>0</v>
      </c>
      <c r="CJ181" s="6">
        <v>0</v>
      </c>
      <c r="CK181" s="6">
        <f t="shared" si="208"/>
        <v>0</v>
      </c>
      <c r="CL181" s="6">
        <f t="shared" si="209"/>
        <v>0</v>
      </c>
      <c r="CM181" s="6">
        <v>0</v>
      </c>
      <c r="CN181" s="6">
        <f t="shared" si="210"/>
        <v>0</v>
      </c>
      <c r="CO181" s="6">
        <f t="shared" si="211"/>
        <v>0</v>
      </c>
      <c r="CP181" s="6">
        <v>0</v>
      </c>
      <c r="CQ181" s="6">
        <f t="shared" si="212"/>
        <v>0</v>
      </c>
      <c r="CR181" s="6">
        <f t="shared" si="213"/>
        <v>0</v>
      </c>
      <c r="CS181" s="6">
        <v>0</v>
      </c>
      <c r="CT181" s="6">
        <f t="shared" si="214"/>
        <v>0</v>
      </c>
      <c r="CU181" s="6">
        <f t="shared" si="215"/>
        <v>0</v>
      </c>
      <c r="CV181" s="6">
        <v>0</v>
      </c>
      <c r="CW181" s="6">
        <f t="shared" si="216"/>
        <v>0</v>
      </c>
      <c r="CX181" s="6">
        <f t="shared" si="217"/>
        <v>0</v>
      </c>
      <c r="CY181" s="6">
        <v>0</v>
      </c>
      <c r="CZ181" s="6">
        <f t="shared" si="218"/>
        <v>0</v>
      </c>
      <c r="DA181" s="6">
        <f t="shared" si="219"/>
        <v>0</v>
      </c>
      <c r="DB181" s="6">
        <v>0</v>
      </c>
      <c r="DC181" s="6">
        <f t="shared" si="220"/>
        <v>0</v>
      </c>
      <c r="DD181" s="6">
        <f t="shared" si="221"/>
        <v>0</v>
      </c>
      <c r="DE181" s="6">
        <v>0</v>
      </c>
      <c r="DF181" s="6">
        <f t="shared" si="222"/>
        <v>0</v>
      </c>
      <c r="DG181" s="6">
        <f t="shared" si="223"/>
        <v>0</v>
      </c>
      <c r="DH181" s="6">
        <v>0</v>
      </c>
      <c r="DI181" s="6">
        <f t="shared" si="224"/>
        <v>0</v>
      </c>
      <c r="DJ181" s="6">
        <f t="shared" si="225"/>
        <v>0</v>
      </c>
      <c r="DK181" s="6">
        <v>0</v>
      </c>
      <c r="DL181" s="6">
        <f t="shared" si="226"/>
        <v>0</v>
      </c>
      <c r="DM181" s="6">
        <f t="shared" si="227"/>
        <v>0</v>
      </c>
      <c r="DN181" s="6">
        <v>0</v>
      </c>
      <c r="DO181" s="6">
        <f t="shared" si="228"/>
        <v>0</v>
      </c>
      <c r="DP181" s="6">
        <f t="shared" si="229"/>
        <v>0</v>
      </c>
    </row>
    <row r="182" spans="1:120" x14ac:dyDescent="0.2">
      <c r="A182" s="21">
        <v>68</v>
      </c>
      <c r="B182" s="21" t="s">
        <v>673</v>
      </c>
      <c r="C182" s="21">
        <v>68081</v>
      </c>
      <c r="D182" s="21" t="s">
        <v>730</v>
      </c>
      <c r="E182" s="21" t="s">
        <v>522</v>
      </c>
      <c r="F182" s="22" t="s">
        <v>666</v>
      </c>
      <c r="G182" s="4" t="s">
        <v>294</v>
      </c>
      <c r="H182" s="6">
        <v>1982145.19</v>
      </c>
      <c r="I182" s="6">
        <f t="shared" si="238"/>
        <v>5430.5347671232876</v>
      </c>
      <c r="J182" s="6">
        <v>1923875.5538999999</v>
      </c>
      <c r="K182" s="6">
        <v>1781322.85</v>
      </c>
      <c r="L182" s="6">
        <f t="shared" si="236"/>
        <v>4867.0023224043716</v>
      </c>
      <c r="M182" s="6">
        <v>1827628.9508</v>
      </c>
      <c r="N182" s="6">
        <v>1766599.3</v>
      </c>
      <c r="O182" s="6">
        <f t="shared" si="237"/>
        <v>4839.9980821917807</v>
      </c>
      <c r="P182" s="6">
        <v>1737965.8825999999</v>
      </c>
      <c r="Q182" s="6">
        <v>851991.77</v>
      </c>
      <c r="R182" s="6">
        <f>Q182/181</f>
        <v>4707.1368508287296</v>
      </c>
      <c r="S182" s="6">
        <v>1488285.3939</v>
      </c>
      <c r="T182" s="6">
        <f t="shared" si="162"/>
        <v>1488285.3939</v>
      </c>
      <c r="U182" s="6">
        <f t="shared" si="163"/>
        <v>4077.494229863014</v>
      </c>
      <c r="V182" s="6">
        <v>1277902.5290999999</v>
      </c>
      <c r="W182" s="6">
        <f t="shared" si="164"/>
        <v>1277902.5290999999</v>
      </c>
      <c r="X182" s="6">
        <f t="shared" si="165"/>
        <v>3501.1028194520545</v>
      </c>
      <c r="Y182" s="6">
        <v>1094874.3174000001</v>
      </c>
      <c r="Z182" s="6">
        <f t="shared" si="166"/>
        <v>1094874.3174000001</v>
      </c>
      <c r="AA182" s="6">
        <f t="shared" si="167"/>
        <v>2999.655664109589</v>
      </c>
      <c r="AB182" s="6">
        <v>942100.603</v>
      </c>
      <c r="AC182" s="6">
        <f t="shared" si="168"/>
        <v>942100.603</v>
      </c>
      <c r="AD182" s="6">
        <f t="shared" si="169"/>
        <v>2581.0975424657536</v>
      </c>
      <c r="AE182" s="6">
        <v>812284.92169999995</v>
      </c>
      <c r="AF182" s="6">
        <f t="shared" si="170"/>
        <v>812284.92169999995</v>
      </c>
      <c r="AG182" s="6">
        <f t="shared" si="171"/>
        <v>2225.4381416438355</v>
      </c>
      <c r="AH182" s="6">
        <v>702204.68830000004</v>
      </c>
      <c r="AI182" s="6">
        <f t="shared" si="172"/>
        <v>702204.68830000004</v>
      </c>
      <c r="AJ182" s="6">
        <f t="shared" si="173"/>
        <v>1923.8484610958906</v>
      </c>
      <c r="AK182" s="6">
        <v>0</v>
      </c>
      <c r="AL182" s="6">
        <f t="shared" si="174"/>
        <v>0</v>
      </c>
      <c r="AM182" s="6">
        <f t="shared" si="175"/>
        <v>0</v>
      </c>
      <c r="AN182" s="6">
        <v>0</v>
      </c>
      <c r="AO182" s="6">
        <f t="shared" si="176"/>
        <v>0</v>
      </c>
      <c r="AP182" s="6">
        <f t="shared" si="177"/>
        <v>0</v>
      </c>
      <c r="AQ182" s="6">
        <v>0</v>
      </c>
      <c r="AR182" s="6">
        <f t="shared" si="178"/>
        <v>0</v>
      </c>
      <c r="AS182" s="6">
        <f t="shared" si="179"/>
        <v>0</v>
      </c>
      <c r="AT182" s="6">
        <v>0</v>
      </c>
      <c r="AU182" s="6">
        <f t="shared" si="180"/>
        <v>0</v>
      </c>
      <c r="AV182" s="6">
        <f t="shared" si="181"/>
        <v>0</v>
      </c>
      <c r="AW182" s="6">
        <v>0</v>
      </c>
      <c r="AX182" s="6">
        <f t="shared" si="182"/>
        <v>0</v>
      </c>
      <c r="AY182" s="6">
        <f t="shared" si="183"/>
        <v>0</v>
      </c>
      <c r="AZ182" s="6">
        <v>0</v>
      </c>
      <c r="BA182" s="6">
        <f t="shared" si="184"/>
        <v>0</v>
      </c>
      <c r="BB182" s="6">
        <f t="shared" si="185"/>
        <v>0</v>
      </c>
      <c r="BC182" s="6">
        <v>0</v>
      </c>
      <c r="BD182" s="6">
        <f t="shared" si="186"/>
        <v>0</v>
      </c>
      <c r="BE182" s="6">
        <f t="shared" si="187"/>
        <v>0</v>
      </c>
      <c r="BF182" s="6">
        <v>0</v>
      </c>
      <c r="BG182" s="6">
        <f t="shared" si="188"/>
        <v>0</v>
      </c>
      <c r="BH182" s="6">
        <f t="shared" si="189"/>
        <v>0</v>
      </c>
      <c r="BI182" s="6">
        <v>0</v>
      </c>
      <c r="BJ182" s="6">
        <f t="shared" si="190"/>
        <v>0</v>
      </c>
      <c r="BK182" s="6">
        <f t="shared" si="191"/>
        <v>0</v>
      </c>
      <c r="BL182" s="6">
        <v>0</v>
      </c>
      <c r="BM182" s="6">
        <f t="shared" si="192"/>
        <v>0</v>
      </c>
      <c r="BN182" s="6">
        <f t="shared" si="193"/>
        <v>0</v>
      </c>
      <c r="BO182" s="6">
        <v>0</v>
      </c>
      <c r="BP182" s="6">
        <f t="shared" si="194"/>
        <v>0</v>
      </c>
      <c r="BQ182" s="6">
        <f t="shared" si="195"/>
        <v>0</v>
      </c>
      <c r="BR182" s="6">
        <v>0</v>
      </c>
      <c r="BS182" s="6">
        <f t="shared" si="196"/>
        <v>0</v>
      </c>
      <c r="BT182" s="6">
        <f t="shared" si="197"/>
        <v>0</v>
      </c>
      <c r="BU182" s="6">
        <v>0</v>
      </c>
      <c r="BV182" s="6">
        <f t="shared" si="198"/>
        <v>0</v>
      </c>
      <c r="BW182" s="6">
        <f t="shared" si="199"/>
        <v>0</v>
      </c>
      <c r="BX182" s="6">
        <v>0</v>
      </c>
      <c r="BY182" s="6">
        <f t="shared" si="200"/>
        <v>0</v>
      </c>
      <c r="BZ182" s="6">
        <f t="shared" si="201"/>
        <v>0</v>
      </c>
      <c r="CA182" s="6">
        <v>0</v>
      </c>
      <c r="CB182" s="6">
        <f t="shared" si="202"/>
        <v>0</v>
      </c>
      <c r="CC182" s="6">
        <f t="shared" si="203"/>
        <v>0</v>
      </c>
      <c r="CD182" s="6">
        <v>0</v>
      </c>
      <c r="CE182" s="6">
        <f t="shared" si="204"/>
        <v>0</v>
      </c>
      <c r="CF182" s="6">
        <f t="shared" si="205"/>
        <v>0</v>
      </c>
      <c r="CG182" s="6">
        <v>0</v>
      </c>
      <c r="CH182" s="6">
        <f t="shared" si="206"/>
        <v>0</v>
      </c>
      <c r="CI182" s="6">
        <f t="shared" si="207"/>
        <v>0</v>
      </c>
      <c r="CJ182" s="6">
        <v>0</v>
      </c>
      <c r="CK182" s="6">
        <f t="shared" si="208"/>
        <v>0</v>
      </c>
      <c r="CL182" s="6">
        <f t="shared" si="209"/>
        <v>0</v>
      </c>
      <c r="CM182" s="6">
        <v>0</v>
      </c>
      <c r="CN182" s="6">
        <f t="shared" si="210"/>
        <v>0</v>
      </c>
      <c r="CO182" s="6">
        <f t="shared" si="211"/>
        <v>0</v>
      </c>
      <c r="CP182" s="6">
        <v>0</v>
      </c>
      <c r="CQ182" s="6">
        <f t="shared" si="212"/>
        <v>0</v>
      </c>
      <c r="CR182" s="6">
        <f t="shared" si="213"/>
        <v>0</v>
      </c>
      <c r="CS182" s="6">
        <v>0</v>
      </c>
      <c r="CT182" s="6">
        <f t="shared" si="214"/>
        <v>0</v>
      </c>
      <c r="CU182" s="6">
        <f t="shared" si="215"/>
        <v>0</v>
      </c>
      <c r="CV182" s="6">
        <v>0</v>
      </c>
      <c r="CW182" s="6">
        <f t="shared" si="216"/>
        <v>0</v>
      </c>
      <c r="CX182" s="6">
        <f t="shared" si="217"/>
        <v>0</v>
      </c>
      <c r="CY182" s="6">
        <v>0</v>
      </c>
      <c r="CZ182" s="6">
        <f t="shared" si="218"/>
        <v>0</v>
      </c>
      <c r="DA182" s="6">
        <f t="shared" si="219"/>
        <v>0</v>
      </c>
      <c r="DB182" s="6">
        <v>0</v>
      </c>
      <c r="DC182" s="6">
        <f t="shared" si="220"/>
        <v>0</v>
      </c>
      <c r="DD182" s="6">
        <f t="shared" si="221"/>
        <v>0</v>
      </c>
      <c r="DE182" s="6">
        <v>0</v>
      </c>
      <c r="DF182" s="6">
        <f t="shared" si="222"/>
        <v>0</v>
      </c>
      <c r="DG182" s="6">
        <f t="shared" si="223"/>
        <v>0</v>
      </c>
      <c r="DH182" s="6">
        <v>0</v>
      </c>
      <c r="DI182" s="6">
        <f t="shared" si="224"/>
        <v>0</v>
      </c>
      <c r="DJ182" s="6">
        <f t="shared" si="225"/>
        <v>0</v>
      </c>
      <c r="DK182" s="6">
        <v>0</v>
      </c>
      <c r="DL182" s="6">
        <f t="shared" si="226"/>
        <v>0</v>
      </c>
      <c r="DM182" s="6">
        <f t="shared" si="227"/>
        <v>0</v>
      </c>
      <c r="DN182" s="6">
        <v>0</v>
      </c>
      <c r="DO182" s="6">
        <f t="shared" si="228"/>
        <v>0</v>
      </c>
      <c r="DP182" s="6">
        <f t="shared" si="229"/>
        <v>0</v>
      </c>
    </row>
    <row r="183" spans="1:120" x14ac:dyDescent="0.2">
      <c r="A183" s="21">
        <v>50</v>
      </c>
      <c r="B183" s="21" t="s">
        <v>675</v>
      </c>
      <c r="C183" s="21">
        <v>50573</v>
      </c>
      <c r="D183" s="21" t="s">
        <v>723</v>
      </c>
      <c r="E183" s="21" t="s">
        <v>724</v>
      </c>
      <c r="F183" s="22" t="s">
        <v>669</v>
      </c>
      <c r="G183" s="4" t="s">
        <v>295</v>
      </c>
      <c r="H183" s="6">
        <v>132828.10999999999</v>
      </c>
      <c r="I183" s="6">
        <f t="shared" si="238"/>
        <v>363.91263013698625</v>
      </c>
      <c r="J183" s="6">
        <v>113255.76639999999</v>
      </c>
      <c r="K183" s="6">
        <v>120359.65</v>
      </c>
      <c r="L183" s="6">
        <f t="shared" si="236"/>
        <v>328.85150273224042</v>
      </c>
      <c r="M183" s="6">
        <v>191685.15049999999</v>
      </c>
      <c r="N183" s="6">
        <v>89729.32</v>
      </c>
      <c r="O183" s="6">
        <f t="shared" si="237"/>
        <v>245.83375342465754</v>
      </c>
      <c r="P183" s="6">
        <v>90971.713499999998</v>
      </c>
      <c r="Q183" s="6">
        <v>32119.93</v>
      </c>
      <c r="R183" s="6">
        <f>Q183/181</f>
        <v>177.4581767955801</v>
      </c>
      <c r="S183" s="6">
        <v>55260.197800000002</v>
      </c>
      <c r="T183" s="6">
        <f t="shared" si="162"/>
        <v>55260.197800000002</v>
      </c>
      <c r="U183" s="6">
        <f t="shared" si="163"/>
        <v>151.39780219178084</v>
      </c>
      <c r="V183" s="6">
        <v>46465.402199999997</v>
      </c>
      <c r="W183" s="6">
        <f t="shared" si="164"/>
        <v>46465.402199999997</v>
      </c>
      <c r="X183" s="6">
        <f t="shared" si="165"/>
        <v>127.3024717808219</v>
      </c>
      <c r="Y183" s="6">
        <v>35956.921999999999</v>
      </c>
      <c r="Z183" s="6">
        <f t="shared" si="166"/>
        <v>35956.921999999999</v>
      </c>
      <c r="AA183" s="6">
        <f t="shared" si="167"/>
        <v>98.512115068493145</v>
      </c>
      <c r="AB183" s="6">
        <v>19742.9987</v>
      </c>
      <c r="AC183" s="6">
        <f t="shared" si="168"/>
        <v>19742.9987</v>
      </c>
      <c r="AD183" s="6">
        <f t="shared" si="169"/>
        <v>54.090407397260272</v>
      </c>
      <c r="AE183" s="6">
        <v>16261.6441</v>
      </c>
      <c r="AF183" s="6">
        <f t="shared" si="170"/>
        <v>16261.6441</v>
      </c>
      <c r="AG183" s="6">
        <f t="shared" si="171"/>
        <v>44.552449589041096</v>
      </c>
      <c r="AH183" s="6">
        <v>7255.3647000000001</v>
      </c>
      <c r="AI183" s="6">
        <f t="shared" si="172"/>
        <v>7255.3647000000001</v>
      </c>
      <c r="AJ183" s="6">
        <f t="shared" si="173"/>
        <v>19.877711506849316</v>
      </c>
      <c r="AK183" s="6">
        <v>0</v>
      </c>
      <c r="AL183" s="6">
        <f t="shared" si="174"/>
        <v>0</v>
      </c>
      <c r="AM183" s="6">
        <f t="shared" si="175"/>
        <v>0</v>
      </c>
      <c r="AN183" s="6">
        <v>0</v>
      </c>
      <c r="AO183" s="6">
        <f t="shared" si="176"/>
        <v>0</v>
      </c>
      <c r="AP183" s="6">
        <f t="shared" si="177"/>
        <v>0</v>
      </c>
      <c r="AQ183" s="6">
        <v>0</v>
      </c>
      <c r="AR183" s="6">
        <f t="shared" si="178"/>
        <v>0</v>
      </c>
      <c r="AS183" s="6">
        <f t="shared" si="179"/>
        <v>0</v>
      </c>
      <c r="AT183" s="6">
        <v>0</v>
      </c>
      <c r="AU183" s="6">
        <f t="shared" si="180"/>
        <v>0</v>
      </c>
      <c r="AV183" s="6">
        <f t="shared" si="181"/>
        <v>0</v>
      </c>
      <c r="AW183" s="6">
        <v>0</v>
      </c>
      <c r="AX183" s="6">
        <f t="shared" si="182"/>
        <v>0</v>
      </c>
      <c r="AY183" s="6">
        <f t="shared" si="183"/>
        <v>0</v>
      </c>
      <c r="AZ183" s="6">
        <v>0</v>
      </c>
      <c r="BA183" s="6">
        <f t="shared" si="184"/>
        <v>0</v>
      </c>
      <c r="BB183" s="6">
        <f t="shared" si="185"/>
        <v>0</v>
      </c>
      <c r="BC183" s="6">
        <v>0</v>
      </c>
      <c r="BD183" s="6">
        <f t="shared" si="186"/>
        <v>0</v>
      </c>
      <c r="BE183" s="6">
        <f t="shared" si="187"/>
        <v>0</v>
      </c>
      <c r="BF183" s="6">
        <v>0</v>
      </c>
      <c r="BG183" s="6">
        <f t="shared" si="188"/>
        <v>0</v>
      </c>
      <c r="BH183" s="6">
        <f t="shared" si="189"/>
        <v>0</v>
      </c>
      <c r="BI183" s="6">
        <v>0</v>
      </c>
      <c r="BJ183" s="6">
        <f t="shared" si="190"/>
        <v>0</v>
      </c>
      <c r="BK183" s="6">
        <f t="shared" si="191"/>
        <v>0</v>
      </c>
      <c r="BL183" s="6">
        <v>0</v>
      </c>
      <c r="BM183" s="6">
        <f t="shared" si="192"/>
        <v>0</v>
      </c>
      <c r="BN183" s="6">
        <f t="shared" si="193"/>
        <v>0</v>
      </c>
      <c r="BO183" s="6">
        <v>0</v>
      </c>
      <c r="BP183" s="6">
        <f t="shared" si="194"/>
        <v>0</v>
      </c>
      <c r="BQ183" s="6">
        <f t="shared" si="195"/>
        <v>0</v>
      </c>
      <c r="BR183" s="6">
        <v>0</v>
      </c>
      <c r="BS183" s="6">
        <f t="shared" si="196"/>
        <v>0</v>
      </c>
      <c r="BT183" s="6">
        <f t="shared" si="197"/>
        <v>0</v>
      </c>
      <c r="BU183" s="6">
        <v>0</v>
      </c>
      <c r="BV183" s="6">
        <f t="shared" si="198"/>
        <v>0</v>
      </c>
      <c r="BW183" s="6">
        <f t="shared" si="199"/>
        <v>0</v>
      </c>
      <c r="BX183" s="6">
        <v>0</v>
      </c>
      <c r="BY183" s="6">
        <f t="shared" si="200"/>
        <v>0</v>
      </c>
      <c r="BZ183" s="6">
        <f t="shared" si="201"/>
        <v>0</v>
      </c>
      <c r="CA183" s="6">
        <v>0</v>
      </c>
      <c r="CB183" s="6">
        <f t="shared" si="202"/>
        <v>0</v>
      </c>
      <c r="CC183" s="6">
        <f t="shared" si="203"/>
        <v>0</v>
      </c>
      <c r="CD183" s="6">
        <v>0</v>
      </c>
      <c r="CE183" s="6">
        <f t="shared" si="204"/>
        <v>0</v>
      </c>
      <c r="CF183" s="6">
        <f t="shared" si="205"/>
        <v>0</v>
      </c>
      <c r="CG183" s="6">
        <v>0</v>
      </c>
      <c r="CH183" s="6">
        <f t="shared" si="206"/>
        <v>0</v>
      </c>
      <c r="CI183" s="6">
        <f t="shared" si="207"/>
        <v>0</v>
      </c>
      <c r="CJ183" s="6">
        <v>0</v>
      </c>
      <c r="CK183" s="6">
        <f t="shared" si="208"/>
        <v>0</v>
      </c>
      <c r="CL183" s="6">
        <f t="shared" si="209"/>
        <v>0</v>
      </c>
      <c r="CM183" s="6">
        <v>0</v>
      </c>
      <c r="CN183" s="6">
        <f t="shared" si="210"/>
        <v>0</v>
      </c>
      <c r="CO183" s="6">
        <f t="shared" si="211"/>
        <v>0</v>
      </c>
      <c r="CP183" s="6">
        <v>0</v>
      </c>
      <c r="CQ183" s="6">
        <f t="shared" si="212"/>
        <v>0</v>
      </c>
      <c r="CR183" s="6">
        <f t="shared" si="213"/>
        <v>0</v>
      </c>
      <c r="CS183" s="6">
        <v>0</v>
      </c>
      <c r="CT183" s="6">
        <f t="shared" si="214"/>
        <v>0</v>
      </c>
      <c r="CU183" s="6">
        <f t="shared" si="215"/>
        <v>0</v>
      </c>
      <c r="CV183" s="6">
        <v>0</v>
      </c>
      <c r="CW183" s="6">
        <f t="shared" si="216"/>
        <v>0</v>
      </c>
      <c r="CX183" s="6">
        <f t="shared" si="217"/>
        <v>0</v>
      </c>
      <c r="CY183" s="6">
        <v>0</v>
      </c>
      <c r="CZ183" s="6">
        <f t="shared" si="218"/>
        <v>0</v>
      </c>
      <c r="DA183" s="6">
        <f t="shared" si="219"/>
        <v>0</v>
      </c>
      <c r="DB183" s="6">
        <v>0</v>
      </c>
      <c r="DC183" s="6">
        <f t="shared" si="220"/>
        <v>0</v>
      </c>
      <c r="DD183" s="6">
        <f t="shared" si="221"/>
        <v>0</v>
      </c>
      <c r="DE183" s="6">
        <v>0</v>
      </c>
      <c r="DF183" s="6">
        <f t="shared" si="222"/>
        <v>0</v>
      </c>
      <c r="DG183" s="6">
        <f t="shared" si="223"/>
        <v>0</v>
      </c>
      <c r="DH183" s="6">
        <v>0</v>
      </c>
      <c r="DI183" s="6">
        <f t="shared" si="224"/>
        <v>0</v>
      </c>
      <c r="DJ183" s="6">
        <f t="shared" si="225"/>
        <v>0</v>
      </c>
      <c r="DK183" s="6">
        <v>0</v>
      </c>
      <c r="DL183" s="6">
        <f t="shared" si="226"/>
        <v>0</v>
      </c>
      <c r="DM183" s="6">
        <f t="shared" si="227"/>
        <v>0</v>
      </c>
      <c r="DN183" s="6">
        <v>0</v>
      </c>
      <c r="DO183" s="6">
        <f t="shared" si="228"/>
        <v>0</v>
      </c>
      <c r="DP183" s="6">
        <f t="shared" si="229"/>
        <v>0</v>
      </c>
    </row>
    <row r="184" spans="1:120" x14ac:dyDescent="0.2">
      <c r="A184" s="21">
        <v>41</v>
      </c>
      <c r="B184" s="21" t="s">
        <v>687</v>
      </c>
      <c r="C184" s="21">
        <v>41872</v>
      </c>
      <c r="D184" s="21" t="s">
        <v>736</v>
      </c>
      <c r="E184" s="21" t="s">
        <v>522</v>
      </c>
      <c r="F184" s="22" t="s">
        <v>666</v>
      </c>
      <c r="G184" s="4" t="s">
        <v>296</v>
      </c>
      <c r="H184" s="6">
        <v>140353.09</v>
      </c>
      <c r="I184" s="6">
        <f t="shared" si="238"/>
        <v>384.52901369863014</v>
      </c>
      <c r="J184" s="6">
        <v>122647.819</v>
      </c>
      <c r="K184" s="6">
        <v>110332.83</v>
      </c>
      <c r="L184" s="6">
        <f t="shared" si="236"/>
        <v>301.45581967213116</v>
      </c>
      <c r="M184" s="6">
        <v>100492.092</v>
      </c>
      <c r="N184" s="6">
        <v>116304.42</v>
      </c>
      <c r="O184" s="6">
        <f t="shared" si="237"/>
        <v>318.64224657534248</v>
      </c>
      <c r="P184" s="6">
        <v>84168.691000000006</v>
      </c>
      <c r="Q184" s="6">
        <v>55083.95</v>
      </c>
      <c r="R184" s="6">
        <f>Q184/181</f>
        <v>304.33121546961326</v>
      </c>
      <c r="S184" s="6">
        <v>71437.502999999997</v>
      </c>
      <c r="T184" s="6">
        <f t="shared" si="162"/>
        <v>71437.502999999997</v>
      </c>
      <c r="U184" s="6">
        <f t="shared" si="163"/>
        <v>195.71918630136986</v>
      </c>
      <c r="V184" s="6">
        <v>61337.677000000003</v>
      </c>
      <c r="W184" s="6">
        <f t="shared" si="164"/>
        <v>61337.677000000003</v>
      </c>
      <c r="X184" s="6">
        <f t="shared" si="165"/>
        <v>168.0484301369863</v>
      </c>
      <c r="Y184" s="6">
        <v>52696.563000000002</v>
      </c>
      <c r="Z184" s="6">
        <f t="shared" si="166"/>
        <v>52696.563000000002</v>
      </c>
      <c r="AA184" s="6">
        <f t="shared" si="167"/>
        <v>144.37414520547946</v>
      </c>
      <c r="AB184" s="6">
        <v>45589.23</v>
      </c>
      <c r="AC184" s="6">
        <f t="shared" si="168"/>
        <v>45589.23</v>
      </c>
      <c r="AD184" s="6">
        <f t="shared" si="169"/>
        <v>124.90200000000002</v>
      </c>
      <c r="AE184" s="6">
        <v>39344.781000000003</v>
      </c>
      <c r="AF184" s="6">
        <f t="shared" si="170"/>
        <v>39344.781000000003</v>
      </c>
      <c r="AG184" s="6">
        <f t="shared" si="171"/>
        <v>107.79392054794522</v>
      </c>
      <c r="AH184" s="6">
        <v>34261.214</v>
      </c>
      <c r="AI184" s="6">
        <f t="shared" si="172"/>
        <v>34261.214</v>
      </c>
      <c r="AJ184" s="6">
        <f t="shared" si="173"/>
        <v>93.866339726027391</v>
      </c>
      <c r="AK184" s="6">
        <v>29777.445</v>
      </c>
      <c r="AL184" s="6">
        <f t="shared" si="174"/>
        <v>29777.445</v>
      </c>
      <c r="AM184" s="6">
        <f t="shared" si="175"/>
        <v>81.582041095890403</v>
      </c>
      <c r="AN184" s="6">
        <v>25958.707999999999</v>
      </c>
      <c r="AO184" s="6">
        <f t="shared" si="176"/>
        <v>25958.707999999999</v>
      </c>
      <c r="AP184" s="6">
        <f t="shared" si="177"/>
        <v>71.119747945205475</v>
      </c>
      <c r="AQ184" s="6">
        <v>22631.781999999999</v>
      </c>
      <c r="AR184" s="6">
        <f t="shared" si="178"/>
        <v>22631.781999999999</v>
      </c>
      <c r="AS184" s="6">
        <f t="shared" si="179"/>
        <v>62.004882191780823</v>
      </c>
      <c r="AT184" s="6">
        <v>1783.011</v>
      </c>
      <c r="AU184" s="6">
        <f t="shared" si="180"/>
        <v>1783.011</v>
      </c>
      <c r="AV184" s="6">
        <f t="shared" si="181"/>
        <v>4.8849616438356165</v>
      </c>
      <c r="AW184" s="6">
        <v>0</v>
      </c>
      <c r="AX184" s="6">
        <f t="shared" si="182"/>
        <v>0</v>
      </c>
      <c r="AY184" s="6">
        <f t="shared" si="183"/>
        <v>0</v>
      </c>
      <c r="AZ184" s="6">
        <v>0</v>
      </c>
      <c r="BA184" s="6">
        <f t="shared" si="184"/>
        <v>0</v>
      </c>
      <c r="BB184" s="6">
        <f t="shared" si="185"/>
        <v>0</v>
      </c>
      <c r="BC184" s="6">
        <v>0</v>
      </c>
      <c r="BD184" s="6">
        <f t="shared" si="186"/>
        <v>0</v>
      </c>
      <c r="BE184" s="6">
        <f t="shared" si="187"/>
        <v>0</v>
      </c>
      <c r="BF184" s="6">
        <v>0</v>
      </c>
      <c r="BG184" s="6">
        <f t="shared" si="188"/>
        <v>0</v>
      </c>
      <c r="BH184" s="6">
        <f t="shared" si="189"/>
        <v>0</v>
      </c>
      <c r="BI184" s="6">
        <v>0</v>
      </c>
      <c r="BJ184" s="6">
        <f t="shared" si="190"/>
        <v>0</v>
      </c>
      <c r="BK184" s="6">
        <f t="shared" si="191"/>
        <v>0</v>
      </c>
      <c r="BL184" s="6">
        <v>0</v>
      </c>
      <c r="BM184" s="6">
        <f t="shared" si="192"/>
        <v>0</v>
      </c>
      <c r="BN184" s="6">
        <f t="shared" si="193"/>
        <v>0</v>
      </c>
      <c r="BO184" s="6">
        <v>0</v>
      </c>
      <c r="BP184" s="6">
        <f t="shared" si="194"/>
        <v>0</v>
      </c>
      <c r="BQ184" s="6">
        <f t="shared" si="195"/>
        <v>0</v>
      </c>
      <c r="BR184" s="6">
        <v>0</v>
      </c>
      <c r="BS184" s="6">
        <f t="shared" si="196"/>
        <v>0</v>
      </c>
      <c r="BT184" s="6">
        <f t="shared" si="197"/>
        <v>0</v>
      </c>
      <c r="BU184" s="6">
        <v>0</v>
      </c>
      <c r="BV184" s="6">
        <f t="shared" si="198"/>
        <v>0</v>
      </c>
      <c r="BW184" s="6">
        <f t="shared" si="199"/>
        <v>0</v>
      </c>
      <c r="BX184" s="6">
        <v>0</v>
      </c>
      <c r="BY184" s="6">
        <f t="shared" si="200"/>
        <v>0</v>
      </c>
      <c r="BZ184" s="6">
        <f t="shared" si="201"/>
        <v>0</v>
      </c>
      <c r="CA184" s="6">
        <v>0</v>
      </c>
      <c r="CB184" s="6">
        <f t="shared" si="202"/>
        <v>0</v>
      </c>
      <c r="CC184" s="6">
        <f t="shared" si="203"/>
        <v>0</v>
      </c>
      <c r="CD184" s="6">
        <v>0</v>
      </c>
      <c r="CE184" s="6">
        <f t="shared" si="204"/>
        <v>0</v>
      </c>
      <c r="CF184" s="6">
        <f t="shared" si="205"/>
        <v>0</v>
      </c>
      <c r="CG184" s="6">
        <v>0</v>
      </c>
      <c r="CH184" s="6">
        <f t="shared" si="206"/>
        <v>0</v>
      </c>
      <c r="CI184" s="6">
        <f t="shared" si="207"/>
        <v>0</v>
      </c>
      <c r="CJ184" s="6">
        <v>0</v>
      </c>
      <c r="CK184" s="6">
        <f t="shared" si="208"/>
        <v>0</v>
      </c>
      <c r="CL184" s="6">
        <f t="shared" si="209"/>
        <v>0</v>
      </c>
      <c r="CM184" s="6">
        <v>0</v>
      </c>
      <c r="CN184" s="6">
        <f t="shared" si="210"/>
        <v>0</v>
      </c>
      <c r="CO184" s="6">
        <f t="shared" si="211"/>
        <v>0</v>
      </c>
      <c r="CP184" s="6">
        <v>0</v>
      </c>
      <c r="CQ184" s="6">
        <f t="shared" si="212"/>
        <v>0</v>
      </c>
      <c r="CR184" s="6">
        <f t="shared" si="213"/>
        <v>0</v>
      </c>
      <c r="CS184" s="6">
        <v>0</v>
      </c>
      <c r="CT184" s="6">
        <f t="shared" si="214"/>
        <v>0</v>
      </c>
      <c r="CU184" s="6">
        <f t="shared" si="215"/>
        <v>0</v>
      </c>
      <c r="CV184" s="6">
        <v>0</v>
      </c>
      <c r="CW184" s="6">
        <f t="shared" si="216"/>
        <v>0</v>
      </c>
      <c r="CX184" s="6">
        <f t="shared" si="217"/>
        <v>0</v>
      </c>
      <c r="CY184" s="6">
        <v>0</v>
      </c>
      <c r="CZ184" s="6">
        <f t="shared" si="218"/>
        <v>0</v>
      </c>
      <c r="DA184" s="6">
        <f t="shared" si="219"/>
        <v>0</v>
      </c>
      <c r="DB184" s="6">
        <v>0</v>
      </c>
      <c r="DC184" s="6">
        <f t="shared" si="220"/>
        <v>0</v>
      </c>
      <c r="DD184" s="6">
        <f t="shared" si="221"/>
        <v>0</v>
      </c>
      <c r="DE184" s="6">
        <v>0</v>
      </c>
      <c r="DF184" s="6">
        <f t="shared" si="222"/>
        <v>0</v>
      </c>
      <c r="DG184" s="6">
        <f t="shared" si="223"/>
        <v>0</v>
      </c>
      <c r="DH184" s="6">
        <v>0</v>
      </c>
      <c r="DI184" s="6">
        <f t="shared" si="224"/>
        <v>0</v>
      </c>
      <c r="DJ184" s="6">
        <f t="shared" si="225"/>
        <v>0</v>
      </c>
      <c r="DK184" s="6">
        <v>0</v>
      </c>
      <c r="DL184" s="6">
        <f t="shared" si="226"/>
        <v>0</v>
      </c>
      <c r="DM184" s="6">
        <f t="shared" si="227"/>
        <v>0</v>
      </c>
      <c r="DN184" s="6">
        <v>0</v>
      </c>
      <c r="DO184" s="6">
        <f t="shared" si="228"/>
        <v>0</v>
      </c>
      <c r="DP184" s="6">
        <f t="shared" si="229"/>
        <v>0</v>
      </c>
    </row>
    <row r="185" spans="1:120" x14ac:dyDescent="0.2">
      <c r="A185" s="21">
        <v>86</v>
      </c>
      <c r="B185" s="21" t="s">
        <v>664</v>
      </c>
      <c r="C185" s="21">
        <v>86865</v>
      </c>
      <c r="D185" s="21" t="s">
        <v>728</v>
      </c>
      <c r="E185" s="21" t="s">
        <v>522</v>
      </c>
      <c r="F185" s="22" t="s">
        <v>666</v>
      </c>
      <c r="G185" s="4" t="s">
        <v>297</v>
      </c>
      <c r="H185" s="6">
        <v>111823.53</v>
      </c>
      <c r="I185" s="6">
        <f t="shared" si="238"/>
        <v>306.36583561643835</v>
      </c>
      <c r="J185" s="6">
        <v>156974.9</v>
      </c>
      <c r="K185" s="6">
        <v>100757.56</v>
      </c>
      <c r="L185" s="6">
        <f t="shared" si="236"/>
        <v>275.29387978142074</v>
      </c>
      <c r="M185" s="6">
        <v>126256.47</v>
      </c>
      <c r="N185" s="6">
        <v>73829.009999999995</v>
      </c>
      <c r="O185" s="6">
        <f t="shared" si="237"/>
        <v>202.27126027397259</v>
      </c>
      <c r="P185" s="6">
        <v>102537.26</v>
      </c>
      <c r="Q185" s="6"/>
      <c r="R185" s="6"/>
      <c r="S185" s="6">
        <v>83826.27</v>
      </c>
      <c r="T185" s="6">
        <f t="shared" si="162"/>
        <v>83826.27</v>
      </c>
      <c r="U185" s="6">
        <f t="shared" si="163"/>
        <v>229.66101369863014</v>
      </c>
      <c r="V185" s="6">
        <v>69174.100000000006</v>
      </c>
      <c r="W185" s="6">
        <f t="shared" si="164"/>
        <v>69174.100000000006</v>
      </c>
      <c r="X185" s="6">
        <f t="shared" si="165"/>
        <v>189.51808219178085</v>
      </c>
      <c r="Y185" s="6">
        <v>0</v>
      </c>
      <c r="Z185" s="6">
        <f t="shared" si="166"/>
        <v>0</v>
      </c>
      <c r="AA185" s="6">
        <f t="shared" si="167"/>
        <v>0</v>
      </c>
      <c r="AB185" s="6">
        <v>0</v>
      </c>
      <c r="AC185" s="6">
        <f t="shared" si="168"/>
        <v>0</v>
      </c>
      <c r="AD185" s="6">
        <f t="shared" si="169"/>
        <v>0</v>
      </c>
      <c r="AE185" s="6">
        <v>0</v>
      </c>
      <c r="AF185" s="6">
        <f t="shared" si="170"/>
        <v>0</v>
      </c>
      <c r="AG185" s="6">
        <f t="shared" si="171"/>
        <v>0</v>
      </c>
      <c r="AH185" s="6">
        <v>0</v>
      </c>
      <c r="AI185" s="6">
        <f t="shared" si="172"/>
        <v>0</v>
      </c>
      <c r="AJ185" s="6">
        <f t="shared" si="173"/>
        <v>0</v>
      </c>
      <c r="AK185" s="6">
        <v>0</v>
      </c>
      <c r="AL185" s="6">
        <f t="shared" si="174"/>
        <v>0</v>
      </c>
      <c r="AM185" s="6">
        <f t="shared" si="175"/>
        <v>0</v>
      </c>
      <c r="AN185" s="6">
        <v>0</v>
      </c>
      <c r="AO185" s="6">
        <f t="shared" si="176"/>
        <v>0</v>
      </c>
      <c r="AP185" s="6">
        <f t="shared" si="177"/>
        <v>0</v>
      </c>
      <c r="AQ185" s="6">
        <v>0</v>
      </c>
      <c r="AR185" s="6">
        <f t="shared" si="178"/>
        <v>0</v>
      </c>
      <c r="AS185" s="6">
        <f t="shared" si="179"/>
        <v>0</v>
      </c>
      <c r="AT185" s="6">
        <v>0</v>
      </c>
      <c r="AU185" s="6">
        <f t="shared" si="180"/>
        <v>0</v>
      </c>
      <c r="AV185" s="6">
        <f t="shared" si="181"/>
        <v>0</v>
      </c>
      <c r="AW185" s="6">
        <v>0</v>
      </c>
      <c r="AX185" s="6">
        <f t="shared" si="182"/>
        <v>0</v>
      </c>
      <c r="AY185" s="6">
        <f t="shared" si="183"/>
        <v>0</v>
      </c>
      <c r="AZ185" s="6">
        <v>0</v>
      </c>
      <c r="BA185" s="6">
        <f t="shared" si="184"/>
        <v>0</v>
      </c>
      <c r="BB185" s="6">
        <f t="shared" si="185"/>
        <v>0</v>
      </c>
      <c r="BC185" s="6">
        <v>0</v>
      </c>
      <c r="BD185" s="6">
        <f t="shared" si="186"/>
        <v>0</v>
      </c>
      <c r="BE185" s="6">
        <f t="shared" si="187"/>
        <v>0</v>
      </c>
      <c r="BF185" s="6">
        <v>0</v>
      </c>
      <c r="BG185" s="6">
        <f t="shared" si="188"/>
        <v>0</v>
      </c>
      <c r="BH185" s="6">
        <f t="shared" si="189"/>
        <v>0</v>
      </c>
      <c r="BI185" s="6">
        <v>0</v>
      </c>
      <c r="BJ185" s="6">
        <f t="shared" si="190"/>
        <v>0</v>
      </c>
      <c r="BK185" s="6">
        <f t="shared" si="191"/>
        <v>0</v>
      </c>
      <c r="BL185" s="6">
        <v>0</v>
      </c>
      <c r="BM185" s="6">
        <f t="shared" si="192"/>
        <v>0</v>
      </c>
      <c r="BN185" s="6">
        <f t="shared" si="193"/>
        <v>0</v>
      </c>
      <c r="BO185" s="6">
        <v>0</v>
      </c>
      <c r="BP185" s="6">
        <f t="shared" si="194"/>
        <v>0</v>
      </c>
      <c r="BQ185" s="6">
        <f t="shared" si="195"/>
        <v>0</v>
      </c>
      <c r="BR185" s="6">
        <v>0</v>
      </c>
      <c r="BS185" s="6">
        <f t="shared" si="196"/>
        <v>0</v>
      </c>
      <c r="BT185" s="6">
        <f t="shared" si="197"/>
        <v>0</v>
      </c>
      <c r="BU185" s="6">
        <v>0</v>
      </c>
      <c r="BV185" s="6">
        <f t="shared" si="198"/>
        <v>0</v>
      </c>
      <c r="BW185" s="6">
        <f t="shared" si="199"/>
        <v>0</v>
      </c>
      <c r="BX185" s="6">
        <v>0</v>
      </c>
      <c r="BY185" s="6">
        <f t="shared" si="200"/>
        <v>0</v>
      </c>
      <c r="BZ185" s="6">
        <f t="shared" si="201"/>
        <v>0</v>
      </c>
      <c r="CA185" s="6">
        <v>0</v>
      </c>
      <c r="CB185" s="6">
        <f t="shared" si="202"/>
        <v>0</v>
      </c>
      <c r="CC185" s="6">
        <f t="shared" si="203"/>
        <v>0</v>
      </c>
      <c r="CD185" s="6">
        <v>0</v>
      </c>
      <c r="CE185" s="6">
        <f t="shared" si="204"/>
        <v>0</v>
      </c>
      <c r="CF185" s="6">
        <f t="shared" si="205"/>
        <v>0</v>
      </c>
      <c r="CG185" s="6">
        <v>0</v>
      </c>
      <c r="CH185" s="6">
        <f t="shared" si="206"/>
        <v>0</v>
      </c>
      <c r="CI185" s="6">
        <f t="shared" si="207"/>
        <v>0</v>
      </c>
      <c r="CJ185" s="6">
        <v>0</v>
      </c>
      <c r="CK185" s="6">
        <f t="shared" si="208"/>
        <v>0</v>
      </c>
      <c r="CL185" s="6">
        <f t="shared" si="209"/>
        <v>0</v>
      </c>
      <c r="CM185" s="6">
        <v>0</v>
      </c>
      <c r="CN185" s="6">
        <f t="shared" si="210"/>
        <v>0</v>
      </c>
      <c r="CO185" s="6">
        <f t="shared" si="211"/>
        <v>0</v>
      </c>
      <c r="CP185" s="6">
        <v>0</v>
      </c>
      <c r="CQ185" s="6">
        <f t="shared" si="212"/>
        <v>0</v>
      </c>
      <c r="CR185" s="6">
        <f t="shared" si="213"/>
        <v>0</v>
      </c>
      <c r="CS185" s="6">
        <v>0</v>
      </c>
      <c r="CT185" s="6">
        <f t="shared" si="214"/>
        <v>0</v>
      </c>
      <c r="CU185" s="6">
        <f t="shared" si="215"/>
        <v>0</v>
      </c>
      <c r="CV185" s="6">
        <v>0</v>
      </c>
      <c r="CW185" s="6">
        <f t="shared" si="216"/>
        <v>0</v>
      </c>
      <c r="CX185" s="6">
        <f t="shared" si="217"/>
        <v>0</v>
      </c>
      <c r="CY185" s="6">
        <v>0</v>
      </c>
      <c r="CZ185" s="6">
        <f t="shared" si="218"/>
        <v>0</v>
      </c>
      <c r="DA185" s="6">
        <f t="shared" si="219"/>
        <v>0</v>
      </c>
      <c r="DB185" s="6">
        <v>0</v>
      </c>
      <c r="DC185" s="6">
        <f t="shared" si="220"/>
        <v>0</v>
      </c>
      <c r="DD185" s="6">
        <f t="shared" si="221"/>
        <v>0</v>
      </c>
      <c r="DE185" s="6">
        <v>0</v>
      </c>
      <c r="DF185" s="6">
        <f t="shared" si="222"/>
        <v>0</v>
      </c>
      <c r="DG185" s="6">
        <f t="shared" si="223"/>
        <v>0</v>
      </c>
      <c r="DH185" s="6">
        <v>0</v>
      </c>
      <c r="DI185" s="6">
        <f t="shared" si="224"/>
        <v>0</v>
      </c>
      <c r="DJ185" s="6">
        <f t="shared" si="225"/>
        <v>0</v>
      </c>
      <c r="DK185" s="6">
        <v>0</v>
      </c>
      <c r="DL185" s="6">
        <f t="shared" si="226"/>
        <v>0</v>
      </c>
      <c r="DM185" s="6">
        <f t="shared" si="227"/>
        <v>0</v>
      </c>
      <c r="DN185" s="6">
        <v>0</v>
      </c>
      <c r="DO185" s="6">
        <f t="shared" si="228"/>
        <v>0</v>
      </c>
      <c r="DP185" s="6">
        <f t="shared" si="229"/>
        <v>0</v>
      </c>
    </row>
    <row r="186" spans="1:120" x14ac:dyDescent="0.2">
      <c r="A186" s="21">
        <v>85</v>
      </c>
      <c r="B186" s="21" t="s">
        <v>612</v>
      </c>
      <c r="C186" s="21">
        <v>85430</v>
      </c>
      <c r="D186" s="21" t="s">
        <v>672</v>
      </c>
      <c r="E186" s="21" t="s">
        <v>594</v>
      </c>
      <c r="F186" s="22" t="s">
        <v>662</v>
      </c>
      <c r="G186" s="4" t="s">
        <v>298</v>
      </c>
      <c r="H186" s="6">
        <v>16079.33</v>
      </c>
      <c r="I186" s="6">
        <f t="shared" si="238"/>
        <v>44.052958904109587</v>
      </c>
      <c r="J186" s="6">
        <v>14357.7994</v>
      </c>
      <c r="K186" s="6">
        <v>13679.9</v>
      </c>
      <c r="L186" s="6">
        <f t="shared" si="236"/>
        <v>37.376775956284149</v>
      </c>
      <c r="M186" s="6">
        <v>0</v>
      </c>
      <c r="N186" s="6">
        <v>2623.92</v>
      </c>
      <c r="O186" s="6">
        <f t="shared" si="237"/>
        <v>7.1888219178082196</v>
      </c>
      <c r="P186" s="6">
        <v>0</v>
      </c>
      <c r="Q186" s="6"/>
      <c r="R186" s="6"/>
      <c r="S186" s="6">
        <v>0</v>
      </c>
      <c r="T186" s="6">
        <f t="shared" si="162"/>
        <v>0</v>
      </c>
      <c r="U186" s="6">
        <f t="shared" si="163"/>
        <v>0</v>
      </c>
      <c r="V186" s="6">
        <v>0</v>
      </c>
      <c r="W186" s="6">
        <f t="shared" si="164"/>
        <v>0</v>
      </c>
      <c r="X186" s="6">
        <f t="shared" si="165"/>
        <v>0</v>
      </c>
      <c r="Y186" s="6">
        <v>0</v>
      </c>
      <c r="Z186" s="6">
        <f t="shared" si="166"/>
        <v>0</v>
      </c>
      <c r="AA186" s="6">
        <f t="shared" si="167"/>
        <v>0</v>
      </c>
      <c r="AB186" s="6">
        <v>0</v>
      </c>
      <c r="AC186" s="6">
        <f t="shared" si="168"/>
        <v>0</v>
      </c>
      <c r="AD186" s="6">
        <f t="shared" si="169"/>
        <v>0</v>
      </c>
      <c r="AE186" s="6">
        <v>0</v>
      </c>
      <c r="AF186" s="6">
        <f t="shared" si="170"/>
        <v>0</v>
      </c>
      <c r="AG186" s="6">
        <f t="shared" si="171"/>
        <v>0</v>
      </c>
      <c r="AH186" s="6">
        <v>0</v>
      </c>
      <c r="AI186" s="6">
        <f t="shared" si="172"/>
        <v>0</v>
      </c>
      <c r="AJ186" s="6">
        <f t="shared" si="173"/>
        <v>0</v>
      </c>
      <c r="AK186" s="6">
        <v>0</v>
      </c>
      <c r="AL186" s="6">
        <f t="shared" si="174"/>
        <v>0</v>
      </c>
      <c r="AM186" s="6">
        <f t="shared" si="175"/>
        <v>0</v>
      </c>
      <c r="AN186" s="6">
        <v>0</v>
      </c>
      <c r="AO186" s="6">
        <f t="shared" si="176"/>
        <v>0</v>
      </c>
      <c r="AP186" s="6">
        <f t="shared" si="177"/>
        <v>0</v>
      </c>
      <c r="AQ186" s="6">
        <v>0</v>
      </c>
      <c r="AR186" s="6">
        <f t="shared" si="178"/>
        <v>0</v>
      </c>
      <c r="AS186" s="6">
        <f t="shared" si="179"/>
        <v>0</v>
      </c>
      <c r="AT186" s="6">
        <v>0</v>
      </c>
      <c r="AU186" s="6">
        <f t="shared" si="180"/>
        <v>0</v>
      </c>
      <c r="AV186" s="6">
        <f t="shared" si="181"/>
        <v>0</v>
      </c>
      <c r="AW186" s="6">
        <v>0</v>
      </c>
      <c r="AX186" s="6">
        <f t="shared" si="182"/>
        <v>0</v>
      </c>
      <c r="AY186" s="6">
        <f t="shared" si="183"/>
        <v>0</v>
      </c>
      <c r="AZ186" s="6">
        <v>0</v>
      </c>
      <c r="BA186" s="6">
        <f t="shared" si="184"/>
        <v>0</v>
      </c>
      <c r="BB186" s="6">
        <f t="shared" si="185"/>
        <v>0</v>
      </c>
      <c r="BC186" s="6">
        <v>0</v>
      </c>
      <c r="BD186" s="6">
        <f t="shared" si="186"/>
        <v>0</v>
      </c>
      <c r="BE186" s="6">
        <f t="shared" si="187"/>
        <v>0</v>
      </c>
      <c r="BF186" s="6">
        <v>0</v>
      </c>
      <c r="BG186" s="6">
        <f t="shared" si="188"/>
        <v>0</v>
      </c>
      <c r="BH186" s="6">
        <f t="shared" si="189"/>
        <v>0</v>
      </c>
      <c r="BI186" s="6">
        <v>0</v>
      </c>
      <c r="BJ186" s="6">
        <f t="shared" si="190"/>
        <v>0</v>
      </c>
      <c r="BK186" s="6">
        <f t="shared" si="191"/>
        <v>0</v>
      </c>
      <c r="BL186" s="6">
        <v>0</v>
      </c>
      <c r="BM186" s="6">
        <f t="shared" si="192"/>
        <v>0</v>
      </c>
      <c r="BN186" s="6">
        <f t="shared" si="193"/>
        <v>0</v>
      </c>
      <c r="BO186" s="6">
        <v>0</v>
      </c>
      <c r="BP186" s="6">
        <f t="shared" si="194"/>
        <v>0</v>
      </c>
      <c r="BQ186" s="6">
        <f t="shared" si="195"/>
        <v>0</v>
      </c>
      <c r="BR186" s="6">
        <v>0</v>
      </c>
      <c r="BS186" s="6">
        <f t="shared" si="196"/>
        <v>0</v>
      </c>
      <c r="BT186" s="6">
        <f t="shared" si="197"/>
        <v>0</v>
      </c>
      <c r="BU186" s="6">
        <v>0</v>
      </c>
      <c r="BV186" s="6">
        <f t="shared" si="198"/>
        <v>0</v>
      </c>
      <c r="BW186" s="6">
        <f t="shared" si="199"/>
        <v>0</v>
      </c>
      <c r="BX186" s="6">
        <v>0</v>
      </c>
      <c r="BY186" s="6">
        <f t="shared" si="200"/>
        <v>0</v>
      </c>
      <c r="BZ186" s="6">
        <f t="shared" si="201"/>
        <v>0</v>
      </c>
      <c r="CA186" s="6">
        <v>0</v>
      </c>
      <c r="CB186" s="6">
        <f t="shared" si="202"/>
        <v>0</v>
      </c>
      <c r="CC186" s="6">
        <f t="shared" si="203"/>
        <v>0</v>
      </c>
      <c r="CD186" s="6">
        <v>0</v>
      </c>
      <c r="CE186" s="6">
        <f t="shared" si="204"/>
        <v>0</v>
      </c>
      <c r="CF186" s="6">
        <f t="shared" si="205"/>
        <v>0</v>
      </c>
      <c r="CG186" s="6">
        <v>0</v>
      </c>
      <c r="CH186" s="6">
        <f t="shared" si="206"/>
        <v>0</v>
      </c>
      <c r="CI186" s="6">
        <f t="shared" si="207"/>
        <v>0</v>
      </c>
      <c r="CJ186" s="6">
        <v>0</v>
      </c>
      <c r="CK186" s="6">
        <f t="shared" si="208"/>
        <v>0</v>
      </c>
      <c r="CL186" s="6">
        <f t="shared" si="209"/>
        <v>0</v>
      </c>
      <c r="CM186" s="6">
        <v>0</v>
      </c>
      <c r="CN186" s="6">
        <f t="shared" si="210"/>
        <v>0</v>
      </c>
      <c r="CO186" s="6">
        <f t="shared" si="211"/>
        <v>0</v>
      </c>
      <c r="CP186" s="6">
        <v>0</v>
      </c>
      <c r="CQ186" s="6">
        <f t="shared" si="212"/>
        <v>0</v>
      </c>
      <c r="CR186" s="6">
        <f t="shared" si="213"/>
        <v>0</v>
      </c>
      <c r="CS186" s="6">
        <v>0</v>
      </c>
      <c r="CT186" s="6">
        <f t="shared" si="214"/>
        <v>0</v>
      </c>
      <c r="CU186" s="6">
        <f t="shared" si="215"/>
        <v>0</v>
      </c>
      <c r="CV186" s="6">
        <v>0</v>
      </c>
      <c r="CW186" s="6">
        <f t="shared" si="216"/>
        <v>0</v>
      </c>
      <c r="CX186" s="6">
        <f t="shared" si="217"/>
        <v>0</v>
      </c>
      <c r="CY186" s="6">
        <v>0</v>
      </c>
      <c r="CZ186" s="6">
        <f t="shared" si="218"/>
        <v>0</v>
      </c>
      <c r="DA186" s="6">
        <f t="shared" si="219"/>
        <v>0</v>
      </c>
      <c r="DB186" s="6">
        <v>0</v>
      </c>
      <c r="DC186" s="6">
        <f t="shared" si="220"/>
        <v>0</v>
      </c>
      <c r="DD186" s="6">
        <f t="shared" si="221"/>
        <v>0</v>
      </c>
      <c r="DE186" s="6">
        <v>0</v>
      </c>
      <c r="DF186" s="6">
        <f t="shared" si="222"/>
        <v>0</v>
      </c>
      <c r="DG186" s="6">
        <f t="shared" si="223"/>
        <v>0</v>
      </c>
      <c r="DH186" s="6">
        <v>0</v>
      </c>
      <c r="DI186" s="6">
        <f t="shared" si="224"/>
        <v>0</v>
      </c>
      <c r="DJ186" s="6">
        <f t="shared" si="225"/>
        <v>0</v>
      </c>
      <c r="DK186" s="6">
        <v>0</v>
      </c>
      <c r="DL186" s="6">
        <f t="shared" si="226"/>
        <v>0</v>
      </c>
      <c r="DM186" s="6">
        <f t="shared" si="227"/>
        <v>0</v>
      </c>
      <c r="DN186" s="6">
        <v>0</v>
      </c>
      <c r="DO186" s="6">
        <f t="shared" si="228"/>
        <v>0</v>
      </c>
      <c r="DP186" s="6">
        <f t="shared" si="229"/>
        <v>0</v>
      </c>
    </row>
    <row r="187" spans="1:120" x14ac:dyDescent="0.2">
      <c r="A187" s="21">
        <v>20</v>
      </c>
      <c r="B187" s="21" t="s">
        <v>667</v>
      </c>
      <c r="C187" s="21">
        <v>20614</v>
      </c>
      <c r="D187" s="21" t="s">
        <v>711</v>
      </c>
      <c r="E187" s="21" t="s">
        <v>564</v>
      </c>
      <c r="F187" s="22" t="s">
        <v>662</v>
      </c>
      <c r="G187" s="4" t="s">
        <v>299</v>
      </c>
      <c r="H187" s="6">
        <v>140167.67000000001</v>
      </c>
      <c r="I187" s="6">
        <f t="shared" si="238"/>
        <v>384.02101369863016</v>
      </c>
      <c r="J187" s="6">
        <v>125532.1446</v>
      </c>
      <c r="K187" s="6">
        <v>109721.73</v>
      </c>
      <c r="L187" s="6">
        <f t="shared" si="236"/>
        <v>299.78614754098362</v>
      </c>
      <c r="M187" s="6">
        <v>108664.53909999999</v>
      </c>
      <c r="N187" s="6">
        <v>101439.08</v>
      </c>
      <c r="O187" s="6">
        <f t="shared" si="237"/>
        <v>277.91528767123287</v>
      </c>
      <c r="P187" s="6">
        <v>94424.734400000001</v>
      </c>
      <c r="Q187" s="6">
        <v>40320.22</v>
      </c>
      <c r="R187" s="6">
        <f>Q187/181</f>
        <v>222.76364640883978</v>
      </c>
      <c r="S187" s="6">
        <v>82118.986499999999</v>
      </c>
      <c r="T187" s="6">
        <f t="shared" si="162"/>
        <v>82118.986499999999</v>
      </c>
      <c r="U187" s="6">
        <f t="shared" si="163"/>
        <v>224.98352465753425</v>
      </c>
      <c r="V187" s="6">
        <v>70623.892399999997</v>
      </c>
      <c r="W187" s="6">
        <f t="shared" si="164"/>
        <v>70623.892399999997</v>
      </c>
      <c r="X187" s="6">
        <f t="shared" si="165"/>
        <v>193.49011616438355</v>
      </c>
      <c r="Y187" s="6">
        <v>60215.200400000002</v>
      </c>
      <c r="Z187" s="6">
        <f t="shared" si="166"/>
        <v>60215.200400000002</v>
      </c>
      <c r="AA187" s="6">
        <f t="shared" si="167"/>
        <v>164.97315178082192</v>
      </c>
      <c r="AB187" s="6">
        <v>51358.960800000001</v>
      </c>
      <c r="AC187" s="6">
        <f t="shared" si="168"/>
        <v>51358.960800000001</v>
      </c>
      <c r="AD187" s="6">
        <f t="shared" si="169"/>
        <v>140.70948164383563</v>
      </c>
      <c r="AE187" s="6">
        <v>44941.906000000003</v>
      </c>
      <c r="AF187" s="6">
        <f t="shared" si="170"/>
        <v>44941.906000000003</v>
      </c>
      <c r="AG187" s="6">
        <f t="shared" si="171"/>
        <v>123.1285095890411</v>
      </c>
      <c r="AH187" s="6">
        <v>38420.503900000003</v>
      </c>
      <c r="AI187" s="6">
        <f t="shared" si="172"/>
        <v>38420.503900000003</v>
      </c>
      <c r="AJ187" s="6">
        <f t="shared" si="173"/>
        <v>105.26165452054795</v>
      </c>
      <c r="AK187" s="6">
        <v>32943.2889</v>
      </c>
      <c r="AL187" s="6">
        <f t="shared" si="174"/>
        <v>32943.2889</v>
      </c>
      <c r="AM187" s="6">
        <f t="shared" si="175"/>
        <v>90.255586027397257</v>
      </c>
      <c r="AN187" s="6">
        <v>28929.848300000001</v>
      </c>
      <c r="AO187" s="6">
        <f t="shared" si="176"/>
        <v>28929.848300000001</v>
      </c>
      <c r="AP187" s="6">
        <f t="shared" si="177"/>
        <v>79.259858356164386</v>
      </c>
      <c r="AQ187" s="6">
        <v>2288.2604999999999</v>
      </c>
      <c r="AR187" s="6">
        <f t="shared" si="178"/>
        <v>2288.2604999999999</v>
      </c>
      <c r="AS187" s="6">
        <f t="shared" si="179"/>
        <v>6.2692068493150686</v>
      </c>
      <c r="AT187" s="6">
        <v>0</v>
      </c>
      <c r="AU187" s="6">
        <f t="shared" si="180"/>
        <v>0</v>
      </c>
      <c r="AV187" s="6">
        <f t="shared" si="181"/>
        <v>0</v>
      </c>
      <c r="AW187" s="6">
        <v>0</v>
      </c>
      <c r="AX187" s="6">
        <f t="shared" si="182"/>
        <v>0</v>
      </c>
      <c r="AY187" s="6">
        <f t="shared" si="183"/>
        <v>0</v>
      </c>
      <c r="AZ187" s="6">
        <v>0</v>
      </c>
      <c r="BA187" s="6">
        <f t="shared" si="184"/>
        <v>0</v>
      </c>
      <c r="BB187" s="6">
        <f t="shared" si="185"/>
        <v>0</v>
      </c>
      <c r="BC187" s="6">
        <v>0</v>
      </c>
      <c r="BD187" s="6">
        <f t="shared" si="186"/>
        <v>0</v>
      </c>
      <c r="BE187" s="6">
        <f t="shared" si="187"/>
        <v>0</v>
      </c>
      <c r="BF187" s="6">
        <v>0</v>
      </c>
      <c r="BG187" s="6">
        <f t="shared" si="188"/>
        <v>0</v>
      </c>
      <c r="BH187" s="6">
        <f t="shared" si="189"/>
        <v>0</v>
      </c>
      <c r="BI187" s="6">
        <v>0</v>
      </c>
      <c r="BJ187" s="6">
        <f t="shared" si="190"/>
        <v>0</v>
      </c>
      <c r="BK187" s="6">
        <f t="shared" si="191"/>
        <v>0</v>
      </c>
      <c r="BL187" s="6">
        <v>0</v>
      </c>
      <c r="BM187" s="6">
        <f t="shared" si="192"/>
        <v>0</v>
      </c>
      <c r="BN187" s="6">
        <f t="shared" si="193"/>
        <v>0</v>
      </c>
      <c r="BO187" s="6">
        <v>0</v>
      </c>
      <c r="BP187" s="6">
        <f t="shared" si="194"/>
        <v>0</v>
      </c>
      <c r="BQ187" s="6">
        <f t="shared" si="195"/>
        <v>0</v>
      </c>
      <c r="BR187" s="6">
        <v>0</v>
      </c>
      <c r="BS187" s="6">
        <f t="shared" si="196"/>
        <v>0</v>
      </c>
      <c r="BT187" s="6">
        <f t="shared" si="197"/>
        <v>0</v>
      </c>
      <c r="BU187" s="6">
        <v>0</v>
      </c>
      <c r="BV187" s="6">
        <f t="shared" si="198"/>
        <v>0</v>
      </c>
      <c r="BW187" s="6">
        <f t="shared" si="199"/>
        <v>0</v>
      </c>
      <c r="BX187" s="6">
        <v>0</v>
      </c>
      <c r="BY187" s="6">
        <f t="shared" si="200"/>
        <v>0</v>
      </c>
      <c r="BZ187" s="6">
        <f t="shared" si="201"/>
        <v>0</v>
      </c>
      <c r="CA187" s="6">
        <v>0</v>
      </c>
      <c r="CB187" s="6">
        <f t="shared" si="202"/>
        <v>0</v>
      </c>
      <c r="CC187" s="6">
        <f t="shared" si="203"/>
        <v>0</v>
      </c>
      <c r="CD187" s="6">
        <v>0</v>
      </c>
      <c r="CE187" s="6">
        <f t="shared" si="204"/>
        <v>0</v>
      </c>
      <c r="CF187" s="6">
        <f t="shared" si="205"/>
        <v>0</v>
      </c>
      <c r="CG187" s="6">
        <v>0</v>
      </c>
      <c r="CH187" s="6">
        <f t="shared" si="206"/>
        <v>0</v>
      </c>
      <c r="CI187" s="6">
        <f t="shared" si="207"/>
        <v>0</v>
      </c>
      <c r="CJ187" s="6">
        <v>0</v>
      </c>
      <c r="CK187" s="6">
        <f t="shared" si="208"/>
        <v>0</v>
      </c>
      <c r="CL187" s="6">
        <f t="shared" si="209"/>
        <v>0</v>
      </c>
      <c r="CM187" s="6">
        <v>0</v>
      </c>
      <c r="CN187" s="6">
        <f t="shared" si="210"/>
        <v>0</v>
      </c>
      <c r="CO187" s="6">
        <f t="shared" si="211"/>
        <v>0</v>
      </c>
      <c r="CP187" s="6">
        <v>0</v>
      </c>
      <c r="CQ187" s="6">
        <f t="shared" si="212"/>
        <v>0</v>
      </c>
      <c r="CR187" s="6">
        <f t="shared" si="213"/>
        <v>0</v>
      </c>
      <c r="CS187" s="6">
        <v>0</v>
      </c>
      <c r="CT187" s="6">
        <f t="shared" si="214"/>
        <v>0</v>
      </c>
      <c r="CU187" s="6">
        <f t="shared" si="215"/>
        <v>0</v>
      </c>
      <c r="CV187" s="6">
        <v>0</v>
      </c>
      <c r="CW187" s="6">
        <f t="shared" si="216"/>
        <v>0</v>
      </c>
      <c r="CX187" s="6">
        <f t="shared" si="217"/>
        <v>0</v>
      </c>
      <c r="CY187" s="6">
        <v>0</v>
      </c>
      <c r="CZ187" s="6">
        <f t="shared" si="218"/>
        <v>0</v>
      </c>
      <c r="DA187" s="6">
        <f t="shared" si="219"/>
        <v>0</v>
      </c>
      <c r="DB187" s="6">
        <v>0</v>
      </c>
      <c r="DC187" s="6">
        <f t="shared" si="220"/>
        <v>0</v>
      </c>
      <c r="DD187" s="6">
        <f t="shared" si="221"/>
        <v>0</v>
      </c>
      <c r="DE187" s="6">
        <v>0</v>
      </c>
      <c r="DF187" s="6">
        <f t="shared" si="222"/>
        <v>0</v>
      </c>
      <c r="DG187" s="6">
        <f t="shared" si="223"/>
        <v>0</v>
      </c>
      <c r="DH187" s="6">
        <v>0</v>
      </c>
      <c r="DI187" s="6">
        <f t="shared" si="224"/>
        <v>0</v>
      </c>
      <c r="DJ187" s="6">
        <f t="shared" si="225"/>
        <v>0</v>
      </c>
      <c r="DK187" s="6">
        <v>0</v>
      </c>
      <c r="DL187" s="6">
        <f t="shared" si="226"/>
        <v>0</v>
      </c>
      <c r="DM187" s="6">
        <f t="shared" si="227"/>
        <v>0</v>
      </c>
      <c r="DN187" s="6">
        <v>0</v>
      </c>
      <c r="DO187" s="6">
        <f t="shared" si="228"/>
        <v>0</v>
      </c>
      <c r="DP187" s="6">
        <f t="shared" si="229"/>
        <v>0</v>
      </c>
    </row>
    <row r="188" spans="1:120" x14ac:dyDescent="0.2">
      <c r="A188" s="21">
        <v>85</v>
      </c>
      <c r="B188" s="21" t="s">
        <v>612</v>
      </c>
      <c r="C188" s="21">
        <v>85139</v>
      </c>
      <c r="D188" s="21" t="s">
        <v>702</v>
      </c>
      <c r="E188" s="21" t="s">
        <v>699</v>
      </c>
      <c r="F188" s="22" t="s">
        <v>693</v>
      </c>
      <c r="G188" s="4" t="s">
        <v>300</v>
      </c>
      <c r="H188" s="6">
        <v>12391.27</v>
      </c>
      <c r="I188" s="6">
        <f t="shared" si="238"/>
        <v>33.948684931506854</v>
      </c>
      <c r="J188" s="6">
        <v>12091.6729</v>
      </c>
      <c r="K188" s="6">
        <v>12744.03</v>
      </c>
      <c r="L188" s="6">
        <f t="shared" si="236"/>
        <v>34.819754098360654</v>
      </c>
      <c r="M188" s="6">
        <v>83121.758499999996</v>
      </c>
      <c r="N188" s="6">
        <v>11664.59</v>
      </c>
      <c r="O188" s="6">
        <f t="shared" si="237"/>
        <v>31.957780821917808</v>
      </c>
      <c r="P188" s="6">
        <v>77058</v>
      </c>
      <c r="Q188" s="6">
        <v>5654.17</v>
      </c>
      <c r="R188" s="6">
        <f>Q188/181</f>
        <v>31.238508287292817</v>
      </c>
      <c r="S188" s="6">
        <v>53551</v>
      </c>
      <c r="T188" s="6">
        <f t="shared" si="162"/>
        <v>53551</v>
      </c>
      <c r="U188" s="6">
        <f t="shared" si="163"/>
        <v>146.71506849315068</v>
      </c>
      <c r="V188" s="6">
        <v>37805</v>
      </c>
      <c r="W188" s="6">
        <f t="shared" si="164"/>
        <v>37805</v>
      </c>
      <c r="X188" s="6">
        <f t="shared" si="165"/>
        <v>103.57534246575342</v>
      </c>
      <c r="Y188" s="6">
        <v>26933</v>
      </c>
      <c r="Z188" s="6">
        <f t="shared" si="166"/>
        <v>26933</v>
      </c>
      <c r="AA188" s="6">
        <f t="shared" si="167"/>
        <v>73.789041095890411</v>
      </c>
      <c r="AB188" s="6">
        <v>19594</v>
      </c>
      <c r="AC188" s="6">
        <f t="shared" si="168"/>
        <v>19594</v>
      </c>
      <c r="AD188" s="6">
        <f t="shared" si="169"/>
        <v>53.682191780821917</v>
      </c>
      <c r="AE188" s="6">
        <v>14545</v>
      </c>
      <c r="AF188" s="6">
        <f t="shared" si="170"/>
        <v>14545</v>
      </c>
      <c r="AG188" s="6">
        <f t="shared" si="171"/>
        <v>39.849315068493148</v>
      </c>
      <c r="AH188" s="6">
        <v>0</v>
      </c>
      <c r="AI188" s="6">
        <f t="shared" si="172"/>
        <v>0</v>
      </c>
      <c r="AJ188" s="6">
        <f t="shared" si="173"/>
        <v>0</v>
      </c>
      <c r="AK188" s="6">
        <v>0</v>
      </c>
      <c r="AL188" s="6">
        <f t="shared" si="174"/>
        <v>0</v>
      </c>
      <c r="AM188" s="6">
        <f t="shared" si="175"/>
        <v>0</v>
      </c>
      <c r="AN188" s="6">
        <v>0</v>
      </c>
      <c r="AO188" s="6">
        <f t="shared" si="176"/>
        <v>0</v>
      </c>
      <c r="AP188" s="6">
        <f t="shared" si="177"/>
        <v>0</v>
      </c>
      <c r="AQ188" s="6">
        <v>0</v>
      </c>
      <c r="AR188" s="6">
        <f t="shared" si="178"/>
        <v>0</v>
      </c>
      <c r="AS188" s="6">
        <f t="shared" si="179"/>
        <v>0</v>
      </c>
      <c r="AT188" s="6">
        <v>0</v>
      </c>
      <c r="AU188" s="6">
        <f t="shared" si="180"/>
        <v>0</v>
      </c>
      <c r="AV188" s="6">
        <f t="shared" si="181"/>
        <v>0</v>
      </c>
      <c r="AW188" s="6">
        <v>0</v>
      </c>
      <c r="AX188" s="6">
        <f t="shared" si="182"/>
        <v>0</v>
      </c>
      <c r="AY188" s="6">
        <f t="shared" si="183"/>
        <v>0</v>
      </c>
      <c r="AZ188" s="6">
        <v>0</v>
      </c>
      <c r="BA188" s="6">
        <f t="shared" si="184"/>
        <v>0</v>
      </c>
      <c r="BB188" s="6">
        <f t="shared" si="185"/>
        <v>0</v>
      </c>
      <c r="BC188" s="6">
        <v>0</v>
      </c>
      <c r="BD188" s="6">
        <f t="shared" si="186"/>
        <v>0</v>
      </c>
      <c r="BE188" s="6">
        <f t="shared" si="187"/>
        <v>0</v>
      </c>
      <c r="BF188" s="6">
        <v>0</v>
      </c>
      <c r="BG188" s="6">
        <f t="shared" si="188"/>
        <v>0</v>
      </c>
      <c r="BH188" s="6">
        <f t="shared" si="189"/>
        <v>0</v>
      </c>
      <c r="BI188" s="6">
        <v>0</v>
      </c>
      <c r="BJ188" s="6">
        <f t="shared" si="190"/>
        <v>0</v>
      </c>
      <c r="BK188" s="6">
        <f t="shared" si="191"/>
        <v>0</v>
      </c>
      <c r="BL188" s="6">
        <v>0</v>
      </c>
      <c r="BM188" s="6">
        <f t="shared" si="192"/>
        <v>0</v>
      </c>
      <c r="BN188" s="6">
        <f t="shared" si="193"/>
        <v>0</v>
      </c>
      <c r="BO188" s="6">
        <v>0</v>
      </c>
      <c r="BP188" s="6">
        <f t="shared" si="194"/>
        <v>0</v>
      </c>
      <c r="BQ188" s="6">
        <f t="shared" si="195"/>
        <v>0</v>
      </c>
      <c r="BR188" s="6">
        <v>0</v>
      </c>
      <c r="BS188" s="6">
        <f t="shared" si="196"/>
        <v>0</v>
      </c>
      <c r="BT188" s="6">
        <f t="shared" si="197"/>
        <v>0</v>
      </c>
      <c r="BU188" s="6">
        <v>0</v>
      </c>
      <c r="BV188" s="6">
        <f t="shared" si="198"/>
        <v>0</v>
      </c>
      <c r="BW188" s="6">
        <f t="shared" si="199"/>
        <v>0</v>
      </c>
      <c r="BX188" s="6">
        <v>0</v>
      </c>
      <c r="BY188" s="6">
        <f t="shared" si="200"/>
        <v>0</v>
      </c>
      <c r="BZ188" s="6">
        <f t="shared" si="201"/>
        <v>0</v>
      </c>
      <c r="CA188" s="6">
        <v>0</v>
      </c>
      <c r="CB188" s="6">
        <f t="shared" si="202"/>
        <v>0</v>
      </c>
      <c r="CC188" s="6">
        <f t="shared" si="203"/>
        <v>0</v>
      </c>
      <c r="CD188" s="6">
        <v>0</v>
      </c>
      <c r="CE188" s="6">
        <f t="shared" si="204"/>
        <v>0</v>
      </c>
      <c r="CF188" s="6">
        <f t="shared" si="205"/>
        <v>0</v>
      </c>
      <c r="CG188" s="6">
        <v>0</v>
      </c>
      <c r="CH188" s="6">
        <f t="shared" si="206"/>
        <v>0</v>
      </c>
      <c r="CI188" s="6">
        <f t="shared" si="207"/>
        <v>0</v>
      </c>
      <c r="CJ188" s="6">
        <v>0</v>
      </c>
      <c r="CK188" s="6">
        <f t="shared" si="208"/>
        <v>0</v>
      </c>
      <c r="CL188" s="6">
        <f t="shared" si="209"/>
        <v>0</v>
      </c>
      <c r="CM188" s="6">
        <v>0</v>
      </c>
      <c r="CN188" s="6">
        <f t="shared" si="210"/>
        <v>0</v>
      </c>
      <c r="CO188" s="6">
        <f t="shared" si="211"/>
        <v>0</v>
      </c>
      <c r="CP188" s="6">
        <v>0</v>
      </c>
      <c r="CQ188" s="6">
        <f t="shared" si="212"/>
        <v>0</v>
      </c>
      <c r="CR188" s="6">
        <f t="shared" si="213"/>
        <v>0</v>
      </c>
      <c r="CS188" s="6">
        <v>0</v>
      </c>
      <c r="CT188" s="6">
        <f t="shared" si="214"/>
        <v>0</v>
      </c>
      <c r="CU188" s="6">
        <f t="shared" si="215"/>
        <v>0</v>
      </c>
      <c r="CV188" s="6">
        <v>0</v>
      </c>
      <c r="CW188" s="6">
        <f t="shared" si="216"/>
        <v>0</v>
      </c>
      <c r="CX188" s="6">
        <f t="shared" si="217"/>
        <v>0</v>
      </c>
      <c r="CY188" s="6">
        <v>0</v>
      </c>
      <c r="CZ188" s="6">
        <f t="shared" si="218"/>
        <v>0</v>
      </c>
      <c r="DA188" s="6">
        <f t="shared" si="219"/>
        <v>0</v>
      </c>
      <c r="DB188" s="6">
        <v>0</v>
      </c>
      <c r="DC188" s="6">
        <f t="shared" si="220"/>
        <v>0</v>
      </c>
      <c r="DD188" s="6">
        <f t="shared" si="221"/>
        <v>0</v>
      </c>
      <c r="DE188" s="6">
        <v>0</v>
      </c>
      <c r="DF188" s="6">
        <f t="shared" si="222"/>
        <v>0</v>
      </c>
      <c r="DG188" s="6">
        <f t="shared" si="223"/>
        <v>0</v>
      </c>
      <c r="DH188" s="6">
        <v>0</v>
      </c>
      <c r="DI188" s="6">
        <f t="shared" si="224"/>
        <v>0</v>
      </c>
      <c r="DJ188" s="6">
        <f t="shared" si="225"/>
        <v>0</v>
      </c>
      <c r="DK188" s="6">
        <v>0</v>
      </c>
      <c r="DL188" s="6">
        <f t="shared" si="226"/>
        <v>0</v>
      </c>
      <c r="DM188" s="6">
        <f t="shared" si="227"/>
        <v>0</v>
      </c>
      <c r="DN188" s="6">
        <v>0</v>
      </c>
      <c r="DO188" s="6">
        <f t="shared" si="228"/>
        <v>0</v>
      </c>
      <c r="DP188" s="6">
        <f t="shared" si="229"/>
        <v>0</v>
      </c>
    </row>
    <row r="189" spans="1:120" x14ac:dyDescent="0.2">
      <c r="A189" s="21">
        <v>85</v>
      </c>
      <c r="B189" s="21" t="s">
        <v>612</v>
      </c>
      <c r="C189" s="21">
        <v>85001</v>
      </c>
      <c r="D189" s="21" t="s">
        <v>698</v>
      </c>
      <c r="E189" s="21" t="s">
        <v>551</v>
      </c>
      <c r="F189" s="22" t="s">
        <v>662</v>
      </c>
      <c r="G189" s="4" t="s">
        <v>301</v>
      </c>
      <c r="H189" s="6">
        <v>44046.6</v>
      </c>
      <c r="I189" s="6">
        <f t="shared" si="238"/>
        <v>120.67561643835616</v>
      </c>
      <c r="J189" s="6">
        <v>41307.784200000002</v>
      </c>
      <c r="K189" s="6">
        <v>53480.7</v>
      </c>
      <c r="L189" s="6">
        <f t="shared" si="236"/>
        <v>146.12213114754098</v>
      </c>
      <c r="M189" s="6">
        <v>0</v>
      </c>
      <c r="N189" s="6">
        <v>33880.79</v>
      </c>
      <c r="O189" s="6">
        <f t="shared" si="237"/>
        <v>92.824082191780818</v>
      </c>
      <c r="P189" s="6">
        <v>0</v>
      </c>
      <c r="Q189" s="6"/>
      <c r="R189" s="6"/>
      <c r="S189" s="6">
        <v>0</v>
      </c>
      <c r="T189" s="6">
        <f t="shared" si="162"/>
        <v>0</v>
      </c>
      <c r="U189" s="6">
        <f t="shared" si="163"/>
        <v>0</v>
      </c>
      <c r="V189" s="6">
        <v>0</v>
      </c>
      <c r="W189" s="6">
        <f t="shared" si="164"/>
        <v>0</v>
      </c>
      <c r="X189" s="6">
        <f t="shared" si="165"/>
        <v>0</v>
      </c>
      <c r="Y189" s="6">
        <v>0</v>
      </c>
      <c r="Z189" s="6">
        <f t="shared" si="166"/>
        <v>0</v>
      </c>
      <c r="AA189" s="6">
        <f t="shared" si="167"/>
        <v>0</v>
      </c>
      <c r="AB189" s="6">
        <v>0</v>
      </c>
      <c r="AC189" s="6">
        <f t="shared" si="168"/>
        <v>0</v>
      </c>
      <c r="AD189" s="6">
        <f t="shared" si="169"/>
        <v>0</v>
      </c>
      <c r="AE189" s="6">
        <v>0</v>
      </c>
      <c r="AF189" s="6">
        <f t="shared" si="170"/>
        <v>0</v>
      </c>
      <c r="AG189" s="6">
        <f t="shared" si="171"/>
        <v>0</v>
      </c>
      <c r="AH189" s="6">
        <v>0</v>
      </c>
      <c r="AI189" s="6">
        <f t="shared" si="172"/>
        <v>0</v>
      </c>
      <c r="AJ189" s="6">
        <f t="shared" si="173"/>
        <v>0</v>
      </c>
      <c r="AK189" s="6">
        <v>0</v>
      </c>
      <c r="AL189" s="6">
        <f t="shared" si="174"/>
        <v>0</v>
      </c>
      <c r="AM189" s="6">
        <f t="shared" si="175"/>
        <v>0</v>
      </c>
      <c r="AN189" s="6">
        <v>0</v>
      </c>
      <c r="AO189" s="6">
        <f t="shared" si="176"/>
        <v>0</v>
      </c>
      <c r="AP189" s="6">
        <f t="shared" si="177"/>
        <v>0</v>
      </c>
      <c r="AQ189" s="6">
        <v>0</v>
      </c>
      <c r="AR189" s="6">
        <f t="shared" si="178"/>
        <v>0</v>
      </c>
      <c r="AS189" s="6">
        <f t="shared" si="179"/>
        <v>0</v>
      </c>
      <c r="AT189" s="6">
        <v>0</v>
      </c>
      <c r="AU189" s="6">
        <f t="shared" si="180"/>
        <v>0</v>
      </c>
      <c r="AV189" s="6">
        <f t="shared" si="181"/>
        <v>0</v>
      </c>
      <c r="AW189" s="6">
        <v>0</v>
      </c>
      <c r="AX189" s="6">
        <f t="shared" si="182"/>
        <v>0</v>
      </c>
      <c r="AY189" s="6">
        <f t="shared" si="183"/>
        <v>0</v>
      </c>
      <c r="AZ189" s="6">
        <v>0</v>
      </c>
      <c r="BA189" s="6">
        <f t="shared" si="184"/>
        <v>0</v>
      </c>
      <c r="BB189" s="6">
        <f t="shared" si="185"/>
        <v>0</v>
      </c>
      <c r="BC189" s="6">
        <v>0</v>
      </c>
      <c r="BD189" s="6">
        <f t="shared" si="186"/>
        <v>0</v>
      </c>
      <c r="BE189" s="6">
        <f t="shared" si="187"/>
        <v>0</v>
      </c>
      <c r="BF189" s="6">
        <v>0</v>
      </c>
      <c r="BG189" s="6">
        <f t="shared" si="188"/>
        <v>0</v>
      </c>
      <c r="BH189" s="6">
        <f t="shared" si="189"/>
        <v>0</v>
      </c>
      <c r="BI189" s="6">
        <v>0</v>
      </c>
      <c r="BJ189" s="6">
        <f t="shared" si="190"/>
        <v>0</v>
      </c>
      <c r="BK189" s="6">
        <f t="shared" si="191"/>
        <v>0</v>
      </c>
      <c r="BL189" s="6">
        <v>0</v>
      </c>
      <c r="BM189" s="6">
        <f t="shared" si="192"/>
        <v>0</v>
      </c>
      <c r="BN189" s="6">
        <f t="shared" si="193"/>
        <v>0</v>
      </c>
      <c r="BO189" s="6">
        <v>0</v>
      </c>
      <c r="BP189" s="6">
        <f t="shared" si="194"/>
        <v>0</v>
      </c>
      <c r="BQ189" s="6">
        <f t="shared" si="195"/>
        <v>0</v>
      </c>
      <c r="BR189" s="6">
        <v>0</v>
      </c>
      <c r="BS189" s="6">
        <f t="shared" si="196"/>
        <v>0</v>
      </c>
      <c r="BT189" s="6">
        <f t="shared" si="197"/>
        <v>0</v>
      </c>
      <c r="BU189" s="6">
        <v>0</v>
      </c>
      <c r="BV189" s="6">
        <f t="shared" si="198"/>
        <v>0</v>
      </c>
      <c r="BW189" s="6">
        <f t="shared" si="199"/>
        <v>0</v>
      </c>
      <c r="BX189" s="6">
        <v>0</v>
      </c>
      <c r="BY189" s="6">
        <f t="shared" si="200"/>
        <v>0</v>
      </c>
      <c r="BZ189" s="6">
        <f t="shared" si="201"/>
        <v>0</v>
      </c>
      <c r="CA189" s="6">
        <v>0</v>
      </c>
      <c r="CB189" s="6">
        <f t="shared" si="202"/>
        <v>0</v>
      </c>
      <c r="CC189" s="6">
        <f t="shared" si="203"/>
        <v>0</v>
      </c>
      <c r="CD189" s="6">
        <v>0</v>
      </c>
      <c r="CE189" s="6">
        <f t="shared" si="204"/>
        <v>0</v>
      </c>
      <c r="CF189" s="6">
        <f t="shared" si="205"/>
        <v>0</v>
      </c>
      <c r="CG189" s="6">
        <v>0</v>
      </c>
      <c r="CH189" s="6">
        <f t="shared" si="206"/>
        <v>0</v>
      </c>
      <c r="CI189" s="6">
        <f t="shared" si="207"/>
        <v>0</v>
      </c>
      <c r="CJ189" s="6">
        <v>0</v>
      </c>
      <c r="CK189" s="6">
        <f t="shared" si="208"/>
        <v>0</v>
      </c>
      <c r="CL189" s="6">
        <f t="shared" si="209"/>
        <v>0</v>
      </c>
      <c r="CM189" s="6">
        <v>0</v>
      </c>
      <c r="CN189" s="6">
        <f t="shared" si="210"/>
        <v>0</v>
      </c>
      <c r="CO189" s="6">
        <f t="shared" si="211"/>
        <v>0</v>
      </c>
      <c r="CP189" s="6">
        <v>0</v>
      </c>
      <c r="CQ189" s="6">
        <f t="shared" si="212"/>
        <v>0</v>
      </c>
      <c r="CR189" s="6">
        <f t="shared" si="213"/>
        <v>0</v>
      </c>
      <c r="CS189" s="6">
        <v>0</v>
      </c>
      <c r="CT189" s="6">
        <f t="shared" si="214"/>
        <v>0</v>
      </c>
      <c r="CU189" s="6">
        <f t="shared" si="215"/>
        <v>0</v>
      </c>
      <c r="CV189" s="6">
        <v>0</v>
      </c>
      <c r="CW189" s="6">
        <f t="shared" si="216"/>
        <v>0</v>
      </c>
      <c r="CX189" s="6">
        <f t="shared" si="217"/>
        <v>0</v>
      </c>
      <c r="CY189" s="6">
        <v>0</v>
      </c>
      <c r="CZ189" s="6">
        <f t="shared" si="218"/>
        <v>0</v>
      </c>
      <c r="DA189" s="6">
        <f t="shared" si="219"/>
        <v>0</v>
      </c>
      <c r="DB189" s="6">
        <v>0</v>
      </c>
      <c r="DC189" s="6">
        <f t="shared" si="220"/>
        <v>0</v>
      </c>
      <c r="DD189" s="6">
        <f t="shared" si="221"/>
        <v>0</v>
      </c>
      <c r="DE189" s="6">
        <v>0</v>
      </c>
      <c r="DF189" s="6">
        <f t="shared" si="222"/>
        <v>0</v>
      </c>
      <c r="DG189" s="6">
        <f t="shared" si="223"/>
        <v>0</v>
      </c>
      <c r="DH189" s="6">
        <v>0</v>
      </c>
      <c r="DI189" s="6">
        <f t="shared" si="224"/>
        <v>0</v>
      </c>
      <c r="DJ189" s="6">
        <f t="shared" si="225"/>
        <v>0</v>
      </c>
      <c r="DK189" s="6">
        <v>0</v>
      </c>
      <c r="DL189" s="6">
        <f t="shared" si="226"/>
        <v>0</v>
      </c>
      <c r="DM189" s="6">
        <f t="shared" si="227"/>
        <v>0</v>
      </c>
      <c r="DN189" s="6">
        <v>0</v>
      </c>
      <c r="DO189" s="6">
        <f t="shared" si="228"/>
        <v>0</v>
      </c>
      <c r="DP189" s="6">
        <f t="shared" si="229"/>
        <v>0</v>
      </c>
    </row>
    <row r="190" spans="1:120" x14ac:dyDescent="0.2">
      <c r="A190" s="21">
        <v>81</v>
      </c>
      <c r="B190" s="21" t="s">
        <v>132</v>
      </c>
      <c r="C190" s="21">
        <v>81001</v>
      </c>
      <c r="D190" s="21" t="s">
        <v>132</v>
      </c>
      <c r="E190" s="21" t="s">
        <v>683</v>
      </c>
      <c r="F190" s="22" t="s">
        <v>662</v>
      </c>
      <c r="G190" s="4" t="s">
        <v>302</v>
      </c>
      <c r="H190" s="6">
        <v>54587.35</v>
      </c>
      <c r="I190" s="6">
        <f t="shared" si="238"/>
        <v>149.55438356164385</v>
      </c>
      <c r="J190" s="6">
        <v>38312.172500000001</v>
      </c>
      <c r="K190" s="6">
        <v>32099.79</v>
      </c>
      <c r="L190" s="6">
        <f t="shared" si="236"/>
        <v>87.704344262295081</v>
      </c>
      <c r="M190" s="6">
        <v>26737.942599999998</v>
      </c>
      <c r="N190" s="6">
        <v>23948.27</v>
      </c>
      <c r="O190" s="6">
        <f t="shared" si="237"/>
        <v>65.611698630136985</v>
      </c>
      <c r="P190" s="6">
        <v>18721</v>
      </c>
      <c r="Q190" s="6">
        <v>9789.0400000000009</v>
      </c>
      <c r="R190" s="6">
        <f>Q190/181</f>
        <v>54.08309392265194</v>
      </c>
      <c r="S190" s="6">
        <v>13108</v>
      </c>
      <c r="T190" s="6">
        <f t="shared" si="162"/>
        <v>13108</v>
      </c>
      <c r="U190" s="6">
        <f t="shared" si="163"/>
        <v>35.912328767123284</v>
      </c>
      <c r="V190" s="6">
        <v>781</v>
      </c>
      <c r="W190" s="6">
        <f t="shared" si="164"/>
        <v>781</v>
      </c>
      <c r="X190" s="6">
        <f t="shared" si="165"/>
        <v>2.1397260273972605</v>
      </c>
      <c r="Y190" s="6">
        <v>0</v>
      </c>
      <c r="Z190" s="6">
        <f t="shared" si="166"/>
        <v>0</v>
      </c>
      <c r="AA190" s="6">
        <f t="shared" si="167"/>
        <v>0</v>
      </c>
      <c r="AB190" s="6">
        <v>0</v>
      </c>
      <c r="AC190" s="6">
        <f t="shared" si="168"/>
        <v>0</v>
      </c>
      <c r="AD190" s="6">
        <f t="shared" si="169"/>
        <v>0</v>
      </c>
      <c r="AE190" s="6">
        <v>0</v>
      </c>
      <c r="AF190" s="6">
        <f t="shared" si="170"/>
        <v>0</v>
      </c>
      <c r="AG190" s="6">
        <f t="shared" si="171"/>
        <v>0</v>
      </c>
      <c r="AH190" s="6">
        <v>0</v>
      </c>
      <c r="AI190" s="6">
        <f t="shared" si="172"/>
        <v>0</v>
      </c>
      <c r="AJ190" s="6">
        <f t="shared" si="173"/>
        <v>0</v>
      </c>
      <c r="AK190" s="6">
        <v>0</v>
      </c>
      <c r="AL190" s="6">
        <f t="shared" si="174"/>
        <v>0</v>
      </c>
      <c r="AM190" s="6">
        <f t="shared" si="175"/>
        <v>0</v>
      </c>
      <c r="AN190" s="6">
        <v>0</v>
      </c>
      <c r="AO190" s="6">
        <f t="shared" si="176"/>
        <v>0</v>
      </c>
      <c r="AP190" s="6">
        <f t="shared" si="177"/>
        <v>0</v>
      </c>
      <c r="AQ190" s="6">
        <v>0</v>
      </c>
      <c r="AR190" s="6">
        <f t="shared" si="178"/>
        <v>0</v>
      </c>
      <c r="AS190" s="6">
        <f t="shared" si="179"/>
        <v>0</v>
      </c>
      <c r="AT190" s="6">
        <v>0</v>
      </c>
      <c r="AU190" s="6">
        <f t="shared" si="180"/>
        <v>0</v>
      </c>
      <c r="AV190" s="6">
        <f t="shared" si="181"/>
        <v>0</v>
      </c>
      <c r="AW190" s="6">
        <v>0</v>
      </c>
      <c r="AX190" s="6">
        <f t="shared" si="182"/>
        <v>0</v>
      </c>
      <c r="AY190" s="6">
        <f t="shared" si="183"/>
        <v>0</v>
      </c>
      <c r="AZ190" s="6">
        <v>0</v>
      </c>
      <c r="BA190" s="6">
        <f t="shared" si="184"/>
        <v>0</v>
      </c>
      <c r="BB190" s="6">
        <f t="shared" si="185"/>
        <v>0</v>
      </c>
      <c r="BC190" s="6">
        <v>0</v>
      </c>
      <c r="BD190" s="6">
        <f t="shared" si="186"/>
        <v>0</v>
      </c>
      <c r="BE190" s="6">
        <f t="shared" si="187"/>
        <v>0</v>
      </c>
      <c r="BF190" s="6">
        <v>0</v>
      </c>
      <c r="BG190" s="6">
        <f t="shared" si="188"/>
        <v>0</v>
      </c>
      <c r="BH190" s="6">
        <f t="shared" si="189"/>
        <v>0</v>
      </c>
      <c r="BI190" s="6">
        <v>0</v>
      </c>
      <c r="BJ190" s="6">
        <f t="shared" si="190"/>
        <v>0</v>
      </c>
      <c r="BK190" s="6">
        <f t="shared" si="191"/>
        <v>0</v>
      </c>
      <c r="BL190" s="6">
        <v>0</v>
      </c>
      <c r="BM190" s="6">
        <f t="shared" si="192"/>
        <v>0</v>
      </c>
      <c r="BN190" s="6">
        <f t="shared" si="193"/>
        <v>0</v>
      </c>
      <c r="BO190" s="6">
        <v>0</v>
      </c>
      <c r="BP190" s="6">
        <f t="shared" si="194"/>
        <v>0</v>
      </c>
      <c r="BQ190" s="6">
        <f t="shared" si="195"/>
        <v>0</v>
      </c>
      <c r="BR190" s="6">
        <v>0</v>
      </c>
      <c r="BS190" s="6">
        <f t="shared" si="196"/>
        <v>0</v>
      </c>
      <c r="BT190" s="6">
        <f t="shared" si="197"/>
        <v>0</v>
      </c>
      <c r="BU190" s="6">
        <v>0</v>
      </c>
      <c r="BV190" s="6">
        <f t="shared" si="198"/>
        <v>0</v>
      </c>
      <c r="BW190" s="6">
        <f t="shared" si="199"/>
        <v>0</v>
      </c>
      <c r="BX190" s="6">
        <v>0</v>
      </c>
      <c r="BY190" s="6">
        <f t="shared" si="200"/>
        <v>0</v>
      </c>
      <c r="BZ190" s="6">
        <f t="shared" si="201"/>
        <v>0</v>
      </c>
      <c r="CA190" s="6">
        <v>0</v>
      </c>
      <c r="CB190" s="6">
        <f t="shared" si="202"/>
        <v>0</v>
      </c>
      <c r="CC190" s="6">
        <f t="shared" si="203"/>
        <v>0</v>
      </c>
      <c r="CD190" s="6">
        <v>0</v>
      </c>
      <c r="CE190" s="6">
        <f t="shared" si="204"/>
        <v>0</v>
      </c>
      <c r="CF190" s="6">
        <f t="shared" si="205"/>
        <v>0</v>
      </c>
      <c r="CG190" s="6">
        <v>0</v>
      </c>
      <c r="CH190" s="6">
        <f t="shared" si="206"/>
        <v>0</v>
      </c>
      <c r="CI190" s="6">
        <f t="shared" si="207"/>
        <v>0</v>
      </c>
      <c r="CJ190" s="6">
        <v>0</v>
      </c>
      <c r="CK190" s="6">
        <f t="shared" si="208"/>
        <v>0</v>
      </c>
      <c r="CL190" s="6">
        <f t="shared" si="209"/>
        <v>0</v>
      </c>
      <c r="CM190" s="6">
        <v>0</v>
      </c>
      <c r="CN190" s="6">
        <f t="shared" si="210"/>
        <v>0</v>
      </c>
      <c r="CO190" s="6">
        <f t="shared" si="211"/>
        <v>0</v>
      </c>
      <c r="CP190" s="6">
        <v>0</v>
      </c>
      <c r="CQ190" s="6">
        <f t="shared" si="212"/>
        <v>0</v>
      </c>
      <c r="CR190" s="6">
        <f t="shared" si="213"/>
        <v>0</v>
      </c>
      <c r="CS190" s="6">
        <v>0</v>
      </c>
      <c r="CT190" s="6">
        <f t="shared" si="214"/>
        <v>0</v>
      </c>
      <c r="CU190" s="6">
        <f t="shared" si="215"/>
        <v>0</v>
      </c>
      <c r="CV190" s="6">
        <v>0</v>
      </c>
      <c r="CW190" s="6">
        <f t="shared" si="216"/>
        <v>0</v>
      </c>
      <c r="CX190" s="6">
        <f t="shared" si="217"/>
        <v>0</v>
      </c>
      <c r="CY190" s="6">
        <v>0</v>
      </c>
      <c r="CZ190" s="6">
        <f t="shared" si="218"/>
        <v>0</v>
      </c>
      <c r="DA190" s="6">
        <f t="shared" si="219"/>
        <v>0</v>
      </c>
      <c r="DB190" s="6">
        <v>0</v>
      </c>
      <c r="DC190" s="6">
        <f t="shared" si="220"/>
        <v>0</v>
      </c>
      <c r="DD190" s="6">
        <f t="shared" si="221"/>
        <v>0</v>
      </c>
      <c r="DE190" s="6">
        <v>0</v>
      </c>
      <c r="DF190" s="6">
        <f t="shared" si="222"/>
        <v>0</v>
      </c>
      <c r="DG190" s="6">
        <f t="shared" si="223"/>
        <v>0</v>
      </c>
      <c r="DH190" s="6">
        <v>0</v>
      </c>
      <c r="DI190" s="6">
        <f t="shared" si="224"/>
        <v>0</v>
      </c>
      <c r="DJ190" s="6">
        <f t="shared" si="225"/>
        <v>0</v>
      </c>
      <c r="DK190" s="6">
        <v>0</v>
      </c>
      <c r="DL190" s="6">
        <f t="shared" si="226"/>
        <v>0</v>
      </c>
      <c r="DM190" s="6">
        <f t="shared" si="227"/>
        <v>0</v>
      </c>
      <c r="DN190" s="6">
        <v>0</v>
      </c>
      <c r="DO190" s="6">
        <f t="shared" si="228"/>
        <v>0</v>
      </c>
      <c r="DP190" s="6">
        <f t="shared" si="229"/>
        <v>0</v>
      </c>
    </row>
    <row r="191" spans="1:120" x14ac:dyDescent="0.2">
      <c r="A191" s="21">
        <v>70</v>
      </c>
      <c r="B191" s="21" t="s">
        <v>696</v>
      </c>
      <c r="C191" s="21">
        <v>70508</v>
      </c>
      <c r="D191" s="21" t="s">
        <v>697</v>
      </c>
      <c r="E191" s="21" t="s">
        <v>575</v>
      </c>
      <c r="F191" s="22" t="s">
        <v>669</v>
      </c>
      <c r="G191" s="4" t="s">
        <v>303</v>
      </c>
      <c r="H191" s="6">
        <v>7755.26</v>
      </c>
      <c r="I191" s="6">
        <f t="shared" si="238"/>
        <v>21.247287671232876</v>
      </c>
      <c r="J191" s="6">
        <v>8713</v>
      </c>
      <c r="K191" s="6">
        <v>6083.99</v>
      </c>
      <c r="L191" s="6">
        <f t="shared" si="236"/>
        <v>16.62292349726776</v>
      </c>
      <c r="M191" s="6">
        <v>8687</v>
      </c>
      <c r="N191" s="6">
        <v>4799.38</v>
      </c>
      <c r="O191" s="6">
        <f t="shared" si="237"/>
        <v>13.148986301369863</v>
      </c>
      <c r="P191" s="6">
        <v>8389</v>
      </c>
      <c r="Q191" s="6">
        <v>1700.84</v>
      </c>
      <c r="R191" s="6">
        <f>Q191/181</f>
        <v>9.3969060773480653</v>
      </c>
      <c r="S191" s="6">
        <v>7167</v>
      </c>
      <c r="T191" s="6">
        <f t="shared" si="162"/>
        <v>7167</v>
      </c>
      <c r="U191" s="6">
        <f t="shared" si="163"/>
        <v>19.635616438356163</v>
      </c>
      <c r="V191" s="6">
        <v>4777</v>
      </c>
      <c r="W191" s="6">
        <f t="shared" si="164"/>
        <v>4777</v>
      </c>
      <c r="X191" s="6">
        <f t="shared" si="165"/>
        <v>13.087671232876712</v>
      </c>
      <c r="Y191" s="6">
        <v>3024</v>
      </c>
      <c r="Z191" s="6">
        <f t="shared" si="166"/>
        <v>3024</v>
      </c>
      <c r="AA191" s="6">
        <f t="shared" si="167"/>
        <v>8.2849315068493148</v>
      </c>
      <c r="AB191" s="6">
        <v>2009</v>
      </c>
      <c r="AC191" s="6">
        <f t="shared" si="168"/>
        <v>2009</v>
      </c>
      <c r="AD191" s="6">
        <f t="shared" si="169"/>
        <v>5.5041095890410956</v>
      </c>
      <c r="AE191" s="6">
        <v>1379</v>
      </c>
      <c r="AF191" s="6">
        <f t="shared" si="170"/>
        <v>1379</v>
      </c>
      <c r="AG191" s="6">
        <f t="shared" si="171"/>
        <v>3.7780821917808218</v>
      </c>
      <c r="AH191" s="6">
        <v>965</v>
      </c>
      <c r="AI191" s="6">
        <f t="shared" si="172"/>
        <v>965</v>
      </c>
      <c r="AJ191" s="6">
        <f t="shared" si="173"/>
        <v>2.6438356164383561</v>
      </c>
      <c r="AK191" s="6">
        <v>0</v>
      </c>
      <c r="AL191" s="6">
        <f t="shared" si="174"/>
        <v>0</v>
      </c>
      <c r="AM191" s="6">
        <f t="shared" si="175"/>
        <v>0</v>
      </c>
      <c r="AN191" s="6">
        <v>0</v>
      </c>
      <c r="AO191" s="6">
        <f t="shared" si="176"/>
        <v>0</v>
      </c>
      <c r="AP191" s="6">
        <f t="shared" si="177"/>
        <v>0</v>
      </c>
      <c r="AQ191" s="6">
        <v>0</v>
      </c>
      <c r="AR191" s="6">
        <f t="shared" si="178"/>
        <v>0</v>
      </c>
      <c r="AS191" s="6">
        <f t="shared" si="179"/>
        <v>0</v>
      </c>
      <c r="AT191" s="6">
        <v>0</v>
      </c>
      <c r="AU191" s="6">
        <f t="shared" si="180"/>
        <v>0</v>
      </c>
      <c r="AV191" s="6">
        <f t="shared" si="181"/>
        <v>0</v>
      </c>
      <c r="AW191" s="6">
        <v>0</v>
      </c>
      <c r="AX191" s="6">
        <f t="shared" si="182"/>
        <v>0</v>
      </c>
      <c r="AY191" s="6">
        <f t="shared" si="183"/>
        <v>0</v>
      </c>
      <c r="AZ191" s="6">
        <v>0</v>
      </c>
      <c r="BA191" s="6">
        <f t="shared" si="184"/>
        <v>0</v>
      </c>
      <c r="BB191" s="6">
        <f t="shared" si="185"/>
        <v>0</v>
      </c>
      <c r="BC191" s="6">
        <v>0</v>
      </c>
      <c r="BD191" s="6">
        <f t="shared" si="186"/>
        <v>0</v>
      </c>
      <c r="BE191" s="6">
        <f t="shared" si="187"/>
        <v>0</v>
      </c>
      <c r="BF191" s="6">
        <v>0</v>
      </c>
      <c r="BG191" s="6">
        <f t="shared" si="188"/>
        <v>0</v>
      </c>
      <c r="BH191" s="6">
        <f t="shared" si="189"/>
        <v>0</v>
      </c>
      <c r="BI191" s="6">
        <v>0</v>
      </c>
      <c r="BJ191" s="6">
        <f t="shared" si="190"/>
        <v>0</v>
      </c>
      <c r="BK191" s="6">
        <f t="shared" si="191"/>
        <v>0</v>
      </c>
      <c r="BL191" s="6">
        <v>0</v>
      </c>
      <c r="BM191" s="6">
        <f t="shared" si="192"/>
        <v>0</v>
      </c>
      <c r="BN191" s="6">
        <f t="shared" si="193"/>
        <v>0</v>
      </c>
      <c r="BO191" s="6">
        <v>0</v>
      </c>
      <c r="BP191" s="6">
        <f t="shared" si="194"/>
        <v>0</v>
      </c>
      <c r="BQ191" s="6">
        <f t="shared" si="195"/>
        <v>0</v>
      </c>
      <c r="BR191" s="6">
        <v>0</v>
      </c>
      <c r="BS191" s="6">
        <f t="shared" si="196"/>
        <v>0</v>
      </c>
      <c r="BT191" s="6">
        <f t="shared" si="197"/>
        <v>0</v>
      </c>
      <c r="BU191" s="6">
        <v>0</v>
      </c>
      <c r="BV191" s="6">
        <f t="shared" si="198"/>
        <v>0</v>
      </c>
      <c r="BW191" s="6">
        <f t="shared" si="199"/>
        <v>0</v>
      </c>
      <c r="BX191" s="6">
        <v>0</v>
      </c>
      <c r="BY191" s="6">
        <f t="shared" si="200"/>
        <v>0</v>
      </c>
      <c r="BZ191" s="6">
        <f t="shared" si="201"/>
        <v>0</v>
      </c>
      <c r="CA191" s="6">
        <v>0</v>
      </c>
      <c r="CB191" s="6">
        <f t="shared" si="202"/>
        <v>0</v>
      </c>
      <c r="CC191" s="6">
        <f t="shared" si="203"/>
        <v>0</v>
      </c>
      <c r="CD191" s="6">
        <v>0</v>
      </c>
      <c r="CE191" s="6">
        <f t="shared" si="204"/>
        <v>0</v>
      </c>
      <c r="CF191" s="6">
        <f t="shared" si="205"/>
        <v>0</v>
      </c>
      <c r="CG191" s="6">
        <v>0</v>
      </c>
      <c r="CH191" s="6">
        <f t="shared" si="206"/>
        <v>0</v>
      </c>
      <c r="CI191" s="6">
        <f t="shared" si="207"/>
        <v>0</v>
      </c>
      <c r="CJ191" s="6">
        <v>0</v>
      </c>
      <c r="CK191" s="6">
        <f t="shared" si="208"/>
        <v>0</v>
      </c>
      <c r="CL191" s="6">
        <f t="shared" si="209"/>
        <v>0</v>
      </c>
      <c r="CM191" s="6">
        <v>0</v>
      </c>
      <c r="CN191" s="6">
        <f t="shared" si="210"/>
        <v>0</v>
      </c>
      <c r="CO191" s="6">
        <f t="shared" si="211"/>
        <v>0</v>
      </c>
      <c r="CP191" s="6">
        <v>0</v>
      </c>
      <c r="CQ191" s="6">
        <f t="shared" si="212"/>
        <v>0</v>
      </c>
      <c r="CR191" s="6">
        <f t="shared" si="213"/>
        <v>0</v>
      </c>
      <c r="CS191" s="6">
        <v>0</v>
      </c>
      <c r="CT191" s="6">
        <f t="shared" si="214"/>
        <v>0</v>
      </c>
      <c r="CU191" s="6">
        <f t="shared" si="215"/>
        <v>0</v>
      </c>
      <c r="CV191" s="6">
        <v>0</v>
      </c>
      <c r="CW191" s="6">
        <f t="shared" si="216"/>
        <v>0</v>
      </c>
      <c r="CX191" s="6">
        <f t="shared" si="217"/>
        <v>0</v>
      </c>
      <c r="CY191" s="6">
        <v>0</v>
      </c>
      <c r="CZ191" s="6">
        <f t="shared" si="218"/>
        <v>0</v>
      </c>
      <c r="DA191" s="6">
        <f t="shared" si="219"/>
        <v>0</v>
      </c>
      <c r="DB191" s="6">
        <v>0</v>
      </c>
      <c r="DC191" s="6">
        <f t="shared" si="220"/>
        <v>0</v>
      </c>
      <c r="DD191" s="6">
        <f t="shared" si="221"/>
        <v>0</v>
      </c>
      <c r="DE191" s="6">
        <v>0</v>
      </c>
      <c r="DF191" s="6">
        <f t="shared" si="222"/>
        <v>0</v>
      </c>
      <c r="DG191" s="6">
        <f t="shared" si="223"/>
        <v>0</v>
      </c>
      <c r="DH191" s="6">
        <v>0</v>
      </c>
      <c r="DI191" s="6">
        <f t="shared" si="224"/>
        <v>0</v>
      </c>
      <c r="DJ191" s="6">
        <f t="shared" si="225"/>
        <v>0</v>
      </c>
      <c r="DK191" s="6">
        <v>0</v>
      </c>
      <c r="DL191" s="6">
        <f t="shared" si="226"/>
        <v>0</v>
      </c>
      <c r="DM191" s="6">
        <f t="shared" si="227"/>
        <v>0</v>
      </c>
      <c r="DN191" s="6">
        <v>0</v>
      </c>
      <c r="DO191" s="6">
        <f t="shared" si="228"/>
        <v>0</v>
      </c>
      <c r="DP191" s="6">
        <f t="shared" si="229"/>
        <v>0</v>
      </c>
    </row>
    <row r="192" spans="1:120" x14ac:dyDescent="0.2">
      <c r="A192" s="21">
        <v>73</v>
      </c>
      <c r="B192" s="21" t="s">
        <v>582</v>
      </c>
      <c r="C192" s="21">
        <v>73547</v>
      </c>
      <c r="D192" s="21" t="s">
        <v>678</v>
      </c>
      <c r="E192" s="21" t="s">
        <v>679</v>
      </c>
      <c r="F192" s="22" t="s">
        <v>662</v>
      </c>
      <c r="G192" s="4" t="s">
        <v>304</v>
      </c>
      <c r="H192" s="6">
        <v>105930.68</v>
      </c>
      <c r="I192" s="6">
        <f t="shared" si="238"/>
        <v>290.22104109589037</v>
      </c>
      <c r="J192" s="6">
        <v>109066.91</v>
      </c>
      <c r="K192" s="6">
        <v>84497.94</v>
      </c>
      <c r="L192" s="6">
        <f t="shared" si="236"/>
        <v>230.86868852459017</v>
      </c>
      <c r="M192" s="6">
        <v>91454.28</v>
      </c>
      <c r="N192" s="6">
        <v>84350.43</v>
      </c>
      <c r="O192" s="6">
        <f t="shared" si="237"/>
        <v>231.09706849315066</v>
      </c>
      <c r="P192" s="6">
        <v>76605.320000000007</v>
      </c>
      <c r="Q192" s="6">
        <v>38276.67</v>
      </c>
      <c r="R192" s="6">
        <f>Q192/181</f>
        <v>211.47331491712706</v>
      </c>
      <c r="S192" s="6">
        <v>61293.57</v>
      </c>
      <c r="T192" s="6">
        <f t="shared" si="162"/>
        <v>61293.57</v>
      </c>
      <c r="U192" s="6">
        <f t="shared" si="163"/>
        <v>167.9275890410959</v>
      </c>
      <c r="V192" s="6">
        <v>45225.17</v>
      </c>
      <c r="W192" s="6">
        <f t="shared" si="164"/>
        <v>45225.17</v>
      </c>
      <c r="X192" s="6">
        <f t="shared" si="165"/>
        <v>123.90457534246575</v>
      </c>
      <c r="Y192" s="6">
        <v>0</v>
      </c>
      <c r="Z192" s="6">
        <f t="shared" si="166"/>
        <v>0</v>
      </c>
      <c r="AA192" s="6">
        <f t="shared" si="167"/>
        <v>0</v>
      </c>
      <c r="AB192" s="6">
        <v>0</v>
      </c>
      <c r="AC192" s="6">
        <f t="shared" si="168"/>
        <v>0</v>
      </c>
      <c r="AD192" s="6">
        <f t="shared" si="169"/>
        <v>0</v>
      </c>
      <c r="AE192" s="6">
        <v>0</v>
      </c>
      <c r="AF192" s="6">
        <f t="shared" si="170"/>
        <v>0</v>
      </c>
      <c r="AG192" s="6">
        <f t="shared" si="171"/>
        <v>0</v>
      </c>
      <c r="AH192" s="6">
        <v>0</v>
      </c>
      <c r="AI192" s="6">
        <f t="shared" si="172"/>
        <v>0</v>
      </c>
      <c r="AJ192" s="6">
        <f t="shared" si="173"/>
        <v>0</v>
      </c>
      <c r="AK192" s="6">
        <v>0</v>
      </c>
      <c r="AL192" s="6">
        <f t="shared" si="174"/>
        <v>0</v>
      </c>
      <c r="AM192" s="6">
        <f t="shared" si="175"/>
        <v>0</v>
      </c>
      <c r="AN192" s="6">
        <v>0</v>
      </c>
      <c r="AO192" s="6">
        <f t="shared" si="176"/>
        <v>0</v>
      </c>
      <c r="AP192" s="6">
        <f t="shared" si="177"/>
        <v>0</v>
      </c>
      <c r="AQ192" s="6">
        <v>0</v>
      </c>
      <c r="AR192" s="6">
        <f t="shared" si="178"/>
        <v>0</v>
      </c>
      <c r="AS192" s="6">
        <f t="shared" si="179"/>
        <v>0</v>
      </c>
      <c r="AT192" s="6">
        <v>0</v>
      </c>
      <c r="AU192" s="6">
        <f t="shared" si="180"/>
        <v>0</v>
      </c>
      <c r="AV192" s="6">
        <f t="shared" si="181"/>
        <v>0</v>
      </c>
      <c r="AW192" s="6">
        <v>0</v>
      </c>
      <c r="AX192" s="6">
        <f t="shared" si="182"/>
        <v>0</v>
      </c>
      <c r="AY192" s="6">
        <f t="shared" si="183"/>
        <v>0</v>
      </c>
      <c r="AZ192" s="6">
        <v>0</v>
      </c>
      <c r="BA192" s="6">
        <f t="shared" si="184"/>
        <v>0</v>
      </c>
      <c r="BB192" s="6">
        <f t="shared" si="185"/>
        <v>0</v>
      </c>
      <c r="BC192" s="6">
        <v>0</v>
      </c>
      <c r="BD192" s="6">
        <f t="shared" si="186"/>
        <v>0</v>
      </c>
      <c r="BE192" s="6">
        <f t="shared" si="187"/>
        <v>0</v>
      </c>
      <c r="BF192" s="6">
        <v>0</v>
      </c>
      <c r="BG192" s="6">
        <f t="shared" si="188"/>
        <v>0</v>
      </c>
      <c r="BH192" s="6">
        <f t="shared" si="189"/>
        <v>0</v>
      </c>
      <c r="BI192" s="6">
        <v>0</v>
      </c>
      <c r="BJ192" s="6">
        <f t="shared" si="190"/>
        <v>0</v>
      </c>
      <c r="BK192" s="6">
        <f t="shared" si="191"/>
        <v>0</v>
      </c>
      <c r="BL192" s="6">
        <v>0</v>
      </c>
      <c r="BM192" s="6">
        <f t="shared" si="192"/>
        <v>0</v>
      </c>
      <c r="BN192" s="6">
        <f t="shared" si="193"/>
        <v>0</v>
      </c>
      <c r="BO192" s="6">
        <v>0</v>
      </c>
      <c r="BP192" s="6">
        <f t="shared" si="194"/>
        <v>0</v>
      </c>
      <c r="BQ192" s="6">
        <f t="shared" si="195"/>
        <v>0</v>
      </c>
      <c r="BR192" s="6">
        <v>0</v>
      </c>
      <c r="BS192" s="6">
        <f t="shared" si="196"/>
        <v>0</v>
      </c>
      <c r="BT192" s="6">
        <f t="shared" si="197"/>
        <v>0</v>
      </c>
      <c r="BU192" s="6">
        <v>0</v>
      </c>
      <c r="BV192" s="6">
        <f t="shared" si="198"/>
        <v>0</v>
      </c>
      <c r="BW192" s="6">
        <f t="shared" si="199"/>
        <v>0</v>
      </c>
      <c r="BX192" s="6">
        <v>0</v>
      </c>
      <c r="BY192" s="6">
        <f t="shared" si="200"/>
        <v>0</v>
      </c>
      <c r="BZ192" s="6">
        <f t="shared" si="201"/>
        <v>0</v>
      </c>
      <c r="CA192" s="6">
        <v>0</v>
      </c>
      <c r="CB192" s="6">
        <f t="shared" si="202"/>
        <v>0</v>
      </c>
      <c r="CC192" s="6">
        <f t="shared" si="203"/>
        <v>0</v>
      </c>
      <c r="CD192" s="6">
        <v>0</v>
      </c>
      <c r="CE192" s="6">
        <f t="shared" si="204"/>
        <v>0</v>
      </c>
      <c r="CF192" s="6">
        <f t="shared" si="205"/>
        <v>0</v>
      </c>
      <c r="CG192" s="6">
        <v>0</v>
      </c>
      <c r="CH192" s="6">
        <f t="shared" si="206"/>
        <v>0</v>
      </c>
      <c r="CI192" s="6">
        <f t="shared" si="207"/>
        <v>0</v>
      </c>
      <c r="CJ192" s="6">
        <v>0</v>
      </c>
      <c r="CK192" s="6">
        <f t="shared" si="208"/>
        <v>0</v>
      </c>
      <c r="CL192" s="6">
        <f t="shared" si="209"/>
        <v>0</v>
      </c>
      <c r="CM192" s="6">
        <v>0</v>
      </c>
      <c r="CN192" s="6">
        <f t="shared" si="210"/>
        <v>0</v>
      </c>
      <c r="CO192" s="6">
        <f t="shared" si="211"/>
        <v>0</v>
      </c>
      <c r="CP192" s="6">
        <v>0</v>
      </c>
      <c r="CQ192" s="6">
        <f t="shared" si="212"/>
        <v>0</v>
      </c>
      <c r="CR192" s="6">
        <f t="shared" si="213"/>
        <v>0</v>
      </c>
      <c r="CS192" s="6">
        <v>0</v>
      </c>
      <c r="CT192" s="6">
        <f t="shared" si="214"/>
        <v>0</v>
      </c>
      <c r="CU192" s="6">
        <f t="shared" si="215"/>
        <v>0</v>
      </c>
      <c r="CV192" s="6">
        <v>0</v>
      </c>
      <c r="CW192" s="6">
        <f t="shared" si="216"/>
        <v>0</v>
      </c>
      <c r="CX192" s="6">
        <f t="shared" si="217"/>
        <v>0</v>
      </c>
      <c r="CY192" s="6">
        <v>0</v>
      </c>
      <c r="CZ192" s="6">
        <f t="shared" si="218"/>
        <v>0</v>
      </c>
      <c r="DA192" s="6">
        <f t="shared" si="219"/>
        <v>0</v>
      </c>
      <c r="DB192" s="6">
        <v>0</v>
      </c>
      <c r="DC192" s="6">
        <f t="shared" si="220"/>
        <v>0</v>
      </c>
      <c r="DD192" s="6">
        <f t="shared" si="221"/>
        <v>0</v>
      </c>
      <c r="DE192" s="6">
        <v>0</v>
      </c>
      <c r="DF192" s="6">
        <f t="shared" si="222"/>
        <v>0</v>
      </c>
      <c r="DG192" s="6">
        <f t="shared" si="223"/>
        <v>0</v>
      </c>
      <c r="DH192" s="6">
        <v>0</v>
      </c>
      <c r="DI192" s="6">
        <f t="shared" si="224"/>
        <v>0</v>
      </c>
      <c r="DJ192" s="6">
        <f t="shared" si="225"/>
        <v>0</v>
      </c>
      <c r="DK192" s="6">
        <v>0</v>
      </c>
      <c r="DL192" s="6">
        <f t="shared" si="226"/>
        <v>0</v>
      </c>
      <c r="DM192" s="6">
        <f t="shared" si="227"/>
        <v>0</v>
      </c>
      <c r="DN192" s="6">
        <v>0</v>
      </c>
      <c r="DO192" s="6">
        <f t="shared" si="228"/>
        <v>0</v>
      </c>
      <c r="DP192" s="6">
        <f t="shared" si="229"/>
        <v>0</v>
      </c>
    </row>
    <row r="193" spans="1:120" x14ac:dyDescent="0.2">
      <c r="A193" s="21">
        <v>86</v>
      </c>
      <c r="B193" s="21" t="s">
        <v>664</v>
      </c>
      <c r="C193" s="21">
        <v>86569</v>
      </c>
      <c r="D193" s="21" t="s">
        <v>737</v>
      </c>
      <c r="E193" s="21" t="s">
        <v>522</v>
      </c>
      <c r="F193" s="22" t="s">
        <v>666</v>
      </c>
      <c r="G193" s="4" t="s">
        <v>305</v>
      </c>
      <c r="H193" s="6">
        <v>86655.1</v>
      </c>
      <c r="I193" s="6">
        <f t="shared" si="238"/>
        <v>237.41123287671235</v>
      </c>
      <c r="J193" s="6">
        <v>68389.904999999999</v>
      </c>
      <c r="K193" s="6">
        <v>74997.22</v>
      </c>
      <c r="L193" s="6">
        <f t="shared" si="236"/>
        <v>204.91043715846996</v>
      </c>
      <c r="M193" s="6">
        <v>59212.701000000001</v>
      </c>
      <c r="N193" s="6">
        <v>32287.34</v>
      </c>
      <c r="O193" s="6">
        <f t="shared" si="237"/>
        <v>88.458465753424662</v>
      </c>
      <c r="P193" s="6">
        <v>43365.432000000001</v>
      </c>
      <c r="Q193" s="6">
        <v>44884.09</v>
      </c>
      <c r="R193" s="6">
        <f>Q193/181</f>
        <v>247.97839779005523</v>
      </c>
      <c r="S193" s="6">
        <v>0</v>
      </c>
      <c r="T193" s="6">
        <f t="shared" si="162"/>
        <v>0</v>
      </c>
      <c r="U193" s="6">
        <f t="shared" si="163"/>
        <v>0</v>
      </c>
      <c r="V193" s="6">
        <v>0</v>
      </c>
      <c r="W193" s="6">
        <f t="shared" si="164"/>
        <v>0</v>
      </c>
      <c r="X193" s="6">
        <f t="shared" si="165"/>
        <v>0</v>
      </c>
      <c r="Y193" s="6">
        <v>0</v>
      </c>
      <c r="Z193" s="6">
        <f t="shared" si="166"/>
        <v>0</v>
      </c>
      <c r="AA193" s="6">
        <f t="shared" si="167"/>
        <v>0</v>
      </c>
      <c r="AB193" s="6">
        <v>0</v>
      </c>
      <c r="AC193" s="6">
        <f t="shared" si="168"/>
        <v>0</v>
      </c>
      <c r="AD193" s="6">
        <f t="shared" si="169"/>
        <v>0</v>
      </c>
      <c r="AE193" s="6">
        <v>0</v>
      </c>
      <c r="AF193" s="6">
        <f t="shared" si="170"/>
        <v>0</v>
      </c>
      <c r="AG193" s="6">
        <f t="shared" si="171"/>
        <v>0</v>
      </c>
      <c r="AH193" s="6">
        <v>0</v>
      </c>
      <c r="AI193" s="6">
        <f t="shared" si="172"/>
        <v>0</v>
      </c>
      <c r="AJ193" s="6">
        <f t="shared" si="173"/>
        <v>0</v>
      </c>
      <c r="AK193" s="6">
        <v>0</v>
      </c>
      <c r="AL193" s="6">
        <f t="shared" si="174"/>
        <v>0</v>
      </c>
      <c r="AM193" s="6">
        <f t="shared" si="175"/>
        <v>0</v>
      </c>
      <c r="AN193" s="6">
        <v>0</v>
      </c>
      <c r="AO193" s="6">
        <f t="shared" si="176"/>
        <v>0</v>
      </c>
      <c r="AP193" s="6">
        <f t="shared" si="177"/>
        <v>0</v>
      </c>
      <c r="AQ193" s="6">
        <v>0</v>
      </c>
      <c r="AR193" s="6">
        <f t="shared" si="178"/>
        <v>0</v>
      </c>
      <c r="AS193" s="6">
        <f t="shared" si="179"/>
        <v>0</v>
      </c>
      <c r="AT193" s="6">
        <v>0</v>
      </c>
      <c r="AU193" s="6">
        <f t="shared" si="180"/>
        <v>0</v>
      </c>
      <c r="AV193" s="6">
        <f t="shared" si="181"/>
        <v>0</v>
      </c>
      <c r="AW193" s="6">
        <v>0</v>
      </c>
      <c r="AX193" s="6">
        <f t="shared" si="182"/>
        <v>0</v>
      </c>
      <c r="AY193" s="6">
        <f t="shared" si="183"/>
        <v>0</v>
      </c>
      <c r="AZ193" s="6">
        <v>0</v>
      </c>
      <c r="BA193" s="6">
        <f t="shared" si="184"/>
        <v>0</v>
      </c>
      <c r="BB193" s="6">
        <f t="shared" si="185"/>
        <v>0</v>
      </c>
      <c r="BC193" s="6">
        <v>0</v>
      </c>
      <c r="BD193" s="6">
        <f t="shared" si="186"/>
        <v>0</v>
      </c>
      <c r="BE193" s="6">
        <f t="shared" si="187"/>
        <v>0</v>
      </c>
      <c r="BF193" s="6">
        <v>0</v>
      </c>
      <c r="BG193" s="6">
        <f t="shared" si="188"/>
        <v>0</v>
      </c>
      <c r="BH193" s="6">
        <f t="shared" si="189"/>
        <v>0</v>
      </c>
      <c r="BI193" s="6">
        <v>0</v>
      </c>
      <c r="BJ193" s="6">
        <f t="shared" si="190"/>
        <v>0</v>
      </c>
      <c r="BK193" s="6">
        <f t="shared" si="191"/>
        <v>0</v>
      </c>
      <c r="BL193" s="6">
        <v>0</v>
      </c>
      <c r="BM193" s="6">
        <f t="shared" si="192"/>
        <v>0</v>
      </c>
      <c r="BN193" s="6">
        <f t="shared" si="193"/>
        <v>0</v>
      </c>
      <c r="BO193" s="6">
        <v>0</v>
      </c>
      <c r="BP193" s="6">
        <f t="shared" si="194"/>
        <v>0</v>
      </c>
      <c r="BQ193" s="6">
        <f t="shared" si="195"/>
        <v>0</v>
      </c>
      <c r="BR193" s="6">
        <v>0</v>
      </c>
      <c r="BS193" s="6">
        <f t="shared" si="196"/>
        <v>0</v>
      </c>
      <c r="BT193" s="6">
        <f t="shared" si="197"/>
        <v>0</v>
      </c>
      <c r="BU193" s="6">
        <v>0</v>
      </c>
      <c r="BV193" s="6">
        <f t="shared" si="198"/>
        <v>0</v>
      </c>
      <c r="BW193" s="6">
        <f t="shared" si="199"/>
        <v>0</v>
      </c>
      <c r="BX193" s="6">
        <v>0</v>
      </c>
      <c r="BY193" s="6">
        <f t="shared" si="200"/>
        <v>0</v>
      </c>
      <c r="BZ193" s="6">
        <f t="shared" si="201"/>
        <v>0</v>
      </c>
      <c r="CA193" s="6">
        <v>0</v>
      </c>
      <c r="CB193" s="6">
        <f t="shared" si="202"/>
        <v>0</v>
      </c>
      <c r="CC193" s="6">
        <f t="shared" si="203"/>
        <v>0</v>
      </c>
      <c r="CD193" s="6">
        <v>0</v>
      </c>
      <c r="CE193" s="6">
        <f t="shared" si="204"/>
        <v>0</v>
      </c>
      <c r="CF193" s="6">
        <f t="shared" si="205"/>
        <v>0</v>
      </c>
      <c r="CG193" s="6">
        <v>0</v>
      </c>
      <c r="CH193" s="6">
        <f t="shared" si="206"/>
        <v>0</v>
      </c>
      <c r="CI193" s="6">
        <f t="shared" si="207"/>
        <v>0</v>
      </c>
      <c r="CJ193" s="6">
        <v>0</v>
      </c>
      <c r="CK193" s="6">
        <f t="shared" si="208"/>
        <v>0</v>
      </c>
      <c r="CL193" s="6">
        <f t="shared" si="209"/>
        <v>0</v>
      </c>
      <c r="CM193" s="6">
        <v>0</v>
      </c>
      <c r="CN193" s="6">
        <f t="shared" si="210"/>
        <v>0</v>
      </c>
      <c r="CO193" s="6">
        <f t="shared" si="211"/>
        <v>0</v>
      </c>
      <c r="CP193" s="6">
        <v>0</v>
      </c>
      <c r="CQ193" s="6">
        <f t="shared" si="212"/>
        <v>0</v>
      </c>
      <c r="CR193" s="6">
        <f t="shared" si="213"/>
        <v>0</v>
      </c>
      <c r="CS193" s="6">
        <v>0</v>
      </c>
      <c r="CT193" s="6">
        <f t="shared" si="214"/>
        <v>0</v>
      </c>
      <c r="CU193" s="6">
        <f t="shared" si="215"/>
        <v>0</v>
      </c>
      <c r="CV193" s="6">
        <v>0</v>
      </c>
      <c r="CW193" s="6">
        <f t="shared" si="216"/>
        <v>0</v>
      </c>
      <c r="CX193" s="6">
        <f t="shared" si="217"/>
        <v>0</v>
      </c>
      <c r="CY193" s="6">
        <v>0</v>
      </c>
      <c r="CZ193" s="6">
        <f t="shared" si="218"/>
        <v>0</v>
      </c>
      <c r="DA193" s="6">
        <f t="shared" si="219"/>
        <v>0</v>
      </c>
      <c r="DB193" s="6">
        <v>0</v>
      </c>
      <c r="DC193" s="6">
        <f t="shared" si="220"/>
        <v>0</v>
      </c>
      <c r="DD193" s="6">
        <f t="shared" si="221"/>
        <v>0</v>
      </c>
      <c r="DE193" s="6">
        <v>0</v>
      </c>
      <c r="DF193" s="6">
        <f t="shared" si="222"/>
        <v>0</v>
      </c>
      <c r="DG193" s="6">
        <f t="shared" si="223"/>
        <v>0</v>
      </c>
      <c r="DH193" s="6">
        <v>0</v>
      </c>
      <c r="DI193" s="6">
        <f t="shared" si="224"/>
        <v>0</v>
      </c>
      <c r="DJ193" s="6">
        <f t="shared" si="225"/>
        <v>0</v>
      </c>
      <c r="DK193" s="6">
        <v>0</v>
      </c>
      <c r="DL193" s="6">
        <f t="shared" si="226"/>
        <v>0</v>
      </c>
      <c r="DM193" s="6">
        <f t="shared" si="227"/>
        <v>0</v>
      </c>
      <c r="DN193" s="6">
        <v>0</v>
      </c>
      <c r="DO193" s="6">
        <f t="shared" si="228"/>
        <v>0</v>
      </c>
      <c r="DP193" s="6">
        <f t="shared" si="229"/>
        <v>0</v>
      </c>
    </row>
    <row r="194" spans="1:120" x14ac:dyDescent="0.2">
      <c r="A194" s="21">
        <v>85</v>
      </c>
      <c r="B194" s="21" t="s">
        <v>612</v>
      </c>
      <c r="C194" s="21">
        <v>85139</v>
      </c>
      <c r="D194" s="21" t="s">
        <v>702</v>
      </c>
      <c r="E194" s="21" t="s">
        <v>542</v>
      </c>
      <c r="F194" s="22" t="s">
        <v>669</v>
      </c>
      <c r="G194" s="4" t="s">
        <v>306</v>
      </c>
      <c r="H194" s="6">
        <v>212830.61</v>
      </c>
      <c r="I194" s="6">
        <f t="shared" si="238"/>
        <v>583.09756164383555</v>
      </c>
      <c r="J194" s="6">
        <v>185787</v>
      </c>
      <c r="K194" s="6">
        <v>176935.48</v>
      </c>
      <c r="L194" s="6">
        <f t="shared" si="236"/>
        <v>483.43027322404373</v>
      </c>
      <c r="M194" s="6">
        <v>155674</v>
      </c>
      <c r="N194" s="6">
        <v>163144.39000000001</v>
      </c>
      <c r="O194" s="6">
        <f t="shared" si="237"/>
        <v>446.97093150684935</v>
      </c>
      <c r="P194" s="6">
        <v>131509</v>
      </c>
      <c r="Q194" s="6">
        <v>68917.100000000006</v>
      </c>
      <c r="R194" s="6">
        <f>Q194/181</f>
        <v>380.75745856353592</v>
      </c>
      <c r="S194" s="6">
        <v>111613</v>
      </c>
      <c r="T194" s="6">
        <f t="shared" ref="T194:T257" si="239">S194</f>
        <v>111613</v>
      </c>
      <c r="U194" s="6">
        <f t="shared" ref="U194:U257" si="240">T194/365</f>
        <v>305.78904109589041</v>
      </c>
      <c r="V194" s="6">
        <v>95352</v>
      </c>
      <c r="W194" s="6">
        <f t="shared" ref="W194:W257" si="241">V194</f>
        <v>95352</v>
      </c>
      <c r="X194" s="6">
        <f t="shared" ref="X194:X257" si="242">W194/365</f>
        <v>261.23835616438356</v>
      </c>
      <c r="Y194" s="6">
        <v>81308</v>
      </c>
      <c r="Z194" s="6">
        <f t="shared" ref="Z194:Z257" si="243">Y194</f>
        <v>81308</v>
      </c>
      <c r="AA194" s="6">
        <f t="shared" ref="AA194:AA257" si="244">Z194/365</f>
        <v>222.76164383561644</v>
      </c>
      <c r="AB194" s="6">
        <v>69761</v>
      </c>
      <c r="AC194" s="6">
        <f t="shared" ref="AC194:AC257" si="245">AB194</f>
        <v>69761</v>
      </c>
      <c r="AD194" s="6">
        <f t="shared" ref="AD194:AD257" si="246">AC194/365</f>
        <v>191.12602739726029</v>
      </c>
      <c r="AE194" s="6">
        <v>59556</v>
      </c>
      <c r="AF194" s="6">
        <f t="shared" ref="AF194:AF257" si="247">AE194</f>
        <v>59556</v>
      </c>
      <c r="AG194" s="6">
        <f t="shared" ref="AG194:AG257" si="248">AF194/365</f>
        <v>163.16712328767125</v>
      </c>
      <c r="AH194" s="6">
        <v>50526</v>
      </c>
      <c r="AI194" s="6">
        <f t="shared" ref="AI194:AI257" si="249">AH194</f>
        <v>50526</v>
      </c>
      <c r="AJ194" s="6">
        <f t="shared" ref="AJ194:AJ257" si="250">AI194/365</f>
        <v>138.42739726027398</v>
      </c>
      <c r="AK194" s="6">
        <v>43777</v>
      </c>
      <c r="AL194" s="6">
        <f t="shared" ref="AL194:AL257" si="251">AK194</f>
        <v>43777</v>
      </c>
      <c r="AM194" s="6">
        <f t="shared" ref="AM194:AM257" si="252">AL194/365</f>
        <v>119.93698630136986</v>
      </c>
      <c r="AN194" s="6">
        <v>37042</v>
      </c>
      <c r="AO194" s="6">
        <f t="shared" ref="AO194:AO257" si="253">AN194</f>
        <v>37042</v>
      </c>
      <c r="AP194" s="6">
        <f t="shared" ref="AP194:AP257" si="254">AO194/365</f>
        <v>101.48493150684932</v>
      </c>
      <c r="AQ194" s="6">
        <v>31045</v>
      </c>
      <c r="AR194" s="6">
        <f t="shared" ref="AR194:AR257" si="255">AQ194</f>
        <v>31045</v>
      </c>
      <c r="AS194" s="6">
        <f t="shared" ref="AS194:AS257" si="256">AR194/365</f>
        <v>85.054794520547944</v>
      </c>
      <c r="AT194" s="6">
        <v>0</v>
      </c>
      <c r="AU194" s="6">
        <f t="shared" ref="AU194:AU257" si="257">AT194</f>
        <v>0</v>
      </c>
      <c r="AV194" s="6">
        <f t="shared" ref="AV194:AV257" si="258">AU194/365</f>
        <v>0</v>
      </c>
      <c r="AW194" s="6">
        <v>0</v>
      </c>
      <c r="AX194" s="6">
        <f t="shared" ref="AX194:AX257" si="259">AW194</f>
        <v>0</v>
      </c>
      <c r="AY194" s="6">
        <f t="shared" ref="AY194:AY257" si="260">AX194/365</f>
        <v>0</v>
      </c>
      <c r="AZ194" s="6">
        <v>0</v>
      </c>
      <c r="BA194" s="6">
        <f t="shared" ref="BA194:BA257" si="261">AZ194</f>
        <v>0</v>
      </c>
      <c r="BB194" s="6">
        <f t="shared" ref="BB194:BB257" si="262">BA194/365</f>
        <v>0</v>
      </c>
      <c r="BC194" s="6">
        <v>0</v>
      </c>
      <c r="BD194" s="6">
        <f t="shared" ref="BD194:BD257" si="263">BC194</f>
        <v>0</v>
      </c>
      <c r="BE194" s="6">
        <f t="shared" ref="BE194:BE257" si="264">BD194/365</f>
        <v>0</v>
      </c>
      <c r="BF194" s="6">
        <v>0</v>
      </c>
      <c r="BG194" s="6">
        <f t="shared" ref="BG194:BG257" si="265">BF194</f>
        <v>0</v>
      </c>
      <c r="BH194" s="6">
        <f t="shared" ref="BH194:BH257" si="266">BG194/365</f>
        <v>0</v>
      </c>
      <c r="BI194" s="6">
        <v>0</v>
      </c>
      <c r="BJ194" s="6">
        <f t="shared" ref="BJ194:BJ257" si="267">BI194</f>
        <v>0</v>
      </c>
      <c r="BK194" s="6">
        <f t="shared" ref="BK194:BK257" si="268">BJ194/365</f>
        <v>0</v>
      </c>
      <c r="BL194" s="6">
        <v>0</v>
      </c>
      <c r="BM194" s="6">
        <f t="shared" ref="BM194:BM257" si="269">BL194</f>
        <v>0</v>
      </c>
      <c r="BN194" s="6">
        <f t="shared" ref="BN194:BN257" si="270">BM194/365</f>
        <v>0</v>
      </c>
      <c r="BO194" s="6">
        <v>0</v>
      </c>
      <c r="BP194" s="6">
        <f t="shared" ref="BP194:BP257" si="271">BO194</f>
        <v>0</v>
      </c>
      <c r="BQ194" s="6">
        <f t="shared" ref="BQ194:BQ257" si="272">BP194/365</f>
        <v>0</v>
      </c>
      <c r="BR194" s="6">
        <v>0</v>
      </c>
      <c r="BS194" s="6">
        <f t="shared" ref="BS194:BS257" si="273">BR194</f>
        <v>0</v>
      </c>
      <c r="BT194" s="6">
        <f t="shared" ref="BT194:BT257" si="274">BS194/365</f>
        <v>0</v>
      </c>
      <c r="BU194" s="6">
        <v>0</v>
      </c>
      <c r="BV194" s="6">
        <f t="shared" ref="BV194:BV257" si="275">BU194</f>
        <v>0</v>
      </c>
      <c r="BW194" s="6">
        <f t="shared" ref="BW194:BW257" si="276">BV194/365</f>
        <v>0</v>
      </c>
      <c r="BX194" s="6">
        <v>0</v>
      </c>
      <c r="BY194" s="6">
        <f t="shared" ref="BY194:BY257" si="277">BX194</f>
        <v>0</v>
      </c>
      <c r="BZ194" s="6">
        <f t="shared" ref="BZ194:BZ257" si="278">BY194/365</f>
        <v>0</v>
      </c>
      <c r="CA194" s="6">
        <v>0</v>
      </c>
      <c r="CB194" s="6">
        <f t="shared" ref="CB194:CB257" si="279">CA194</f>
        <v>0</v>
      </c>
      <c r="CC194" s="6">
        <f t="shared" ref="CC194:CC257" si="280">CB194/365</f>
        <v>0</v>
      </c>
      <c r="CD194" s="6">
        <v>0</v>
      </c>
      <c r="CE194" s="6">
        <f t="shared" ref="CE194:CE257" si="281">CD194</f>
        <v>0</v>
      </c>
      <c r="CF194" s="6">
        <f t="shared" ref="CF194:CF257" si="282">CE194/365</f>
        <v>0</v>
      </c>
      <c r="CG194" s="6">
        <v>0</v>
      </c>
      <c r="CH194" s="6">
        <f t="shared" ref="CH194:CH257" si="283">CG194</f>
        <v>0</v>
      </c>
      <c r="CI194" s="6">
        <f t="shared" ref="CI194:CI257" si="284">CH194/365</f>
        <v>0</v>
      </c>
      <c r="CJ194" s="6">
        <v>0</v>
      </c>
      <c r="CK194" s="6">
        <f t="shared" ref="CK194:CK257" si="285">CJ194</f>
        <v>0</v>
      </c>
      <c r="CL194" s="6">
        <f t="shared" ref="CL194:CL257" si="286">CK194/365</f>
        <v>0</v>
      </c>
      <c r="CM194" s="6">
        <v>0</v>
      </c>
      <c r="CN194" s="6">
        <f t="shared" ref="CN194:CN257" si="287">CM194</f>
        <v>0</v>
      </c>
      <c r="CO194" s="6">
        <f t="shared" ref="CO194:CO257" si="288">CN194/365</f>
        <v>0</v>
      </c>
      <c r="CP194" s="6">
        <v>0</v>
      </c>
      <c r="CQ194" s="6">
        <f t="shared" ref="CQ194:CQ257" si="289">CP194</f>
        <v>0</v>
      </c>
      <c r="CR194" s="6">
        <f t="shared" ref="CR194:CR257" si="290">CQ194/365</f>
        <v>0</v>
      </c>
      <c r="CS194" s="6">
        <v>0</v>
      </c>
      <c r="CT194" s="6">
        <f t="shared" ref="CT194:CT257" si="291">CS194</f>
        <v>0</v>
      </c>
      <c r="CU194" s="6">
        <f t="shared" ref="CU194:CU257" si="292">CT194/365</f>
        <v>0</v>
      </c>
      <c r="CV194" s="6">
        <v>0</v>
      </c>
      <c r="CW194" s="6">
        <f t="shared" ref="CW194:CW257" si="293">CV194</f>
        <v>0</v>
      </c>
      <c r="CX194" s="6">
        <f t="shared" ref="CX194:CX257" si="294">CW194/365</f>
        <v>0</v>
      </c>
      <c r="CY194" s="6">
        <v>0</v>
      </c>
      <c r="CZ194" s="6">
        <f t="shared" ref="CZ194:CZ257" si="295">CY194</f>
        <v>0</v>
      </c>
      <c r="DA194" s="6">
        <f t="shared" ref="DA194:DA257" si="296">CZ194/365</f>
        <v>0</v>
      </c>
      <c r="DB194" s="6">
        <v>0</v>
      </c>
      <c r="DC194" s="6">
        <f t="shared" ref="DC194:DC257" si="297">DB194</f>
        <v>0</v>
      </c>
      <c r="DD194" s="6">
        <f t="shared" ref="DD194:DD257" si="298">DC194/365</f>
        <v>0</v>
      </c>
      <c r="DE194" s="6">
        <v>0</v>
      </c>
      <c r="DF194" s="6">
        <f t="shared" ref="DF194:DF257" si="299">DE194</f>
        <v>0</v>
      </c>
      <c r="DG194" s="6">
        <f t="shared" ref="DG194:DG257" si="300">DF194/365</f>
        <v>0</v>
      </c>
      <c r="DH194" s="6">
        <v>0</v>
      </c>
      <c r="DI194" s="6">
        <f t="shared" ref="DI194:DI257" si="301">DH194</f>
        <v>0</v>
      </c>
      <c r="DJ194" s="6">
        <f t="shared" ref="DJ194:DJ257" si="302">DI194/365</f>
        <v>0</v>
      </c>
      <c r="DK194" s="6">
        <v>0</v>
      </c>
      <c r="DL194" s="6">
        <f t="shared" ref="DL194:DL257" si="303">DK194</f>
        <v>0</v>
      </c>
      <c r="DM194" s="6">
        <f t="shared" ref="DM194:DM257" si="304">DL194/365</f>
        <v>0</v>
      </c>
      <c r="DN194" s="6">
        <v>0</v>
      </c>
      <c r="DO194" s="6">
        <f t="shared" ref="DO194:DO257" si="305">DN194</f>
        <v>0</v>
      </c>
      <c r="DP194" s="6">
        <f t="shared" ref="DP194:DP257" si="306">DO194/365</f>
        <v>0</v>
      </c>
    </row>
    <row r="195" spans="1:120" x14ac:dyDescent="0.2">
      <c r="A195" s="21">
        <v>50</v>
      </c>
      <c r="B195" s="21" t="s">
        <v>675</v>
      </c>
      <c r="C195" s="21">
        <v>50124</v>
      </c>
      <c r="D195" s="21" t="s">
        <v>704</v>
      </c>
      <c r="E195" s="21" t="s">
        <v>603</v>
      </c>
      <c r="F195" s="22" t="s">
        <v>669</v>
      </c>
      <c r="G195" s="4" t="s">
        <v>307</v>
      </c>
      <c r="H195" s="6">
        <v>301441.42</v>
      </c>
      <c r="I195" s="6">
        <f t="shared" si="238"/>
        <v>825.86690410958897</v>
      </c>
      <c r="J195" s="6">
        <v>158386.26509999999</v>
      </c>
      <c r="K195" s="6">
        <v>141603.69</v>
      </c>
      <c r="L195" s="6">
        <f t="shared" si="236"/>
        <v>386.89532786885246</v>
      </c>
      <c r="M195" s="6">
        <v>76787.269899999999</v>
      </c>
      <c r="N195" s="6"/>
      <c r="O195" s="6"/>
      <c r="P195" s="6">
        <v>0</v>
      </c>
      <c r="Q195" s="6"/>
      <c r="R195" s="6"/>
      <c r="S195" s="6">
        <v>0</v>
      </c>
      <c r="T195" s="6">
        <f t="shared" si="239"/>
        <v>0</v>
      </c>
      <c r="U195" s="6">
        <f t="shared" si="240"/>
        <v>0</v>
      </c>
      <c r="V195" s="6">
        <v>0</v>
      </c>
      <c r="W195" s="6">
        <f t="shared" si="241"/>
        <v>0</v>
      </c>
      <c r="X195" s="6">
        <f t="shared" si="242"/>
        <v>0</v>
      </c>
      <c r="Y195" s="6">
        <v>0</v>
      </c>
      <c r="Z195" s="6">
        <f t="shared" si="243"/>
        <v>0</v>
      </c>
      <c r="AA195" s="6">
        <f t="shared" si="244"/>
        <v>0</v>
      </c>
      <c r="AB195" s="6">
        <v>0</v>
      </c>
      <c r="AC195" s="6">
        <f t="shared" si="245"/>
        <v>0</v>
      </c>
      <c r="AD195" s="6">
        <f t="shared" si="246"/>
        <v>0</v>
      </c>
      <c r="AE195" s="6">
        <v>0</v>
      </c>
      <c r="AF195" s="6">
        <f t="shared" si="247"/>
        <v>0</v>
      </c>
      <c r="AG195" s="6">
        <f t="shared" si="248"/>
        <v>0</v>
      </c>
      <c r="AH195" s="6">
        <v>0</v>
      </c>
      <c r="AI195" s="6">
        <f t="shared" si="249"/>
        <v>0</v>
      </c>
      <c r="AJ195" s="6">
        <f t="shared" si="250"/>
        <v>0</v>
      </c>
      <c r="AK195" s="6">
        <v>0</v>
      </c>
      <c r="AL195" s="6">
        <f t="shared" si="251"/>
        <v>0</v>
      </c>
      <c r="AM195" s="6">
        <f t="shared" si="252"/>
        <v>0</v>
      </c>
      <c r="AN195" s="6">
        <v>0</v>
      </c>
      <c r="AO195" s="6">
        <f t="shared" si="253"/>
        <v>0</v>
      </c>
      <c r="AP195" s="6">
        <f t="shared" si="254"/>
        <v>0</v>
      </c>
      <c r="AQ195" s="6">
        <v>0</v>
      </c>
      <c r="AR195" s="6">
        <f t="shared" si="255"/>
        <v>0</v>
      </c>
      <c r="AS195" s="6">
        <f t="shared" si="256"/>
        <v>0</v>
      </c>
      <c r="AT195" s="6">
        <v>0</v>
      </c>
      <c r="AU195" s="6">
        <f t="shared" si="257"/>
        <v>0</v>
      </c>
      <c r="AV195" s="6">
        <f t="shared" si="258"/>
        <v>0</v>
      </c>
      <c r="AW195" s="6">
        <v>0</v>
      </c>
      <c r="AX195" s="6">
        <f t="shared" si="259"/>
        <v>0</v>
      </c>
      <c r="AY195" s="6">
        <f t="shared" si="260"/>
        <v>0</v>
      </c>
      <c r="AZ195" s="6">
        <v>0</v>
      </c>
      <c r="BA195" s="6">
        <f t="shared" si="261"/>
        <v>0</v>
      </c>
      <c r="BB195" s="6">
        <f t="shared" si="262"/>
        <v>0</v>
      </c>
      <c r="BC195" s="6">
        <v>0</v>
      </c>
      <c r="BD195" s="6">
        <f t="shared" si="263"/>
        <v>0</v>
      </c>
      <c r="BE195" s="6">
        <f t="shared" si="264"/>
        <v>0</v>
      </c>
      <c r="BF195" s="6">
        <v>0</v>
      </c>
      <c r="BG195" s="6">
        <f t="shared" si="265"/>
        <v>0</v>
      </c>
      <c r="BH195" s="6">
        <f t="shared" si="266"/>
        <v>0</v>
      </c>
      <c r="BI195" s="6">
        <v>0</v>
      </c>
      <c r="BJ195" s="6">
        <f t="shared" si="267"/>
        <v>0</v>
      </c>
      <c r="BK195" s="6">
        <f t="shared" si="268"/>
        <v>0</v>
      </c>
      <c r="BL195" s="6">
        <v>0</v>
      </c>
      <c r="BM195" s="6">
        <f t="shared" si="269"/>
        <v>0</v>
      </c>
      <c r="BN195" s="6">
        <f t="shared" si="270"/>
        <v>0</v>
      </c>
      <c r="BO195" s="6">
        <v>0</v>
      </c>
      <c r="BP195" s="6">
        <f t="shared" si="271"/>
        <v>0</v>
      </c>
      <c r="BQ195" s="6">
        <f t="shared" si="272"/>
        <v>0</v>
      </c>
      <c r="BR195" s="6">
        <v>0</v>
      </c>
      <c r="BS195" s="6">
        <f t="shared" si="273"/>
        <v>0</v>
      </c>
      <c r="BT195" s="6">
        <f t="shared" si="274"/>
        <v>0</v>
      </c>
      <c r="BU195" s="6">
        <v>0</v>
      </c>
      <c r="BV195" s="6">
        <f t="shared" si="275"/>
        <v>0</v>
      </c>
      <c r="BW195" s="6">
        <f t="shared" si="276"/>
        <v>0</v>
      </c>
      <c r="BX195" s="6">
        <v>0</v>
      </c>
      <c r="BY195" s="6">
        <f t="shared" si="277"/>
        <v>0</v>
      </c>
      <c r="BZ195" s="6">
        <f t="shared" si="278"/>
        <v>0</v>
      </c>
      <c r="CA195" s="6">
        <v>0</v>
      </c>
      <c r="CB195" s="6">
        <f t="shared" si="279"/>
        <v>0</v>
      </c>
      <c r="CC195" s="6">
        <f t="shared" si="280"/>
        <v>0</v>
      </c>
      <c r="CD195" s="6">
        <v>0</v>
      </c>
      <c r="CE195" s="6">
        <f t="shared" si="281"/>
        <v>0</v>
      </c>
      <c r="CF195" s="6">
        <f t="shared" si="282"/>
        <v>0</v>
      </c>
      <c r="CG195" s="6">
        <v>0</v>
      </c>
      <c r="CH195" s="6">
        <f t="shared" si="283"/>
        <v>0</v>
      </c>
      <c r="CI195" s="6">
        <f t="shared" si="284"/>
        <v>0</v>
      </c>
      <c r="CJ195" s="6">
        <v>0</v>
      </c>
      <c r="CK195" s="6">
        <f t="shared" si="285"/>
        <v>0</v>
      </c>
      <c r="CL195" s="6">
        <f t="shared" si="286"/>
        <v>0</v>
      </c>
      <c r="CM195" s="6">
        <v>0</v>
      </c>
      <c r="CN195" s="6">
        <f t="shared" si="287"/>
        <v>0</v>
      </c>
      <c r="CO195" s="6">
        <f t="shared" si="288"/>
        <v>0</v>
      </c>
      <c r="CP195" s="6">
        <v>0</v>
      </c>
      <c r="CQ195" s="6">
        <f t="shared" si="289"/>
        <v>0</v>
      </c>
      <c r="CR195" s="6">
        <f t="shared" si="290"/>
        <v>0</v>
      </c>
      <c r="CS195" s="6">
        <v>0</v>
      </c>
      <c r="CT195" s="6">
        <f t="shared" si="291"/>
        <v>0</v>
      </c>
      <c r="CU195" s="6">
        <f t="shared" si="292"/>
        <v>0</v>
      </c>
      <c r="CV195" s="6">
        <v>0</v>
      </c>
      <c r="CW195" s="6">
        <f t="shared" si="293"/>
        <v>0</v>
      </c>
      <c r="CX195" s="6">
        <f t="shared" si="294"/>
        <v>0</v>
      </c>
      <c r="CY195" s="6">
        <v>0</v>
      </c>
      <c r="CZ195" s="6">
        <f t="shared" si="295"/>
        <v>0</v>
      </c>
      <c r="DA195" s="6">
        <f t="shared" si="296"/>
        <v>0</v>
      </c>
      <c r="DB195" s="6">
        <v>0</v>
      </c>
      <c r="DC195" s="6">
        <f t="shared" si="297"/>
        <v>0</v>
      </c>
      <c r="DD195" s="6">
        <f t="shared" si="298"/>
        <v>0</v>
      </c>
      <c r="DE195" s="6">
        <v>0</v>
      </c>
      <c r="DF195" s="6">
        <f t="shared" si="299"/>
        <v>0</v>
      </c>
      <c r="DG195" s="6">
        <f t="shared" si="300"/>
        <v>0</v>
      </c>
      <c r="DH195" s="6">
        <v>0</v>
      </c>
      <c r="DI195" s="6">
        <f t="shared" si="301"/>
        <v>0</v>
      </c>
      <c r="DJ195" s="6">
        <f t="shared" si="302"/>
        <v>0</v>
      </c>
      <c r="DK195" s="6">
        <v>0</v>
      </c>
      <c r="DL195" s="6">
        <f t="shared" si="303"/>
        <v>0</v>
      </c>
      <c r="DM195" s="6">
        <f t="shared" si="304"/>
        <v>0</v>
      </c>
      <c r="DN195" s="6">
        <v>0</v>
      </c>
      <c r="DO195" s="6">
        <f t="shared" si="305"/>
        <v>0</v>
      </c>
      <c r="DP195" s="6">
        <f t="shared" si="306"/>
        <v>0</v>
      </c>
    </row>
    <row r="196" spans="1:120" x14ac:dyDescent="0.2">
      <c r="A196" s="21">
        <v>19</v>
      </c>
      <c r="B196" s="21" t="s">
        <v>726</v>
      </c>
      <c r="C196" s="21">
        <v>19533</v>
      </c>
      <c r="D196" s="21" t="s">
        <v>727</v>
      </c>
      <c r="E196" s="21" t="s">
        <v>564</v>
      </c>
      <c r="F196" s="22" t="s">
        <v>666</v>
      </c>
      <c r="G196" s="4" t="s">
        <v>308</v>
      </c>
      <c r="H196" s="6">
        <v>35848.519999999997</v>
      </c>
      <c r="I196" s="6">
        <f t="shared" si="238"/>
        <v>98.215123287671219</v>
      </c>
      <c r="J196" s="6">
        <v>44035.318599999999</v>
      </c>
      <c r="K196" s="6">
        <v>32638.18</v>
      </c>
      <c r="L196" s="6">
        <f t="shared" si="236"/>
        <v>89.175355191256827</v>
      </c>
      <c r="M196" s="6">
        <v>36808.061199999996</v>
      </c>
      <c r="N196" s="6">
        <v>27923.25</v>
      </c>
      <c r="O196" s="6">
        <f t="shared" ref="O196:O205" si="307">N196/365</f>
        <v>76.502054794520546</v>
      </c>
      <c r="P196" s="6">
        <v>25732.285</v>
      </c>
      <c r="Q196" s="6">
        <v>15001.12</v>
      </c>
      <c r="R196" s="6">
        <f>Q196/181</f>
        <v>82.879116022099453</v>
      </c>
      <c r="S196" s="6">
        <v>15631.1965</v>
      </c>
      <c r="T196" s="6">
        <f t="shared" si="239"/>
        <v>15631.1965</v>
      </c>
      <c r="U196" s="6">
        <f t="shared" si="240"/>
        <v>42.82519589041096</v>
      </c>
      <c r="V196" s="6">
        <v>11183.930399999999</v>
      </c>
      <c r="W196" s="6">
        <f t="shared" si="241"/>
        <v>11183.930399999999</v>
      </c>
      <c r="X196" s="6">
        <f t="shared" si="242"/>
        <v>30.640905205479449</v>
      </c>
      <c r="Y196" s="6">
        <v>0</v>
      </c>
      <c r="Z196" s="6">
        <f t="shared" si="243"/>
        <v>0</v>
      </c>
      <c r="AA196" s="6">
        <f t="shared" si="244"/>
        <v>0</v>
      </c>
      <c r="AB196" s="6">
        <v>0</v>
      </c>
      <c r="AC196" s="6">
        <f t="shared" si="245"/>
        <v>0</v>
      </c>
      <c r="AD196" s="6">
        <f t="shared" si="246"/>
        <v>0</v>
      </c>
      <c r="AE196" s="6">
        <v>0</v>
      </c>
      <c r="AF196" s="6">
        <f t="shared" si="247"/>
        <v>0</v>
      </c>
      <c r="AG196" s="6">
        <f t="shared" si="248"/>
        <v>0</v>
      </c>
      <c r="AH196" s="6">
        <v>0</v>
      </c>
      <c r="AI196" s="6">
        <f t="shared" si="249"/>
        <v>0</v>
      </c>
      <c r="AJ196" s="6">
        <f t="shared" si="250"/>
        <v>0</v>
      </c>
      <c r="AK196" s="6">
        <v>0</v>
      </c>
      <c r="AL196" s="6">
        <f t="shared" si="251"/>
        <v>0</v>
      </c>
      <c r="AM196" s="6">
        <f t="shared" si="252"/>
        <v>0</v>
      </c>
      <c r="AN196" s="6">
        <v>0</v>
      </c>
      <c r="AO196" s="6">
        <f t="shared" si="253"/>
        <v>0</v>
      </c>
      <c r="AP196" s="6">
        <f t="shared" si="254"/>
        <v>0</v>
      </c>
      <c r="AQ196" s="6">
        <v>0</v>
      </c>
      <c r="AR196" s="6">
        <f t="shared" si="255"/>
        <v>0</v>
      </c>
      <c r="AS196" s="6">
        <f t="shared" si="256"/>
        <v>0</v>
      </c>
      <c r="AT196" s="6">
        <v>0</v>
      </c>
      <c r="AU196" s="6">
        <f t="shared" si="257"/>
        <v>0</v>
      </c>
      <c r="AV196" s="6">
        <f t="shared" si="258"/>
        <v>0</v>
      </c>
      <c r="AW196" s="6">
        <v>0</v>
      </c>
      <c r="AX196" s="6">
        <f t="shared" si="259"/>
        <v>0</v>
      </c>
      <c r="AY196" s="6">
        <f t="shared" si="260"/>
        <v>0</v>
      </c>
      <c r="AZ196" s="6">
        <v>0</v>
      </c>
      <c r="BA196" s="6">
        <f t="shared" si="261"/>
        <v>0</v>
      </c>
      <c r="BB196" s="6">
        <f t="shared" si="262"/>
        <v>0</v>
      </c>
      <c r="BC196" s="6">
        <v>0</v>
      </c>
      <c r="BD196" s="6">
        <f t="shared" si="263"/>
        <v>0</v>
      </c>
      <c r="BE196" s="6">
        <f t="shared" si="264"/>
        <v>0</v>
      </c>
      <c r="BF196" s="6">
        <v>0</v>
      </c>
      <c r="BG196" s="6">
        <f t="shared" si="265"/>
        <v>0</v>
      </c>
      <c r="BH196" s="6">
        <f t="shared" si="266"/>
        <v>0</v>
      </c>
      <c r="BI196" s="6">
        <v>0</v>
      </c>
      <c r="BJ196" s="6">
        <f t="shared" si="267"/>
        <v>0</v>
      </c>
      <c r="BK196" s="6">
        <f t="shared" si="268"/>
        <v>0</v>
      </c>
      <c r="BL196" s="6">
        <v>0</v>
      </c>
      <c r="BM196" s="6">
        <f t="shared" si="269"/>
        <v>0</v>
      </c>
      <c r="BN196" s="6">
        <f t="shared" si="270"/>
        <v>0</v>
      </c>
      <c r="BO196" s="6">
        <v>0</v>
      </c>
      <c r="BP196" s="6">
        <f t="shared" si="271"/>
        <v>0</v>
      </c>
      <c r="BQ196" s="6">
        <f t="shared" si="272"/>
        <v>0</v>
      </c>
      <c r="BR196" s="6">
        <v>0</v>
      </c>
      <c r="BS196" s="6">
        <f t="shared" si="273"/>
        <v>0</v>
      </c>
      <c r="BT196" s="6">
        <f t="shared" si="274"/>
        <v>0</v>
      </c>
      <c r="BU196" s="6">
        <v>0</v>
      </c>
      <c r="BV196" s="6">
        <f t="shared" si="275"/>
        <v>0</v>
      </c>
      <c r="BW196" s="6">
        <f t="shared" si="276"/>
        <v>0</v>
      </c>
      <c r="BX196" s="6">
        <v>0</v>
      </c>
      <c r="BY196" s="6">
        <f t="shared" si="277"/>
        <v>0</v>
      </c>
      <c r="BZ196" s="6">
        <f t="shared" si="278"/>
        <v>0</v>
      </c>
      <c r="CA196" s="6">
        <v>0</v>
      </c>
      <c r="CB196" s="6">
        <f t="shared" si="279"/>
        <v>0</v>
      </c>
      <c r="CC196" s="6">
        <f t="shared" si="280"/>
        <v>0</v>
      </c>
      <c r="CD196" s="6">
        <v>0</v>
      </c>
      <c r="CE196" s="6">
        <f t="shared" si="281"/>
        <v>0</v>
      </c>
      <c r="CF196" s="6">
        <f t="shared" si="282"/>
        <v>0</v>
      </c>
      <c r="CG196" s="6">
        <v>0</v>
      </c>
      <c r="CH196" s="6">
        <f t="shared" si="283"/>
        <v>0</v>
      </c>
      <c r="CI196" s="6">
        <f t="shared" si="284"/>
        <v>0</v>
      </c>
      <c r="CJ196" s="6">
        <v>0</v>
      </c>
      <c r="CK196" s="6">
        <f t="shared" si="285"/>
        <v>0</v>
      </c>
      <c r="CL196" s="6">
        <f t="shared" si="286"/>
        <v>0</v>
      </c>
      <c r="CM196" s="6">
        <v>0</v>
      </c>
      <c r="CN196" s="6">
        <f t="shared" si="287"/>
        <v>0</v>
      </c>
      <c r="CO196" s="6">
        <f t="shared" si="288"/>
        <v>0</v>
      </c>
      <c r="CP196" s="6">
        <v>0</v>
      </c>
      <c r="CQ196" s="6">
        <f t="shared" si="289"/>
        <v>0</v>
      </c>
      <c r="CR196" s="6">
        <f t="shared" si="290"/>
        <v>0</v>
      </c>
      <c r="CS196" s="6">
        <v>0</v>
      </c>
      <c r="CT196" s="6">
        <f t="shared" si="291"/>
        <v>0</v>
      </c>
      <c r="CU196" s="6">
        <f t="shared" si="292"/>
        <v>0</v>
      </c>
      <c r="CV196" s="6">
        <v>0</v>
      </c>
      <c r="CW196" s="6">
        <f t="shared" si="293"/>
        <v>0</v>
      </c>
      <c r="CX196" s="6">
        <f t="shared" si="294"/>
        <v>0</v>
      </c>
      <c r="CY196" s="6">
        <v>0</v>
      </c>
      <c r="CZ196" s="6">
        <f t="shared" si="295"/>
        <v>0</v>
      </c>
      <c r="DA196" s="6">
        <f t="shared" si="296"/>
        <v>0</v>
      </c>
      <c r="DB196" s="6">
        <v>0</v>
      </c>
      <c r="DC196" s="6">
        <f t="shared" si="297"/>
        <v>0</v>
      </c>
      <c r="DD196" s="6">
        <f t="shared" si="298"/>
        <v>0</v>
      </c>
      <c r="DE196" s="6">
        <v>0</v>
      </c>
      <c r="DF196" s="6">
        <f t="shared" si="299"/>
        <v>0</v>
      </c>
      <c r="DG196" s="6">
        <f t="shared" si="300"/>
        <v>0</v>
      </c>
      <c r="DH196" s="6">
        <v>0</v>
      </c>
      <c r="DI196" s="6">
        <f t="shared" si="301"/>
        <v>0</v>
      </c>
      <c r="DJ196" s="6">
        <f t="shared" si="302"/>
        <v>0</v>
      </c>
      <c r="DK196" s="6">
        <v>0</v>
      </c>
      <c r="DL196" s="6">
        <f t="shared" si="303"/>
        <v>0</v>
      </c>
      <c r="DM196" s="6">
        <f t="shared" si="304"/>
        <v>0</v>
      </c>
      <c r="DN196" s="6">
        <v>0</v>
      </c>
      <c r="DO196" s="6">
        <f t="shared" si="305"/>
        <v>0</v>
      </c>
      <c r="DP196" s="6">
        <f t="shared" si="306"/>
        <v>0</v>
      </c>
    </row>
    <row r="197" spans="1:120" x14ac:dyDescent="0.2">
      <c r="A197" s="21">
        <v>73</v>
      </c>
      <c r="B197" s="21" t="s">
        <v>582</v>
      </c>
      <c r="C197" s="21">
        <v>73585</v>
      </c>
      <c r="D197" s="21" t="s">
        <v>709</v>
      </c>
      <c r="E197" s="21" t="s">
        <v>575</v>
      </c>
      <c r="F197" s="22" t="s">
        <v>666</v>
      </c>
      <c r="G197" s="4" t="s">
        <v>309</v>
      </c>
      <c r="H197" s="6">
        <v>303607.55</v>
      </c>
      <c r="I197" s="6">
        <f t="shared" si="238"/>
        <v>831.80150684931505</v>
      </c>
      <c r="J197" s="6">
        <v>357285</v>
      </c>
      <c r="K197" s="6">
        <v>288914.02</v>
      </c>
      <c r="L197" s="6">
        <f t="shared" si="236"/>
        <v>789.38256830601097</v>
      </c>
      <c r="M197" s="6">
        <v>328722</v>
      </c>
      <c r="N197" s="6">
        <v>288991.61</v>
      </c>
      <c r="O197" s="6">
        <f t="shared" si="307"/>
        <v>791.75783561643834</v>
      </c>
      <c r="P197" s="6">
        <v>296087</v>
      </c>
      <c r="Q197" s="6">
        <v>109150.91</v>
      </c>
      <c r="R197" s="6">
        <f>Q197/181</f>
        <v>603.04370165745854</v>
      </c>
      <c r="S197" s="6">
        <v>267565</v>
      </c>
      <c r="T197" s="6">
        <f t="shared" si="239"/>
        <v>267565</v>
      </c>
      <c r="U197" s="6">
        <f t="shared" si="240"/>
        <v>733.05479452054794</v>
      </c>
      <c r="V197" s="6">
        <v>243175</v>
      </c>
      <c r="W197" s="6">
        <f t="shared" si="241"/>
        <v>243175</v>
      </c>
      <c r="X197" s="6">
        <f t="shared" si="242"/>
        <v>666.23287671232879</v>
      </c>
      <c r="Y197" s="6">
        <v>214058</v>
      </c>
      <c r="Z197" s="6">
        <f t="shared" si="243"/>
        <v>214058</v>
      </c>
      <c r="AA197" s="6">
        <f t="shared" si="244"/>
        <v>586.46027397260275</v>
      </c>
      <c r="AB197" s="6">
        <v>190756</v>
      </c>
      <c r="AC197" s="6">
        <f t="shared" si="245"/>
        <v>190756</v>
      </c>
      <c r="AD197" s="6">
        <f t="shared" si="246"/>
        <v>522.61917808219175</v>
      </c>
      <c r="AE197" s="6">
        <v>168005</v>
      </c>
      <c r="AF197" s="6">
        <f t="shared" si="247"/>
        <v>168005</v>
      </c>
      <c r="AG197" s="6">
        <f t="shared" si="248"/>
        <v>460.28767123287673</v>
      </c>
      <c r="AH197" s="6">
        <v>150175</v>
      </c>
      <c r="AI197" s="6">
        <f t="shared" si="249"/>
        <v>150175</v>
      </c>
      <c r="AJ197" s="6">
        <f t="shared" si="250"/>
        <v>411.43835616438355</v>
      </c>
      <c r="AK197" s="6">
        <v>0</v>
      </c>
      <c r="AL197" s="6">
        <f t="shared" si="251"/>
        <v>0</v>
      </c>
      <c r="AM197" s="6">
        <f t="shared" si="252"/>
        <v>0</v>
      </c>
      <c r="AN197" s="6">
        <v>0</v>
      </c>
      <c r="AO197" s="6">
        <f t="shared" si="253"/>
        <v>0</v>
      </c>
      <c r="AP197" s="6">
        <f t="shared" si="254"/>
        <v>0</v>
      </c>
      <c r="AQ197" s="6">
        <v>0</v>
      </c>
      <c r="AR197" s="6">
        <f t="shared" si="255"/>
        <v>0</v>
      </c>
      <c r="AS197" s="6">
        <f t="shared" si="256"/>
        <v>0</v>
      </c>
      <c r="AT197" s="6">
        <v>0</v>
      </c>
      <c r="AU197" s="6">
        <f t="shared" si="257"/>
        <v>0</v>
      </c>
      <c r="AV197" s="6">
        <f t="shared" si="258"/>
        <v>0</v>
      </c>
      <c r="AW197" s="6">
        <v>0</v>
      </c>
      <c r="AX197" s="6">
        <f t="shared" si="259"/>
        <v>0</v>
      </c>
      <c r="AY197" s="6">
        <f t="shared" si="260"/>
        <v>0</v>
      </c>
      <c r="AZ197" s="6">
        <v>0</v>
      </c>
      <c r="BA197" s="6">
        <f t="shared" si="261"/>
        <v>0</v>
      </c>
      <c r="BB197" s="6">
        <f t="shared" si="262"/>
        <v>0</v>
      </c>
      <c r="BC197" s="6">
        <v>0</v>
      </c>
      <c r="BD197" s="6">
        <f t="shared" si="263"/>
        <v>0</v>
      </c>
      <c r="BE197" s="6">
        <f t="shared" si="264"/>
        <v>0</v>
      </c>
      <c r="BF197" s="6">
        <v>0</v>
      </c>
      <c r="BG197" s="6">
        <f t="shared" si="265"/>
        <v>0</v>
      </c>
      <c r="BH197" s="6">
        <f t="shared" si="266"/>
        <v>0</v>
      </c>
      <c r="BI197" s="6">
        <v>0</v>
      </c>
      <c r="BJ197" s="6">
        <f t="shared" si="267"/>
        <v>0</v>
      </c>
      <c r="BK197" s="6">
        <f t="shared" si="268"/>
        <v>0</v>
      </c>
      <c r="BL197" s="6">
        <v>0</v>
      </c>
      <c r="BM197" s="6">
        <f t="shared" si="269"/>
        <v>0</v>
      </c>
      <c r="BN197" s="6">
        <f t="shared" si="270"/>
        <v>0</v>
      </c>
      <c r="BO197" s="6">
        <v>0</v>
      </c>
      <c r="BP197" s="6">
        <f t="shared" si="271"/>
        <v>0</v>
      </c>
      <c r="BQ197" s="6">
        <f t="shared" si="272"/>
        <v>0</v>
      </c>
      <c r="BR197" s="6">
        <v>0</v>
      </c>
      <c r="BS197" s="6">
        <f t="shared" si="273"/>
        <v>0</v>
      </c>
      <c r="BT197" s="6">
        <f t="shared" si="274"/>
        <v>0</v>
      </c>
      <c r="BU197" s="6">
        <v>0</v>
      </c>
      <c r="BV197" s="6">
        <f t="shared" si="275"/>
        <v>0</v>
      </c>
      <c r="BW197" s="6">
        <f t="shared" si="276"/>
        <v>0</v>
      </c>
      <c r="BX197" s="6">
        <v>0</v>
      </c>
      <c r="BY197" s="6">
        <f t="shared" si="277"/>
        <v>0</v>
      </c>
      <c r="BZ197" s="6">
        <f t="shared" si="278"/>
        <v>0</v>
      </c>
      <c r="CA197" s="6">
        <v>0</v>
      </c>
      <c r="CB197" s="6">
        <f t="shared" si="279"/>
        <v>0</v>
      </c>
      <c r="CC197" s="6">
        <f t="shared" si="280"/>
        <v>0</v>
      </c>
      <c r="CD197" s="6">
        <v>0</v>
      </c>
      <c r="CE197" s="6">
        <f t="shared" si="281"/>
        <v>0</v>
      </c>
      <c r="CF197" s="6">
        <f t="shared" si="282"/>
        <v>0</v>
      </c>
      <c r="CG197" s="6">
        <v>0</v>
      </c>
      <c r="CH197" s="6">
        <f t="shared" si="283"/>
        <v>0</v>
      </c>
      <c r="CI197" s="6">
        <f t="shared" si="284"/>
        <v>0</v>
      </c>
      <c r="CJ197" s="6">
        <v>0</v>
      </c>
      <c r="CK197" s="6">
        <f t="shared" si="285"/>
        <v>0</v>
      </c>
      <c r="CL197" s="6">
        <f t="shared" si="286"/>
        <v>0</v>
      </c>
      <c r="CM197" s="6">
        <v>0</v>
      </c>
      <c r="CN197" s="6">
        <f t="shared" si="287"/>
        <v>0</v>
      </c>
      <c r="CO197" s="6">
        <f t="shared" si="288"/>
        <v>0</v>
      </c>
      <c r="CP197" s="6">
        <v>0</v>
      </c>
      <c r="CQ197" s="6">
        <f t="shared" si="289"/>
        <v>0</v>
      </c>
      <c r="CR197" s="6">
        <f t="shared" si="290"/>
        <v>0</v>
      </c>
      <c r="CS197" s="6">
        <v>0</v>
      </c>
      <c r="CT197" s="6">
        <f t="shared" si="291"/>
        <v>0</v>
      </c>
      <c r="CU197" s="6">
        <f t="shared" si="292"/>
        <v>0</v>
      </c>
      <c r="CV197" s="6">
        <v>0</v>
      </c>
      <c r="CW197" s="6">
        <f t="shared" si="293"/>
        <v>0</v>
      </c>
      <c r="CX197" s="6">
        <f t="shared" si="294"/>
        <v>0</v>
      </c>
      <c r="CY197" s="6">
        <v>0</v>
      </c>
      <c r="CZ197" s="6">
        <f t="shared" si="295"/>
        <v>0</v>
      </c>
      <c r="DA197" s="6">
        <f t="shared" si="296"/>
        <v>0</v>
      </c>
      <c r="DB197" s="6">
        <v>0</v>
      </c>
      <c r="DC197" s="6">
        <f t="shared" si="297"/>
        <v>0</v>
      </c>
      <c r="DD197" s="6">
        <f t="shared" si="298"/>
        <v>0</v>
      </c>
      <c r="DE197" s="6">
        <v>0</v>
      </c>
      <c r="DF197" s="6">
        <f t="shared" si="299"/>
        <v>0</v>
      </c>
      <c r="DG197" s="6">
        <f t="shared" si="300"/>
        <v>0</v>
      </c>
      <c r="DH197" s="6">
        <v>0</v>
      </c>
      <c r="DI197" s="6">
        <f t="shared" si="301"/>
        <v>0</v>
      </c>
      <c r="DJ197" s="6">
        <f t="shared" si="302"/>
        <v>0</v>
      </c>
      <c r="DK197" s="6">
        <v>0</v>
      </c>
      <c r="DL197" s="6">
        <f t="shared" si="303"/>
        <v>0</v>
      </c>
      <c r="DM197" s="6">
        <f t="shared" si="304"/>
        <v>0</v>
      </c>
      <c r="DN197" s="6">
        <v>0</v>
      </c>
      <c r="DO197" s="6">
        <f t="shared" si="305"/>
        <v>0</v>
      </c>
      <c r="DP197" s="6">
        <f t="shared" si="306"/>
        <v>0</v>
      </c>
    </row>
    <row r="198" spans="1:120" x14ac:dyDescent="0.2">
      <c r="A198" s="21">
        <v>73</v>
      </c>
      <c r="B198" s="21" t="s">
        <v>582</v>
      </c>
      <c r="C198" s="21">
        <v>73585</v>
      </c>
      <c r="D198" s="21" t="s">
        <v>709</v>
      </c>
      <c r="E198" s="21" t="s">
        <v>575</v>
      </c>
      <c r="F198" s="22" t="s">
        <v>666</v>
      </c>
      <c r="G198" s="4" t="s">
        <v>310</v>
      </c>
      <c r="H198" s="6">
        <v>42728.480000000003</v>
      </c>
      <c r="I198" s="6">
        <f t="shared" si="238"/>
        <v>117.0643287671233</v>
      </c>
      <c r="J198" s="6">
        <v>38361</v>
      </c>
      <c r="K198" s="6">
        <v>35633.519999999997</v>
      </c>
      <c r="L198" s="6">
        <f t="shared" si="236"/>
        <v>97.359344262295068</v>
      </c>
      <c r="M198" s="6">
        <v>35164</v>
      </c>
      <c r="N198" s="6">
        <v>27985.99</v>
      </c>
      <c r="O198" s="6">
        <f t="shared" si="307"/>
        <v>76.673945205479455</v>
      </c>
      <c r="P198" s="6">
        <v>30491</v>
      </c>
      <c r="Q198" s="6">
        <v>12696.42</v>
      </c>
      <c r="R198" s="6">
        <f>Q198/181</f>
        <v>70.145966850828728</v>
      </c>
      <c r="S198" s="6">
        <v>26616</v>
      </c>
      <c r="T198" s="6">
        <f t="shared" si="239"/>
        <v>26616</v>
      </c>
      <c r="U198" s="6">
        <f t="shared" si="240"/>
        <v>72.920547945205485</v>
      </c>
      <c r="V198" s="6">
        <v>23425</v>
      </c>
      <c r="W198" s="6">
        <f t="shared" si="241"/>
        <v>23425</v>
      </c>
      <c r="X198" s="6">
        <f t="shared" si="242"/>
        <v>64.178082191780817</v>
      </c>
      <c r="Y198" s="6">
        <v>20617</v>
      </c>
      <c r="Z198" s="6">
        <f t="shared" si="243"/>
        <v>20617</v>
      </c>
      <c r="AA198" s="6">
        <f t="shared" si="244"/>
        <v>56.484931506849314</v>
      </c>
      <c r="AB198" s="6">
        <v>18290</v>
      </c>
      <c r="AC198" s="6">
        <f t="shared" si="245"/>
        <v>18290</v>
      </c>
      <c r="AD198" s="6">
        <f t="shared" si="246"/>
        <v>50.109589041095887</v>
      </c>
      <c r="AE198" s="6">
        <v>14444</v>
      </c>
      <c r="AF198" s="6">
        <f t="shared" si="247"/>
        <v>14444</v>
      </c>
      <c r="AG198" s="6">
        <f t="shared" si="248"/>
        <v>39.57260273972603</v>
      </c>
      <c r="AH198" s="6">
        <v>12993</v>
      </c>
      <c r="AI198" s="6">
        <f t="shared" si="249"/>
        <v>12993</v>
      </c>
      <c r="AJ198" s="6">
        <f t="shared" si="250"/>
        <v>35.597260273972601</v>
      </c>
      <c r="AK198" s="6">
        <v>0</v>
      </c>
      <c r="AL198" s="6">
        <f t="shared" si="251"/>
        <v>0</v>
      </c>
      <c r="AM198" s="6">
        <f t="shared" si="252"/>
        <v>0</v>
      </c>
      <c r="AN198" s="6">
        <v>0</v>
      </c>
      <c r="AO198" s="6">
        <f t="shared" si="253"/>
        <v>0</v>
      </c>
      <c r="AP198" s="6">
        <f t="shared" si="254"/>
        <v>0</v>
      </c>
      <c r="AQ198" s="6">
        <v>0</v>
      </c>
      <c r="AR198" s="6">
        <f t="shared" si="255"/>
        <v>0</v>
      </c>
      <c r="AS198" s="6">
        <f t="shared" si="256"/>
        <v>0</v>
      </c>
      <c r="AT198" s="6">
        <v>0</v>
      </c>
      <c r="AU198" s="6">
        <f t="shared" si="257"/>
        <v>0</v>
      </c>
      <c r="AV198" s="6">
        <f t="shared" si="258"/>
        <v>0</v>
      </c>
      <c r="AW198" s="6">
        <v>0</v>
      </c>
      <c r="AX198" s="6">
        <f t="shared" si="259"/>
        <v>0</v>
      </c>
      <c r="AY198" s="6">
        <f t="shared" si="260"/>
        <v>0</v>
      </c>
      <c r="AZ198" s="6">
        <v>0</v>
      </c>
      <c r="BA198" s="6">
        <f t="shared" si="261"/>
        <v>0</v>
      </c>
      <c r="BB198" s="6">
        <f t="shared" si="262"/>
        <v>0</v>
      </c>
      <c r="BC198" s="6">
        <v>0</v>
      </c>
      <c r="BD198" s="6">
        <f t="shared" si="263"/>
        <v>0</v>
      </c>
      <c r="BE198" s="6">
        <f t="shared" si="264"/>
        <v>0</v>
      </c>
      <c r="BF198" s="6">
        <v>0</v>
      </c>
      <c r="BG198" s="6">
        <f t="shared" si="265"/>
        <v>0</v>
      </c>
      <c r="BH198" s="6">
        <f t="shared" si="266"/>
        <v>0</v>
      </c>
      <c r="BI198" s="6">
        <v>0</v>
      </c>
      <c r="BJ198" s="6">
        <f t="shared" si="267"/>
        <v>0</v>
      </c>
      <c r="BK198" s="6">
        <f t="shared" si="268"/>
        <v>0</v>
      </c>
      <c r="BL198" s="6">
        <v>0</v>
      </c>
      <c r="BM198" s="6">
        <f t="shared" si="269"/>
        <v>0</v>
      </c>
      <c r="BN198" s="6">
        <f t="shared" si="270"/>
        <v>0</v>
      </c>
      <c r="BO198" s="6">
        <v>0</v>
      </c>
      <c r="BP198" s="6">
        <f t="shared" si="271"/>
        <v>0</v>
      </c>
      <c r="BQ198" s="6">
        <f t="shared" si="272"/>
        <v>0</v>
      </c>
      <c r="BR198" s="6">
        <v>0</v>
      </c>
      <c r="BS198" s="6">
        <f t="shared" si="273"/>
        <v>0</v>
      </c>
      <c r="BT198" s="6">
        <f t="shared" si="274"/>
        <v>0</v>
      </c>
      <c r="BU198" s="6">
        <v>0</v>
      </c>
      <c r="BV198" s="6">
        <f t="shared" si="275"/>
        <v>0</v>
      </c>
      <c r="BW198" s="6">
        <f t="shared" si="276"/>
        <v>0</v>
      </c>
      <c r="BX198" s="6">
        <v>0</v>
      </c>
      <c r="BY198" s="6">
        <f t="shared" si="277"/>
        <v>0</v>
      </c>
      <c r="BZ198" s="6">
        <f t="shared" si="278"/>
        <v>0</v>
      </c>
      <c r="CA198" s="6">
        <v>0</v>
      </c>
      <c r="CB198" s="6">
        <f t="shared" si="279"/>
        <v>0</v>
      </c>
      <c r="CC198" s="6">
        <f t="shared" si="280"/>
        <v>0</v>
      </c>
      <c r="CD198" s="6">
        <v>0</v>
      </c>
      <c r="CE198" s="6">
        <f t="shared" si="281"/>
        <v>0</v>
      </c>
      <c r="CF198" s="6">
        <f t="shared" si="282"/>
        <v>0</v>
      </c>
      <c r="CG198" s="6">
        <v>0</v>
      </c>
      <c r="CH198" s="6">
        <f t="shared" si="283"/>
        <v>0</v>
      </c>
      <c r="CI198" s="6">
        <f t="shared" si="284"/>
        <v>0</v>
      </c>
      <c r="CJ198" s="6">
        <v>0</v>
      </c>
      <c r="CK198" s="6">
        <f t="shared" si="285"/>
        <v>0</v>
      </c>
      <c r="CL198" s="6">
        <f t="shared" si="286"/>
        <v>0</v>
      </c>
      <c r="CM198" s="6">
        <v>0</v>
      </c>
      <c r="CN198" s="6">
        <f t="shared" si="287"/>
        <v>0</v>
      </c>
      <c r="CO198" s="6">
        <f t="shared" si="288"/>
        <v>0</v>
      </c>
      <c r="CP198" s="6">
        <v>0</v>
      </c>
      <c r="CQ198" s="6">
        <f t="shared" si="289"/>
        <v>0</v>
      </c>
      <c r="CR198" s="6">
        <f t="shared" si="290"/>
        <v>0</v>
      </c>
      <c r="CS198" s="6">
        <v>0</v>
      </c>
      <c r="CT198" s="6">
        <f t="shared" si="291"/>
        <v>0</v>
      </c>
      <c r="CU198" s="6">
        <f t="shared" si="292"/>
        <v>0</v>
      </c>
      <c r="CV198" s="6">
        <v>0</v>
      </c>
      <c r="CW198" s="6">
        <f t="shared" si="293"/>
        <v>0</v>
      </c>
      <c r="CX198" s="6">
        <f t="shared" si="294"/>
        <v>0</v>
      </c>
      <c r="CY198" s="6">
        <v>0</v>
      </c>
      <c r="CZ198" s="6">
        <f t="shared" si="295"/>
        <v>0</v>
      </c>
      <c r="DA198" s="6">
        <f t="shared" si="296"/>
        <v>0</v>
      </c>
      <c r="DB198" s="6">
        <v>0</v>
      </c>
      <c r="DC198" s="6">
        <f t="shared" si="297"/>
        <v>0</v>
      </c>
      <c r="DD198" s="6">
        <f t="shared" si="298"/>
        <v>0</v>
      </c>
      <c r="DE198" s="6">
        <v>0</v>
      </c>
      <c r="DF198" s="6">
        <f t="shared" si="299"/>
        <v>0</v>
      </c>
      <c r="DG198" s="6">
        <f t="shared" si="300"/>
        <v>0</v>
      </c>
      <c r="DH198" s="6">
        <v>0</v>
      </c>
      <c r="DI198" s="6">
        <f t="shared" si="301"/>
        <v>0</v>
      </c>
      <c r="DJ198" s="6">
        <f t="shared" si="302"/>
        <v>0</v>
      </c>
      <c r="DK198" s="6">
        <v>0</v>
      </c>
      <c r="DL198" s="6">
        <f t="shared" si="303"/>
        <v>0</v>
      </c>
      <c r="DM198" s="6">
        <f t="shared" si="304"/>
        <v>0</v>
      </c>
      <c r="DN198" s="6">
        <v>0</v>
      </c>
      <c r="DO198" s="6">
        <f t="shared" si="305"/>
        <v>0</v>
      </c>
      <c r="DP198" s="6">
        <f t="shared" si="306"/>
        <v>0</v>
      </c>
    </row>
    <row r="199" spans="1:120" x14ac:dyDescent="0.2">
      <c r="A199" s="21">
        <v>85</v>
      </c>
      <c r="B199" s="21" t="s">
        <v>612</v>
      </c>
      <c r="C199" s="21">
        <v>85230</v>
      </c>
      <c r="D199" s="21" t="s">
        <v>614</v>
      </c>
      <c r="E199" s="21" t="s">
        <v>542</v>
      </c>
      <c r="F199" s="22" t="s">
        <v>693</v>
      </c>
      <c r="G199" s="4" t="s">
        <v>311</v>
      </c>
      <c r="H199" s="6">
        <v>17462.07</v>
      </c>
      <c r="I199" s="6">
        <f t="shared" si="238"/>
        <v>47.841287671232877</v>
      </c>
      <c r="J199" s="6">
        <v>11701</v>
      </c>
      <c r="K199" s="6">
        <v>6286.13</v>
      </c>
      <c r="L199" s="6">
        <f t="shared" si="236"/>
        <v>17.175218579234972</v>
      </c>
      <c r="M199" s="6">
        <v>7585</v>
      </c>
      <c r="N199" s="6">
        <v>1004.45</v>
      </c>
      <c r="O199" s="6">
        <f t="shared" si="307"/>
        <v>2.7519178082191784</v>
      </c>
      <c r="P199" s="6">
        <v>4930</v>
      </c>
      <c r="Q199" s="6"/>
      <c r="R199" s="6"/>
      <c r="S199" s="6">
        <v>3206</v>
      </c>
      <c r="T199" s="6">
        <f t="shared" si="239"/>
        <v>3206</v>
      </c>
      <c r="U199" s="6">
        <f t="shared" si="240"/>
        <v>8.7835616438356166</v>
      </c>
      <c r="V199" s="6">
        <v>2088</v>
      </c>
      <c r="W199" s="6">
        <f t="shared" si="241"/>
        <v>2088</v>
      </c>
      <c r="X199" s="6">
        <f t="shared" si="242"/>
        <v>5.720547945205479</v>
      </c>
      <c r="Y199" s="6">
        <v>0</v>
      </c>
      <c r="Z199" s="6">
        <f t="shared" si="243"/>
        <v>0</v>
      </c>
      <c r="AA199" s="6">
        <f t="shared" si="244"/>
        <v>0</v>
      </c>
      <c r="AB199" s="6">
        <v>0</v>
      </c>
      <c r="AC199" s="6">
        <f t="shared" si="245"/>
        <v>0</v>
      </c>
      <c r="AD199" s="6">
        <f t="shared" si="246"/>
        <v>0</v>
      </c>
      <c r="AE199" s="6">
        <v>0</v>
      </c>
      <c r="AF199" s="6">
        <f t="shared" si="247"/>
        <v>0</v>
      </c>
      <c r="AG199" s="6">
        <f t="shared" si="248"/>
        <v>0</v>
      </c>
      <c r="AH199" s="6">
        <v>0</v>
      </c>
      <c r="AI199" s="6">
        <f t="shared" si="249"/>
        <v>0</v>
      </c>
      <c r="AJ199" s="6">
        <f t="shared" si="250"/>
        <v>0</v>
      </c>
      <c r="AK199" s="6">
        <v>0</v>
      </c>
      <c r="AL199" s="6">
        <f t="shared" si="251"/>
        <v>0</v>
      </c>
      <c r="AM199" s="6">
        <f t="shared" si="252"/>
        <v>0</v>
      </c>
      <c r="AN199" s="6">
        <v>0</v>
      </c>
      <c r="AO199" s="6">
        <f t="shared" si="253"/>
        <v>0</v>
      </c>
      <c r="AP199" s="6">
        <f t="shared" si="254"/>
        <v>0</v>
      </c>
      <c r="AQ199" s="6">
        <v>0</v>
      </c>
      <c r="AR199" s="6">
        <f t="shared" si="255"/>
        <v>0</v>
      </c>
      <c r="AS199" s="6">
        <f t="shared" si="256"/>
        <v>0</v>
      </c>
      <c r="AT199" s="6">
        <v>0</v>
      </c>
      <c r="AU199" s="6">
        <f t="shared" si="257"/>
        <v>0</v>
      </c>
      <c r="AV199" s="6">
        <f t="shared" si="258"/>
        <v>0</v>
      </c>
      <c r="AW199" s="6">
        <v>0</v>
      </c>
      <c r="AX199" s="6">
        <f t="shared" si="259"/>
        <v>0</v>
      </c>
      <c r="AY199" s="6">
        <f t="shared" si="260"/>
        <v>0</v>
      </c>
      <c r="AZ199" s="6">
        <v>0</v>
      </c>
      <c r="BA199" s="6">
        <f t="shared" si="261"/>
        <v>0</v>
      </c>
      <c r="BB199" s="6">
        <f t="shared" si="262"/>
        <v>0</v>
      </c>
      <c r="BC199" s="6">
        <v>0</v>
      </c>
      <c r="BD199" s="6">
        <f t="shared" si="263"/>
        <v>0</v>
      </c>
      <c r="BE199" s="6">
        <f t="shared" si="264"/>
        <v>0</v>
      </c>
      <c r="BF199" s="6">
        <v>0</v>
      </c>
      <c r="BG199" s="6">
        <f t="shared" si="265"/>
        <v>0</v>
      </c>
      <c r="BH199" s="6">
        <f t="shared" si="266"/>
        <v>0</v>
      </c>
      <c r="BI199" s="6">
        <v>0</v>
      </c>
      <c r="BJ199" s="6">
        <f t="shared" si="267"/>
        <v>0</v>
      </c>
      <c r="BK199" s="6">
        <f t="shared" si="268"/>
        <v>0</v>
      </c>
      <c r="BL199" s="6">
        <v>0</v>
      </c>
      <c r="BM199" s="6">
        <f t="shared" si="269"/>
        <v>0</v>
      </c>
      <c r="BN199" s="6">
        <f t="shared" si="270"/>
        <v>0</v>
      </c>
      <c r="BO199" s="6">
        <v>0</v>
      </c>
      <c r="BP199" s="6">
        <f t="shared" si="271"/>
        <v>0</v>
      </c>
      <c r="BQ199" s="6">
        <f t="shared" si="272"/>
        <v>0</v>
      </c>
      <c r="BR199" s="6">
        <v>0</v>
      </c>
      <c r="BS199" s="6">
        <f t="shared" si="273"/>
        <v>0</v>
      </c>
      <c r="BT199" s="6">
        <f t="shared" si="274"/>
        <v>0</v>
      </c>
      <c r="BU199" s="6">
        <v>0</v>
      </c>
      <c r="BV199" s="6">
        <f t="shared" si="275"/>
        <v>0</v>
      </c>
      <c r="BW199" s="6">
        <f t="shared" si="276"/>
        <v>0</v>
      </c>
      <c r="BX199" s="6">
        <v>0</v>
      </c>
      <c r="BY199" s="6">
        <f t="shared" si="277"/>
        <v>0</v>
      </c>
      <c r="BZ199" s="6">
        <f t="shared" si="278"/>
        <v>0</v>
      </c>
      <c r="CA199" s="6">
        <v>0</v>
      </c>
      <c r="CB199" s="6">
        <f t="shared" si="279"/>
        <v>0</v>
      </c>
      <c r="CC199" s="6">
        <f t="shared" si="280"/>
        <v>0</v>
      </c>
      <c r="CD199" s="6">
        <v>0</v>
      </c>
      <c r="CE199" s="6">
        <f t="shared" si="281"/>
        <v>0</v>
      </c>
      <c r="CF199" s="6">
        <f t="shared" si="282"/>
        <v>0</v>
      </c>
      <c r="CG199" s="6">
        <v>0</v>
      </c>
      <c r="CH199" s="6">
        <f t="shared" si="283"/>
        <v>0</v>
      </c>
      <c r="CI199" s="6">
        <f t="shared" si="284"/>
        <v>0</v>
      </c>
      <c r="CJ199" s="6">
        <v>0</v>
      </c>
      <c r="CK199" s="6">
        <f t="shared" si="285"/>
        <v>0</v>
      </c>
      <c r="CL199" s="6">
        <f t="shared" si="286"/>
        <v>0</v>
      </c>
      <c r="CM199" s="6">
        <v>0</v>
      </c>
      <c r="CN199" s="6">
        <f t="shared" si="287"/>
        <v>0</v>
      </c>
      <c r="CO199" s="6">
        <f t="shared" si="288"/>
        <v>0</v>
      </c>
      <c r="CP199" s="6">
        <v>0</v>
      </c>
      <c r="CQ199" s="6">
        <f t="shared" si="289"/>
        <v>0</v>
      </c>
      <c r="CR199" s="6">
        <f t="shared" si="290"/>
        <v>0</v>
      </c>
      <c r="CS199" s="6">
        <v>0</v>
      </c>
      <c r="CT199" s="6">
        <f t="shared" si="291"/>
        <v>0</v>
      </c>
      <c r="CU199" s="6">
        <f t="shared" si="292"/>
        <v>0</v>
      </c>
      <c r="CV199" s="6">
        <v>0</v>
      </c>
      <c r="CW199" s="6">
        <f t="shared" si="293"/>
        <v>0</v>
      </c>
      <c r="CX199" s="6">
        <f t="shared" si="294"/>
        <v>0</v>
      </c>
      <c r="CY199" s="6">
        <v>0</v>
      </c>
      <c r="CZ199" s="6">
        <f t="shared" si="295"/>
        <v>0</v>
      </c>
      <c r="DA199" s="6">
        <f t="shared" si="296"/>
        <v>0</v>
      </c>
      <c r="DB199" s="6">
        <v>0</v>
      </c>
      <c r="DC199" s="6">
        <f t="shared" si="297"/>
        <v>0</v>
      </c>
      <c r="DD199" s="6">
        <f t="shared" si="298"/>
        <v>0</v>
      </c>
      <c r="DE199" s="6">
        <v>0</v>
      </c>
      <c r="DF199" s="6">
        <f t="shared" si="299"/>
        <v>0</v>
      </c>
      <c r="DG199" s="6">
        <f t="shared" si="300"/>
        <v>0</v>
      </c>
      <c r="DH199" s="6">
        <v>0</v>
      </c>
      <c r="DI199" s="6">
        <f t="shared" si="301"/>
        <v>0</v>
      </c>
      <c r="DJ199" s="6">
        <f t="shared" si="302"/>
        <v>0</v>
      </c>
      <c r="DK199" s="6">
        <v>0</v>
      </c>
      <c r="DL199" s="6">
        <f t="shared" si="303"/>
        <v>0</v>
      </c>
      <c r="DM199" s="6">
        <f t="shared" si="304"/>
        <v>0</v>
      </c>
      <c r="DN199" s="6">
        <v>0</v>
      </c>
      <c r="DO199" s="6">
        <f t="shared" si="305"/>
        <v>0</v>
      </c>
      <c r="DP199" s="6">
        <f t="shared" si="306"/>
        <v>0</v>
      </c>
    </row>
    <row r="200" spans="1:120" x14ac:dyDescent="0.2">
      <c r="A200" s="21">
        <v>85</v>
      </c>
      <c r="B200" s="21" t="s">
        <v>612</v>
      </c>
      <c r="C200" s="21">
        <v>85230</v>
      </c>
      <c r="D200" s="21" t="s">
        <v>614</v>
      </c>
      <c r="E200" s="21" t="s">
        <v>624</v>
      </c>
      <c r="F200" s="22" t="s">
        <v>693</v>
      </c>
      <c r="G200" s="4" t="s">
        <v>312</v>
      </c>
      <c r="H200" s="6">
        <v>4507.12</v>
      </c>
      <c r="I200" s="6">
        <f t="shared" si="238"/>
        <v>12.348273972602739</v>
      </c>
      <c r="J200" s="6">
        <v>22851.997100000001</v>
      </c>
      <c r="K200" s="6">
        <v>18620.919999999998</v>
      </c>
      <c r="L200" s="6">
        <f t="shared" si="236"/>
        <v>50.876830601092891</v>
      </c>
      <c r="M200" s="6">
        <v>40551.4519</v>
      </c>
      <c r="N200" s="6">
        <v>15367.59</v>
      </c>
      <c r="O200" s="6">
        <f t="shared" si="307"/>
        <v>42.10298630136986</v>
      </c>
      <c r="P200" s="6">
        <v>24949.730500000001</v>
      </c>
      <c r="Q200" s="6">
        <v>3631.78</v>
      </c>
      <c r="R200" s="6">
        <f t="shared" ref="R200:R205" si="308">Q200/181</f>
        <v>20.065082872928176</v>
      </c>
      <c r="S200" s="6">
        <v>5341.2776000000003</v>
      </c>
      <c r="T200" s="6">
        <f t="shared" si="239"/>
        <v>5341.2776000000003</v>
      </c>
      <c r="U200" s="6">
        <f t="shared" si="240"/>
        <v>14.633637260273973</v>
      </c>
      <c r="V200" s="6">
        <v>0</v>
      </c>
      <c r="W200" s="6">
        <f t="shared" si="241"/>
        <v>0</v>
      </c>
      <c r="X200" s="6">
        <f t="shared" si="242"/>
        <v>0</v>
      </c>
      <c r="Y200" s="6">
        <v>0</v>
      </c>
      <c r="Z200" s="6">
        <f t="shared" si="243"/>
        <v>0</v>
      </c>
      <c r="AA200" s="6">
        <f t="shared" si="244"/>
        <v>0</v>
      </c>
      <c r="AB200" s="6">
        <v>0</v>
      </c>
      <c r="AC200" s="6">
        <f t="shared" si="245"/>
        <v>0</v>
      </c>
      <c r="AD200" s="6">
        <f t="shared" si="246"/>
        <v>0</v>
      </c>
      <c r="AE200" s="6">
        <v>0</v>
      </c>
      <c r="AF200" s="6">
        <f t="shared" si="247"/>
        <v>0</v>
      </c>
      <c r="AG200" s="6">
        <f t="shared" si="248"/>
        <v>0</v>
      </c>
      <c r="AH200" s="6">
        <v>0</v>
      </c>
      <c r="AI200" s="6">
        <f t="shared" si="249"/>
        <v>0</v>
      </c>
      <c r="AJ200" s="6">
        <f t="shared" si="250"/>
        <v>0</v>
      </c>
      <c r="AK200" s="6">
        <v>0</v>
      </c>
      <c r="AL200" s="6">
        <f t="shared" si="251"/>
        <v>0</v>
      </c>
      <c r="AM200" s="6">
        <f t="shared" si="252"/>
        <v>0</v>
      </c>
      <c r="AN200" s="6">
        <v>0</v>
      </c>
      <c r="AO200" s="6">
        <f t="shared" si="253"/>
        <v>0</v>
      </c>
      <c r="AP200" s="6">
        <f t="shared" si="254"/>
        <v>0</v>
      </c>
      <c r="AQ200" s="6">
        <v>0</v>
      </c>
      <c r="AR200" s="6">
        <f t="shared" si="255"/>
        <v>0</v>
      </c>
      <c r="AS200" s="6">
        <f t="shared" si="256"/>
        <v>0</v>
      </c>
      <c r="AT200" s="6">
        <v>0</v>
      </c>
      <c r="AU200" s="6">
        <f t="shared" si="257"/>
        <v>0</v>
      </c>
      <c r="AV200" s="6">
        <f t="shared" si="258"/>
        <v>0</v>
      </c>
      <c r="AW200" s="6">
        <v>0</v>
      </c>
      <c r="AX200" s="6">
        <f t="shared" si="259"/>
        <v>0</v>
      </c>
      <c r="AY200" s="6">
        <f t="shared" si="260"/>
        <v>0</v>
      </c>
      <c r="AZ200" s="6">
        <v>0</v>
      </c>
      <c r="BA200" s="6">
        <f t="shared" si="261"/>
        <v>0</v>
      </c>
      <c r="BB200" s="6">
        <f t="shared" si="262"/>
        <v>0</v>
      </c>
      <c r="BC200" s="6">
        <v>0</v>
      </c>
      <c r="BD200" s="6">
        <f t="shared" si="263"/>
        <v>0</v>
      </c>
      <c r="BE200" s="6">
        <f t="shared" si="264"/>
        <v>0</v>
      </c>
      <c r="BF200" s="6">
        <v>0</v>
      </c>
      <c r="BG200" s="6">
        <f t="shared" si="265"/>
        <v>0</v>
      </c>
      <c r="BH200" s="6">
        <f t="shared" si="266"/>
        <v>0</v>
      </c>
      <c r="BI200" s="6">
        <v>0</v>
      </c>
      <c r="BJ200" s="6">
        <f t="shared" si="267"/>
        <v>0</v>
      </c>
      <c r="BK200" s="6">
        <f t="shared" si="268"/>
        <v>0</v>
      </c>
      <c r="BL200" s="6">
        <v>0</v>
      </c>
      <c r="BM200" s="6">
        <f t="shared" si="269"/>
        <v>0</v>
      </c>
      <c r="BN200" s="6">
        <f t="shared" si="270"/>
        <v>0</v>
      </c>
      <c r="BO200" s="6">
        <v>0</v>
      </c>
      <c r="BP200" s="6">
        <f t="shared" si="271"/>
        <v>0</v>
      </c>
      <c r="BQ200" s="6">
        <f t="shared" si="272"/>
        <v>0</v>
      </c>
      <c r="BR200" s="6">
        <v>0</v>
      </c>
      <c r="BS200" s="6">
        <f t="shared" si="273"/>
        <v>0</v>
      </c>
      <c r="BT200" s="6">
        <f t="shared" si="274"/>
        <v>0</v>
      </c>
      <c r="BU200" s="6">
        <v>0</v>
      </c>
      <c r="BV200" s="6">
        <f t="shared" si="275"/>
        <v>0</v>
      </c>
      <c r="BW200" s="6">
        <f t="shared" si="276"/>
        <v>0</v>
      </c>
      <c r="BX200" s="6">
        <v>0</v>
      </c>
      <c r="BY200" s="6">
        <f t="shared" si="277"/>
        <v>0</v>
      </c>
      <c r="BZ200" s="6">
        <f t="shared" si="278"/>
        <v>0</v>
      </c>
      <c r="CA200" s="6">
        <v>0</v>
      </c>
      <c r="CB200" s="6">
        <f t="shared" si="279"/>
        <v>0</v>
      </c>
      <c r="CC200" s="6">
        <f t="shared" si="280"/>
        <v>0</v>
      </c>
      <c r="CD200" s="6">
        <v>0</v>
      </c>
      <c r="CE200" s="6">
        <f t="shared" si="281"/>
        <v>0</v>
      </c>
      <c r="CF200" s="6">
        <f t="shared" si="282"/>
        <v>0</v>
      </c>
      <c r="CG200" s="6">
        <v>0</v>
      </c>
      <c r="CH200" s="6">
        <f t="shared" si="283"/>
        <v>0</v>
      </c>
      <c r="CI200" s="6">
        <f t="shared" si="284"/>
        <v>0</v>
      </c>
      <c r="CJ200" s="6">
        <v>0</v>
      </c>
      <c r="CK200" s="6">
        <f t="shared" si="285"/>
        <v>0</v>
      </c>
      <c r="CL200" s="6">
        <f t="shared" si="286"/>
        <v>0</v>
      </c>
      <c r="CM200" s="6">
        <v>0</v>
      </c>
      <c r="CN200" s="6">
        <f t="shared" si="287"/>
        <v>0</v>
      </c>
      <c r="CO200" s="6">
        <f t="shared" si="288"/>
        <v>0</v>
      </c>
      <c r="CP200" s="6">
        <v>0</v>
      </c>
      <c r="CQ200" s="6">
        <f t="shared" si="289"/>
        <v>0</v>
      </c>
      <c r="CR200" s="6">
        <f t="shared" si="290"/>
        <v>0</v>
      </c>
      <c r="CS200" s="6">
        <v>0</v>
      </c>
      <c r="CT200" s="6">
        <f t="shared" si="291"/>
        <v>0</v>
      </c>
      <c r="CU200" s="6">
        <f t="shared" si="292"/>
        <v>0</v>
      </c>
      <c r="CV200" s="6">
        <v>0</v>
      </c>
      <c r="CW200" s="6">
        <f t="shared" si="293"/>
        <v>0</v>
      </c>
      <c r="CX200" s="6">
        <f t="shared" si="294"/>
        <v>0</v>
      </c>
      <c r="CY200" s="6">
        <v>0</v>
      </c>
      <c r="CZ200" s="6">
        <f t="shared" si="295"/>
        <v>0</v>
      </c>
      <c r="DA200" s="6">
        <f t="shared" si="296"/>
        <v>0</v>
      </c>
      <c r="DB200" s="6">
        <v>0</v>
      </c>
      <c r="DC200" s="6">
        <f t="shared" si="297"/>
        <v>0</v>
      </c>
      <c r="DD200" s="6">
        <f t="shared" si="298"/>
        <v>0</v>
      </c>
      <c r="DE200" s="6">
        <v>0</v>
      </c>
      <c r="DF200" s="6">
        <f t="shared" si="299"/>
        <v>0</v>
      </c>
      <c r="DG200" s="6">
        <f t="shared" si="300"/>
        <v>0</v>
      </c>
      <c r="DH200" s="6">
        <v>0</v>
      </c>
      <c r="DI200" s="6">
        <f t="shared" si="301"/>
        <v>0</v>
      </c>
      <c r="DJ200" s="6">
        <f t="shared" si="302"/>
        <v>0</v>
      </c>
      <c r="DK200" s="6">
        <v>0</v>
      </c>
      <c r="DL200" s="6">
        <f t="shared" si="303"/>
        <v>0</v>
      </c>
      <c r="DM200" s="6">
        <f t="shared" si="304"/>
        <v>0</v>
      </c>
      <c r="DN200" s="6">
        <v>0</v>
      </c>
      <c r="DO200" s="6">
        <f t="shared" si="305"/>
        <v>0</v>
      </c>
      <c r="DP200" s="6">
        <f t="shared" si="306"/>
        <v>0</v>
      </c>
    </row>
    <row r="201" spans="1:120" x14ac:dyDescent="0.2">
      <c r="A201" s="21">
        <v>85</v>
      </c>
      <c r="B201" s="21" t="s">
        <v>612</v>
      </c>
      <c r="C201" s="21">
        <v>85230</v>
      </c>
      <c r="D201" s="21" t="s">
        <v>614</v>
      </c>
      <c r="E201" s="21" t="s">
        <v>624</v>
      </c>
      <c r="F201" s="22" t="s">
        <v>693</v>
      </c>
      <c r="G201" s="4" t="s">
        <v>313</v>
      </c>
      <c r="H201" s="6">
        <v>180688</v>
      </c>
      <c r="I201" s="6">
        <f t="shared" si="238"/>
        <v>495.03561643835616</v>
      </c>
      <c r="J201" s="6">
        <v>539376.09030000004</v>
      </c>
      <c r="K201" s="6">
        <v>144888.19</v>
      </c>
      <c r="L201" s="6">
        <f t="shared" si="236"/>
        <v>395.86937158469948</v>
      </c>
      <c r="M201" s="6">
        <v>802432.79579999996</v>
      </c>
      <c r="N201" s="6">
        <v>167687.88</v>
      </c>
      <c r="O201" s="6">
        <f t="shared" si="307"/>
        <v>459.41884931506848</v>
      </c>
      <c r="P201" s="6">
        <v>633649.99109999998</v>
      </c>
      <c r="Q201" s="6">
        <v>73251.88</v>
      </c>
      <c r="R201" s="6">
        <f t="shared" si="308"/>
        <v>404.70651933701657</v>
      </c>
      <c r="S201" s="6">
        <v>476103.4952</v>
      </c>
      <c r="T201" s="6">
        <f t="shared" si="239"/>
        <v>476103.4952</v>
      </c>
      <c r="U201" s="6">
        <f t="shared" si="240"/>
        <v>1304.3931375342465</v>
      </c>
      <c r="V201" s="6">
        <v>383887.93</v>
      </c>
      <c r="W201" s="6">
        <f t="shared" si="241"/>
        <v>383887.93</v>
      </c>
      <c r="X201" s="6">
        <f t="shared" si="242"/>
        <v>1051.7477534246575</v>
      </c>
      <c r="Y201" s="6">
        <v>274604.59179999999</v>
      </c>
      <c r="Z201" s="6">
        <f t="shared" si="243"/>
        <v>274604.59179999999</v>
      </c>
      <c r="AA201" s="6">
        <f t="shared" si="244"/>
        <v>752.34134739726028</v>
      </c>
      <c r="AB201" s="6">
        <v>211363.3597</v>
      </c>
      <c r="AC201" s="6">
        <f t="shared" si="245"/>
        <v>211363.3597</v>
      </c>
      <c r="AD201" s="6">
        <f t="shared" si="246"/>
        <v>579.07769780821923</v>
      </c>
      <c r="AE201" s="6">
        <v>164903.52600000001</v>
      </c>
      <c r="AF201" s="6">
        <f t="shared" si="247"/>
        <v>164903.52600000001</v>
      </c>
      <c r="AG201" s="6">
        <f t="shared" si="248"/>
        <v>451.79048219178088</v>
      </c>
      <c r="AH201" s="6">
        <v>72104.541700000002</v>
      </c>
      <c r="AI201" s="6">
        <f t="shared" si="249"/>
        <v>72104.541700000002</v>
      </c>
      <c r="AJ201" s="6">
        <f t="shared" si="250"/>
        <v>197.54668958904111</v>
      </c>
      <c r="AK201" s="6">
        <v>0</v>
      </c>
      <c r="AL201" s="6">
        <f t="shared" si="251"/>
        <v>0</v>
      </c>
      <c r="AM201" s="6">
        <f t="shared" si="252"/>
        <v>0</v>
      </c>
      <c r="AN201" s="6">
        <v>0</v>
      </c>
      <c r="AO201" s="6">
        <f t="shared" si="253"/>
        <v>0</v>
      </c>
      <c r="AP201" s="6">
        <f t="shared" si="254"/>
        <v>0</v>
      </c>
      <c r="AQ201" s="6">
        <v>0</v>
      </c>
      <c r="AR201" s="6">
        <f t="shared" si="255"/>
        <v>0</v>
      </c>
      <c r="AS201" s="6">
        <f t="shared" si="256"/>
        <v>0</v>
      </c>
      <c r="AT201" s="6">
        <v>0</v>
      </c>
      <c r="AU201" s="6">
        <f t="shared" si="257"/>
        <v>0</v>
      </c>
      <c r="AV201" s="6">
        <f t="shared" si="258"/>
        <v>0</v>
      </c>
      <c r="AW201" s="6">
        <v>0</v>
      </c>
      <c r="AX201" s="6">
        <f t="shared" si="259"/>
        <v>0</v>
      </c>
      <c r="AY201" s="6">
        <f t="shared" si="260"/>
        <v>0</v>
      </c>
      <c r="AZ201" s="6">
        <v>0</v>
      </c>
      <c r="BA201" s="6">
        <f t="shared" si="261"/>
        <v>0</v>
      </c>
      <c r="BB201" s="6">
        <f t="shared" si="262"/>
        <v>0</v>
      </c>
      <c r="BC201" s="6">
        <v>0</v>
      </c>
      <c r="BD201" s="6">
        <f t="shared" si="263"/>
        <v>0</v>
      </c>
      <c r="BE201" s="6">
        <f t="shared" si="264"/>
        <v>0</v>
      </c>
      <c r="BF201" s="6">
        <v>0</v>
      </c>
      <c r="BG201" s="6">
        <f t="shared" si="265"/>
        <v>0</v>
      </c>
      <c r="BH201" s="6">
        <f t="shared" si="266"/>
        <v>0</v>
      </c>
      <c r="BI201" s="6">
        <v>0</v>
      </c>
      <c r="BJ201" s="6">
        <f t="shared" si="267"/>
        <v>0</v>
      </c>
      <c r="BK201" s="6">
        <f t="shared" si="268"/>
        <v>0</v>
      </c>
      <c r="BL201" s="6">
        <v>0</v>
      </c>
      <c r="BM201" s="6">
        <f t="shared" si="269"/>
        <v>0</v>
      </c>
      <c r="BN201" s="6">
        <f t="shared" si="270"/>
        <v>0</v>
      </c>
      <c r="BO201" s="6">
        <v>0</v>
      </c>
      <c r="BP201" s="6">
        <f t="shared" si="271"/>
        <v>0</v>
      </c>
      <c r="BQ201" s="6">
        <f t="shared" si="272"/>
        <v>0</v>
      </c>
      <c r="BR201" s="6">
        <v>0</v>
      </c>
      <c r="BS201" s="6">
        <f t="shared" si="273"/>
        <v>0</v>
      </c>
      <c r="BT201" s="6">
        <f t="shared" si="274"/>
        <v>0</v>
      </c>
      <c r="BU201" s="6">
        <v>0</v>
      </c>
      <c r="BV201" s="6">
        <f t="shared" si="275"/>
        <v>0</v>
      </c>
      <c r="BW201" s="6">
        <f t="shared" si="276"/>
        <v>0</v>
      </c>
      <c r="BX201" s="6">
        <v>0</v>
      </c>
      <c r="BY201" s="6">
        <f t="shared" si="277"/>
        <v>0</v>
      </c>
      <c r="BZ201" s="6">
        <f t="shared" si="278"/>
        <v>0</v>
      </c>
      <c r="CA201" s="6">
        <v>0</v>
      </c>
      <c r="CB201" s="6">
        <f t="shared" si="279"/>
        <v>0</v>
      </c>
      <c r="CC201" s="6">
        <f t="shared" si="280"/>
        <v>0</v>
      </c>
      <c r="CD201" s="6">
        <v>0</v>
      </c>
      <c r="CE201" s="6">
        <f t="shared" si="281"/>
        <v>0</v>
      </c>
      <c r="CF201" s="6">
        <f t="shared" si="282"/>
        <v>0</v>
      </c>
      <c r="CG201" s="6">
        <v>0</v>
      </c>
      <c r="CH201" s="6">
        <f t="shared" si="283"/>
        <v>0</v>
      </c>
      <c r="CI201" s="6">
        <f t="shared" si="284"/>
        <v>0</v>
      </c>
      <c r="CJ201" s="6">
        <v>0</v>
      </c>
      <c r="CK201" s="6">
        <f t="shared" si="285"/>
        <v>0</v>
      </c>
      <c r="CL201" s="6">
        <f t="shared" si="286"/>
        <v>0</v>
      </c>
      <c r="CM201" s="6">
        <v>0</v>
      </c>
      <c r="CN201" s="6">
        <f t="shared" si="287"/>
        <v>0</v>
      </c>
      <c r="CO201" s="6">
        <f t="shared" si="288"/>
        <v>0</v>
      </c>
      <c r="CP201" s="6">
        <v>0</v>
      </c>
      <c r="CQ201" s="6">
        <f t="shared" si="289"/>
        <v>0</v>
      </c>
      <c r="CR201" s="6">
        <f t="shared" si="290"/>
        <v>0</v>
      </c>
      <c r="CS201" s="6">
        <v>0</v>
      </c>
      <c r="CT201" s="6">
        <f t="shared" si="291"/>
        <v>0</v>
      </c>
      <c r="CU201" s="6">
        <f t="shared" si="292"/>
        <v>0</v>
      </c>
      <c r="CV201" s="6">
        <v>0</v>
      </c>
      <c r="CW201" s="6">
        <f t="shared" si="293"/>
        <v>0</v>
      </c>
      <c r="CX201" s="6">
        <f t="shared" si="294"/>
        <v>0</v>
      </c>
      <c r="CY201" s="6">
        <v>0</v>
      </c>
      <c r="CZ201" s="6">
        <f t="shared" si="295"/>
        <v>0</v>
      </c>
      <c r="DA201" s="6">
        <f t="shared" si="296"/>
        <v>0</v>
      </c>
      <c r="DB201" s="6">
        <v>0</v>
      </c>
      <c r="DC201" s="6">
        <f t="shared" si="297"/>
        <v>0</v>
      </c>
      <c r="DD201" s="6">
        <f t="shared" si="298"/>
        <v>0</v>
      </c>
      <c r="DE201" s="6">
        <v>0</v>
      </c>
      <c r="DF201" s="6">
        <f t="shared" si="299"/>
        <v>0</v>
      </c>
      <c r="DG201" s="6">
        <f t="shared" si="300"/>
        <v>0</v>
      </c>
      <c r="DH201" s="6">
        <v>0</v>
      </c>
      <c r="DI201" s="6">
        <f t="shared" si="301"/>
        <v>0</v>
      </c>
      <c r="DJ201" s="6">
        <f t="shared" si="302"/>
        <v>0</v>
      </c>
      <c r="DK201" s="6">
        <v>0</v>
      </c>
      <c r="DL201" s="6">
        <f t="shared" si="303"/>
        <v>0</v>
      </c>
      <c r="DM201" s="6">
        <f t="shared" si="304"/>
        <v>0</v>
      </c>
      <c r="DN201" s="6">
        <v>0</v>
      </c>
      <c r="DO201" s="6">
        <f t="shared" si="305"/>
        <v>0</v>
      </c>
      <c r="DP201" s="6">
        <f t="shared" si="306"/>
        <v>0</v>
      </c>
    </row>
    <row r="202" spans="1:120" x14ac:dyDescent="0.2">
      <c r="A202" s="21">
        <v>85</v>
      </c>
      <c r="B202" s="21" t="s">
        <v>612</v>
      </c>
      <c r="C202" s="21">
        <v>85410</v>
      </c>
      <c r="D202" s="21" t="s">
        <v>691</v>
      </c>
      <c r="E202" s="21" t="s">
        <v>562</v>
      </c>
      <c r="F202" s="22" t="s">
        <v>669</v>
      </c>
      <c r="G202" s="4" t="s">
        <v>314</v>
      </c>
      <c r="H202" s="6">
        <v>84151.39</v>
      </c>
      <c r="I202" s="6">
        <f t="shared" si="238"/>
        <v>230.55175342465753</v>
      </c>
      <c r="J202" s="6">
        <v>77384.399999999994</v>
      </c>
      <c r="K202" s="6">
        <v>83062.009999999995</v>
      </c>
      <c r="L202" s="6">
        <f t="shared" si="236"/>
        <v>226.9453825136612</v>
      </c>
      <c r="M202" s="6">
        <v>73245.7</v>
      </c>
      <c r="N202" s="6">
        <v>45240.98</v>
      </c>
      <c r="O202" s="6">
        <f t="shared" si="307"/>
        <v>123.94789041095892</v>
      </c>
      <c r="P202" s="6">
        <v>69698.600000000006</v>
      </c>
      <c r="Q202" s="6">
        <v>80842.48</v>
      </c>
      <c r="R202" s="6">
        <f t="shared" si="308"/>
        <v>446.64353591160221</v>
      </c>
      <c r="S202" s="6">
        <v>0</v>
      </c>
      <c r="T202" s="6">
        <f t="shared" si="239"/>
        <v>0</v>
      </c>
      <c r="U202" s="6">
        <f t="shared" si="240"/>
        <v>0</v>
      </c>
      <c r="V202" s="6">
        <v>0</v>
      </c>
      <c r="W202" s="6">
        <f t="shared" si="241"/>
        <v>0</v>
      </c>
      <c r="X202" s="6">
        <f t="shared" si="242"/>
        <v>0</v>
      </c>
      <c r="Y202" s="6">
        <v>0</v>
      </c>
      <c r="Z202" s="6">
        <f t="shared" si="243"/>
        <v>0</v>
      </c>
      <c r="AA202" s="6">
        <f t="shared" si="244"/>
        <v>0</v>
      </c>
      <c r="AB202" s="6">
        <v>0</v>
      </c>
      <c r="AC202" s="6">
        <f t="shared" si="245"/>
        <v>0</v>
      </c>
      <c r="AD202" s="6">
        <f t="shared" si="246"/>
        <v>0</v>
      </c>
      <c r="AE202" s="6">
        <v>0</v>
      </c>
      <c r="AF202" s="6">
        <f t="shared" si="247"/>
        <v>0</v>
      </c>
      <c r="AG202" s="6">
        <f t="shared" si="248"/>
        <v>0</v>
      </c>
      <c r="AH202" s="6">
        <v>0</v>
      </c>
      <c r="AI202" s="6">
        <f t="shared" si="249"/>
        <v>0</v>
      </c>
      <c r="AJ202" s="6">
        <f t="shared" si="250"/>
        <v>0</v>
      </c>
      <c r="AK202" s="6">
        <v>0</v>
      </c>
      <c r="AL202" s="6">
        <f t="shared" si="251"/>
        <v>0</v>
      </c>
      <c r="AM202" s="6">
        <f t="shared" si="252"/>
        <v>0</v>
      </c>
      <c r="AN202" s="6">
        <v>0</v>
      </c>
      <c r="AO202" s="6">
        <f t="shared" si="253"/>
        <v>0</v>
      </c>
      <c r="AP202" s="6">
        <f t="shared" si="254"/>
        <v>0</v>
      </c>
      <c r="AQ202" s="6">
        <v>0</v>
      </c>
      <c r="AR202" s="6">
        <f t="shared" si="255"/>
        <v>0</v>
      </c>
      <c r="AS202" s="6">
        <f t="shared" si="256"/>
        <v>0</v>
      </c>
      <c r="AT202" s="6">
        <v>0</v>
      </c>
      <c r="AU202" s="6">
        <f t="shared" si="257"/>
        <v>0</v>
      </c>
      <c r="AV202" s="6">
        <f t="shared" si="258"/>
        <v>0</v>
      </c>
      <c r="AW202" s="6">
        <v>0</v>
      </c>
      <c r="AX202" s="6">
        <f t="shared" si="259"/>
        <v>0</v>
      </c>
      <c r="AY202" s="6">
        <f t="shared" si="260"/>
        <v>0</v>
      </c>
      <c r="AZ202" s="6">
        <v>0</v>
      </c>
      <c r="BA202" s="6">
        <f t="shared" si="261"/>
        <v>0</v>
      </c>
      <c r="BB202" s="6">
        <f t="shared" si="262"/>
        <v>0</v>
      </c>
      <c r="BC202" s="6">
        <v>0</v>
      </c>
      <c r="BD202" s="6">
        <f t="shared" si="263"/>
        <v>0</v>
      </c>
      <c r="BE202" s="6">
        <f t="shared" si="264"/>
        <v>0</v>
      </c>
      <c r="BF202" s="6">
        <v>0</v>
      </c>
      <c r="BG202" s="6">
        <f t="shared" si="265"/>
        <v>0</v>
      </c>
      <c r="BH202" s="6">
        <f t="shared" si="266"/>
        <v>0</v>
      </c>
      <c r="BI202" s="6">
        <v>0</v>
      </c>
      <c r="BJ202" s="6">
        <f t="shared" si="267"/>
        <v>0</v>
      </c>
      <c r="BK202" s="6">
        <f t="shared" si="268"/>
        <v>0</v>
      </c>
      <c r="BL202" s="6">
        <v>0</v>
      </c>
      <c r="BM202" s="6">
        <f t="shared" si="269"/>
        <v>0</v>
      </c>
      <c r="BN202" s="6">
        <f t="shared" si="270"/>
        <v>0</v>
      </c>
      <c r="BO202" s="6">
        <v>0</v>
      </c>
      <c r="BP202" s="6">
        <f t="shared" si="271"/>
        <v>0</v>
      </c>
      <c r="BQ202" s="6">
        <f t="shared" si="272"/>
        <v>0</v>
      </c>
      <c r="BR202" s="6">
        <v>0</v>
      </c>
      <c r="BS202" s="6">
        <f t="shared" si="273"/>
        <v>0</v>
      </c>
      <c r="BT202" s="6">
        <f t="shared" si="274"/>
        <v>0</v>
      </c>
      <c r="BU202" s="6">
        <v>0</v>
      </c>
      <c r="BV202" s="6">
        <f t="shared" si="275"/>
        <v>0</v>
      </c>
      <c r="BW202" s="6">
        <f t="shared" si="276"/>
        <v>0</v>
      </c>
      <c r="BX202" s="6">
        <v>0</v>
      </c>
      <c r="BY202" s="6">
        <f t="shared" si="277"/>
        <v>0</v>
      </c>
      <c r="BZ202" s="6">
        <f t="shared" si="278"/>
        <v>0</v>
      </c>
      <c r="CA202" s="6">
        <v>0</v>
      </c>
      <c r="CB202" s="6">
        <f t="shared" si="279"/>
        <v>0</v>
      </c>
      <c r="CC202" s="6">
        <f t="shared" si="280"/>
        <v>0</v>
      </c>
      <c r="CD202" s="6">
        <v>0</v>
      </c>
      <c r="CE202" s="6">
        <f t="shared" si="281"/>
        <v>0</v>
      </c>
      <c r="CF202" s="6">
        <f t="shared" si="282"/>
        <v>0</v>
      </c>
      <c r="CG202" s="6">
        <v>0</v>
      </c>
      <c r="CH202" s="6">
        <f t="shared" si="283"/>
        <v>0</v>
      </c>
      <c r="CI202" s="6">
        <f t="shared" si="284"/>
        <v>0</v>
      </c>
      <c r="CJ202" s="6">
        <v>0</v>
      </c>
      <c r="CK202" s="6">
        <f t="shared" si="285"/>
        <v>0</v>
      </c>
      <c r="CL202" s="6">
        <f t="shared" si="286"/>
        <v>0</v>
      </c>
      <c r="CM202" s="6">
        <v>0</v>
      </c>
      <c r="CN202" s="6">
        <f t="shared" si="287"/>
        <v>0</v>
      </c>
      <c r="CO202" s="6">
        <f t="shared" si="288"/>
        <v>0</v>
      </c>
      <c r="CP202" s="6">
        <v>0</v>
      </c>
      <c r="CQ202" s="6">
        <f t="shared" si="289"/>
        <v>0</v>
      </c>
      <c r="CR202" s="6">
        <f t="shared" si="290"/>
        <v>0</v>
      </c>
      <c r="CS202" s="6">
        <v>0</v>
      </c>
      <c r="CT202" s="6">
        <f t="shared" si="291"/>
        <v>0</v>
      </c>
      <c r="CU202" s="6">
        <f t="shared" si="292"/>
        <v>0</v>
      </c>
      <c r="CV202" s="6">
        <v>0</v>
      </c>
      <c r="CW202" s="6">
        <f t="shared" si="293"/>
        <v>0</v>
      </c>
      <c r="CX202" s="6">
        <f t="shared" si="294"/>
        <v>0</v>
      </c>
      <c r="CY202" s="6">
        <v>0</v>
      </c>
      <c r="CZ202" s="6">
        <f t="shared" si="295"/>
        <v>0</v>
      </c>
      <c r="DA202" s="6">
        <f t="shared" si="296"/>
        <v>0</v>
      </c>
      <c r="DB202" s="6">
        <v>0</v>
      </c>
      <c r="DC202" s="6">
        <f t="shared" si="297"/>
        <v>0</v>
      </c>
      <c r="DD202" s="6">
        <f t="shared" si="298"/>
        <v>0</v>
      </c>
      <c r="DE202" s="6">
        <v>0</v>
      </c>
      <c r="DF202" s="6">
        <f t="shared" si="299"/>
        <v>0</v>
      </c>
      <c r="DG202" s="6">
        <f t="shared" si="300"/>
        <v>0</v>
      </c>
      <c r="DH202" s="6">
        <v>0</v>
      </c>
      <c r="DI202" s="6">
        <f t="shared" si="301"/>
        <v>0</v>
      </c>
      <c r="DJ202" s="6">
        <f t="shared" si="302"/>
        <v>0</v>
      </c>
      <c r="DK202" s="6">
        <v>0</v>
      </c>
      <c r="DL202" s="6">
        <f t="shared" si="303"/>
        <v>0</v>
      </c>
      <c r="DM202" s="6">
        <f t="shared" si="304"/>
        <v>0</v>
      </c>
      <c r="DN202" s="6">
        <v>0</v>
      </c>
      <c r="DO202" s="6">
        <f t="shared" si="305"/>
        <v>0</v>
      </c>
      <c r="DP202" s="6">
        <f t="shared" si="306"/>
        <v>0</v>
      </c>
    </row>
    <row r="203" spans="1:120" x14ac:dyDescent="0.2">
      <c r="A203" s="21">
        <v>86</v>
      </c>
      <c r="B203" s="21" t="s">
        <v>664</v>
      </c>
      <c r="C203" s="21">
        <v>86885</v>
      </c>
      <c r="D203" s="21" t="s">
        <v>715</v>
      </c>
      <c r="E203" s="21" t="s">
        <v>551</v>
      </c>
      <c r="F203" s="22" t="s">
        <v>669</v>
      </c>
      <c r="G203" s="4" t="s">
        <v>315</v>
      </c>
      <c r="H203" s="6">
        <v>151166.07</v>
      </c>
      <c r="I203" s="6">
        <f t="shared" si="238"/>
        <v>414.15361643835621</v>
      </c>
      <c r="J203" s="6">
        <v>154611.65460000001</v>
      </c>
      <c r="K203" s="6">
        <v>130881.43</v>
      </c>
      <c r="L203" s="6">
        <f t="shared" si="236"/>
        <v>357.59953551912565</v>
      </c>
      <c r="M203" s="6">
        <v>207972.59349999999</v>
      </c>
      <c r="N203" s="6">
        <v>145442.53</v>
      </c>
      <c r="O203" s="6">
        <f t="shared" si="307"/>
        <v>398.47268493150682</v>
      </c>
      <c r="P203" s="6">
        <v>150807.89550000001</v>
      </c>
      <c r="Q203" s="6">
        <v>40555.279999999999</v>
      </c>
      <c r="R203" s="6">
        <f t="shared" si="308"/>
        <v>224.06232044198893</v>
      </c>
      <c r="S203" s="6">
        <v>114507.58990000001</v>
      </c>
      <c r="T203" s="6">
        <f t="shared" si="239"/>
        <v>114507.58990000001</v>
      </c>
      <c r="U203" s="6">
        <f t="shared" si="240"/>
        <v>313.71942438356166</v>
      </c>
      <c r="V203" s="6">
        <v>90012.646500000003</v>
      </c>
      <c r="W203" s="6">
        <f t="shared" si="241"/>
        <v>90012.646500000003</v>
      </c>
      <c r="X203" s="6">
        <f t="shared" si="242"/>
        <v>246.60999041095891</v>
      </c>
      <c r="Y203" s="6">
        <v>72079.216400000005</v>
      </c>
      <c r="Z203" s="6">
        <f t="shared" si="243"/>
        <v>72079.216400000005</v>
      </c>
      <c r="AA203" s="6">
        <f t="shared" si="244"/>
        <v>197.47730520547947</v>
      </c>
      <c r="AB203" s="6">
        <v>0</v>
      </c>
      <c r="AC203" s="6">
        <f t="shared" si="245"/>
        <v>0</v>
      </c>
      <c r="AD203" s="6">
        <f t="shared" si="246"/>
        <v>0</v>
      </c>
      <c r="AE203" s="6">
        <v>0</v>
      </c>
      <c r="AF203" s="6">
        <f t="shared" si="247"/>
        <v>0</v>
      </c>
      <c r="AG203" s="6">
        <f t="shared" si="248"/>
        <v>0</v>
      </c>
      <c r="AH203" s="6">
        <v>0</v>
      </c>
      <c r="AI203" s="6">
        <f t="shared" si="249"/>
        <v>0</v>
      </c>
      <c r="AJ203" s="6">
        <f t="shared" si="250"/>
        <v>0</v>
      </c>
      <c r="AK203" s="6">
        <v>0</v>
      </c>
      <c r="AL203" s="6">
        <f t="shared" si="251"/>
        <v>0</v>
      </c>
      <c r="AM203" s="6">
        <f t="shared" si="252"/>
        <v>0</v>
      </c>
      <c r="AN203" s="6">
        <v>0</v>
      </c>
      <c r="AO203" s="6">
        <f t="shared" si="253"/>
        <v>0</v>
      </c>
      <c r="AP203" s="6">
        <f t="shared" si="254"/>
        <v>0</v>
      </c>
      <c r="AQ203" s="6">
        <v>0</v>
      </c>
      <c r="AR203" s="6">
        <f t="shared" si="255"/>
        <v>0</v>
      </c>
      <c r="AS203" s="6">
        <f t="shared" si="256"/>
        <v>0</v>
      </c>
      <c r="AT203" s="6">
        <v>0</v>
      </c>
      <c r="AU203" s="6">
        <f t="shared" si="257"/>
        <v>0</v>
      </c>
      <c r="AV203" s="6">
        <f t="shared" si="258"/>
        <v>0</v>
      </c>
      <c r="AW203" s="6">
        <v>0</v>
      </c>
      <c r="AX203" s="6">
        <f t="shared" si="259"/>
        <v>0</v>
      </c>
      <c r="AY203" s="6">
        <f t="shared" si="260"/>
        <v>0</v>
      </c>
      <c r="AZ203" s="6">
        <v>0</v>
      </c>
      <c r="BA203" s="6">
        <f t="shared" si="261"/>
        <v>0</v>
      </c>
      <c r="BB203" s="6">
        <f t="shared" si="262"/>
        <v>0</v>
      </c>
      <c r="BC203" s="6">
        <v>0</v>
      </c>
      <c r="BD203" s="6">
        <f t="shared" si="263"/>
        <v>0</v>
      </c>
      <c r="BE203" s="6">
        <f t="shared" si="264"/>
        <v>0</v>
      </c>
      <c r="BF203" s="6">
        <v>0</v>
      </c>
      <c r="BG203" s="6">
        <f t="shared" si="265"/>
        <v>0</v>
      </c>
      <c r="BH203" s="6">
        <f t="shared" si="266"/>
        <v>0</v>
      </c>
      <c r="BI203" s="6">
        <v>0</v>
      </c>
      <c r="BJ203" s="6">
        <f t="shared" si="267"/>
        <v>0</v>
      </c>
      <c r="BK203" s="6">
        <f t="shared" si="268"/>
        <v>0</v>
      </c>
      <c r="BL203" s="6">
        <v>0</v>
      </c>
      <c r="BM203" s="6">
        <f t="shared" si="269"/>
        <v>0</v>
      </c>
      <c r="BN203" s="6">
        <f t="shared" si="270"/>
        <v>0</v>
      </c>
      <c r="BO203" s="6">
        <v>0</v>
      </c>
      <c r="BP203" s="6">
        <f t="shared" si="271"/>
        <v>0</v>
      </c>
      <c r="BQ203" s="6">
        <f t="shared" si="272"/>
        <v>0</v>
      </c>
      <c r="BR203" s="6">
        <v>0</v>
      </c>
      <c r="BS203" s="6">
        <f t="shared" si="273"/>
        <v>0</v>
      </c>
      <c r="BT203" s="6">
        <f t="shared" si="274"/>
        <v>0</v>
      </c>
      <c r="BU203" s="6">
        <v>0</v>
      </c>
      <c r="BV203" s="6">
        <f t="shared" si="275"/>
        <v>0</v>
      </c>
      <c r="BW203" s="6">
        <f t="shared" si="276"/>
        <v>0</v>
      </c>
      <c r="BX203" s="6">
        <v>0</v>
      </c>
      <c r="BY203" s="6">
        <f t="shared" si="277"/>
        <v>0</v>
      </c>
      <c r="BZ203" s="6">
        <f t="shared" si="278"/>
        <v>0</v>
      </c>
      <c r="CA203" s="6">
        <v>0</v>
      </c>
      <c r="CB203" s="6">
        <f t="shared" si="279"/>
        <v>0</v>
      </c>
      <c r="CC203" s="6">
        <f t="shared" si="280"/>
        <v>0</v>
      </c>
      <c r="CD203" s="6">
        <v>0</v>
      </c>
      <c r="CE203" s="6">
        <f t="shared" si="281"/>
        <v>0</v>
      </c>
      <c r="CF203" s="6">
        <f t="shared" si="282"/>
        <v>0</v>
      </c>
      <c r="CG203" s="6">
        <v>0</v>
      </c>
      <c r="CH203" s="6">
        <f t="shared" si="283"/>
        <v>0</v>
      </c>
      <c r="CI203" s="6">
        <f t="shared" si="284"/>
        <v>0</v>
      </c>
      <c r="CJ203" s="6">
        <v>0</v>
      </c>
      <c r="CK203" s="6">
        <f t="shared" si="285"/>
        <v>0</v>
      </c>
      <c r="CL203" s="6">
        <f t="shared" si="286"/>
        <v>0</v>
      </c>
      <c r="CM203" s="6">
        <v>0</v>
      </c>
      <c r="CN203" s="6">
        <f t="shared" si="287"/>
        <v>0</v>
      </c>
      <c r="CO203" s="6">
        <f t="shared" si="288"/>
        <v>0</v>
      </c>
      <c r="CP203" s="6">
        <v>0</v>
      </c>
      <c r="CQ203" s="6">
        <f t="shared" si="289"/>
        <v>0</v>
      </c>
      <c r="CR203" s="6">
        <f t="shared" si="290"/>
        <v>0</v>
      </c>
      <c r="CS203" s="6">
        <v>0</v>
      </c>
      <c r="CT203" s="6">
        <f t="shared" si="291"/>
        <v>0</v>
      </c>
      <c r="CU203" s="6">
        <f t="shared" si="292"/>
        <v>0</v>
      </c>
      <c r="CV203" s="6">
        <v>0</v>
      </c>
      <c r="CW203" s="6">
        <f t="shared" si="293"/>
        <v>0</v>
      </c>
      <c r="CX203" s="6">
        <f t="shared" si="294"/>
        <v>0</v>
      </c>
      <c r="CY203" s="6">
        <v>0</v>
      </c>
      <c r="CZ203" s="6">
        <f t="shared" si="295"/>
        <v>0</v>
      </c>
      <c r="DA203" s="6">
        <f t="shared" si="296"/>
        <v>0</v>
      </c>
      <c r="DB203" s="6">
        <v>0</v>
      </c>
      <c r="DC203" s="6">
        <f t="shared" si="297"/>
        <v>0</v>
      </c>
      <c r="DD203" s="6">
        <f t="shared" si="298"/>
        <v>0</v>
      </c>
      <c r="DE203" s="6">
        <v>0</v>
      </c>
      <c r="DF203" s="6">
        <f t="shared" si="299"/>
        <v>0</v>
      </c>
      <c r="DG203" s="6">
        <f t="shared" si="300"/>
        <v>0</v>
      </c>
      <c r="DH203" s="6">
        <v>0</v>
      </c>
      <c r="DI203" s="6">
        <f t="shared" si="301"/>
        <v>0</v>
      </c>
      <c r="DJ203" s="6">
        <f t="shared" si="302"/>
        <v>0</v>
      </c>
      <c r="DK203" s="6">
        <v>0</v>
      </c>
      <c r="DL203" s="6">
        <f t="shared" si="303"/>
        <v>0</v>
      </c>
      <c r="DM203" s="6">
        <f t="shared" si="304"/>
        <v>0</v>
      </c>
      <c r="DN203" s="6">
        <v>0</v>
      </c>
      <c r="DO203" s="6">
        <f t="shared" si="305"/>
        <v>0</v>
      </c>
      <c r="DP203" s="6">
        <f t="shared" si="306"/>
        <v>0</v>
      </c>
    </row>
    <row r="204" spans="1:120" x14ac:dyDescent="0.2">
      <c r="A204" s="21">
        <v>20</v>
      </c>
      <c r="B204" s="21" t="s">
        <v>667</v>
      </c>
      <c r="C204" s="21">
        <v>20011</v>
      </c>
      <c r="D204" s="21" t="s">
        <v>738</v>
      </c>
      <c r="E204" s="21" t="s">
        <v>570</v>
      </c>
      <c r="F204" s="22" t="s">
        <v>669</v>
      </c>
      <c r="G204" s="4" t="s">
        <v>316</v>
      </c>
      <c r="H204" s="6">
        <v>83068.12</v>
      </c>
      <c r="I204" s="6">
        <f t="shared" si="238"/>
        <v>227.5838904109589</v>
      </c>
      <c r="J204" s="6">
        <v>60996.873500000002</v>
      </c>
      <c r="K204" s="6">
        <v>69004.759999999995</v>
      </c>
      <c r="L204" s="6">
        <f t="shared" si="236"/>
        <v>188.53759562841529</v>
      </c>
      <c r="M204" s="6">
        <v>43976.578699999998</v>
      </c>
      <c r="N204" s="6">
        <v>53385.43</v>
      </c>
      <c r="O204" s="6">
        <f t="shared" si="307"/>
        <v>146.26145205479452</v>
      </c>
      <c r="P204" s="6">
        <v>225007.5722</v>
      </c>
      <c r="Q204" s="6">
        <v>23264.07</v>
      </c>
      <c r="R204" s="6">
        <f t="shared" si="308"/>
        <v>128.53077348066299</v>
      </c>
      <c r="S204" s="6">
        <v>352835.63329999999</v>
      </c>
      <c r="T204" s="6">
        <f t="shared" si="239"/>
        <v>352835.63329999999</v>
      </c>
      <c r="U204" s="6">
        <f t="shared" si="240"/>
        <v>966.67296794520541</v>
      </c>
      <c r="V204" s="6">
        <v>202647.48970000001</v>
      </c>
      <c r="W204" s="6">
        <f t="shared" si="241"/>
        <v>202647.48970000001</v>
      </c>
      <c r="X204" s="6">
        <f t="shared" si="242"/>
        <v>555.19860191780822</v>
      </c>
      <c r="Y204" s="6">
        <v>120442.9687</v>
      </c>
      <c r="Z204" s="6">
        <f t="shared" si="243"/>
        <v>120442.9687</v>
      </c>
      <c r="AA204" s="6">
        <f t="shared" si="244"/>
        <v>329.98073616438353</v>
      </c>
      <c r="AB204" s="6">
        <v>74047.002299999993</v>
      </c>
      <c r="AC204" s="6">
        <f t="shared" si="245"/>
        <v>74047.002299999993</v>
      </c>
      <c r="AD204" s="6">
        <f t="shared" si="246"/>
        <v>202.86849945205478</v>
      </c>
      <c r="AE204" s="6">
        <v>32642.7356</v>
      </c>
      <c r="AF204" s="6">
        <f t="shared" si="247"/>
        <v>32642.7356</v>
      </c>
      <c r="AG204" s="6">
        <f t="shared" si="248"/>
        <v>89.432152328767117</v>
      </c>
      <c r="AH204" s="6">
        <v>0</v>
      </c>
      <c r="AI204" s="6">
        <f t="shared" si="249"/>
        <v>0</v>
      </c>
      <c r="AJ204" s="6">
        <f t="shared" si="250"/>
        <v>0</v>
      </c>
      <c r="AK204" s="6">
        <v>0</v>
      </c>
      <c r="AL204" s="6">
        <f t="shared" si="251"/>
        <v>0</v>
      </c>
      <c r="AM204" s="6">
        <f t="shared" si="252"/>
        <v>0</v>
      </c>
      <c r="AN204" s="6">
        <v>0</v>
      </c>
      <c r="AO204" s="6">
        <f t="shared" si="253"/>
        <v>0</v>
      </c>
      <c r="AP204" s="6">
        <f t="shared" si="254"/>
        <v>0</v>
      </c>
      <c r="AQ204" s="6">
        <v>0</v>
      </c>
      <c r="AR204" s="6">
        <f t="shared" si="255"/>
        <v>0</v>
      </c>
      <c r="AS204" s="6">
        <f t="shared" si="256"/>
        <v>0</v>
      </c>
      <c r="AT204" s="6">
        <v>0</v>
      </c>
      <c r="AU204" s="6">
        <f t="shared" si="257"/>
        <v>0</v>
      </c>
      <c r="AV204" s="6">
        <f t="shared" si="258"/>
        <v>0</v>
      </c>
      <c r="AW204" s="6">
        <v>0</v>
      </c>
      <c r="AX204" s="6">
        <f t="shared" si="259"/>
        <v>0</v>
      </c>
      <c r="AY204" s="6">
        <f t="shared" si="260"/>
        <v>0</v>
      </c>
      <c r="AZ204" s="6">
        <v>0</v>
      </c>
      <c r="BA204" s="6">
        <f t="shared" si="261"/>
        <v>0</v>
      </c>
      <c r="BB204" s="6">
        <f t="shared" si="262"/>
        <v>0</v>
      </c>
      <c r="BC204" s="6">
        <v>0</v>
      </c>
      <c r="BD204" s="6">
        <f t="shared" si="263"/>
        <v>0</v>
      </c>
      <c r="BE204" s="6">
        <f t="shared" si="264"/>
        <v>0</v>
      </c>
      <c r="BF204" s="6">
        <v>0</v>
      </c>
      <c r="BG204" s="6">
        <f t="shared" si="265"/>
        <v>0</v>
      </c>
      <c r="BH204" s="6">
        <f t="shared" si="266"/>
        <v>0</v>
      </c>
      <c r="BI204" s="6">
        <v>0</v>
      </c>
      <c r="BJ204" s="6">
        <f t="shared" si="267"/>
        <v>0</v>
      </c>
      <c r="BK204" s="6">
        <f t="shared" si="268"/>
        <v>0</v>
      </c>
      <c r="BL204" s="6">
        <v>0</v>
      </c>
      <c r="BM204" s="6">
        <f t="shared" si="269"/>
        <v>0</v>
      </c>
      <c r="BN204" s="6">
        <f t="shared" si="270"/>
        <v>0</v>
      </c>
      <c r="BO204" s="6">
        <v>0</v>
      </c>
      <c r="BP204" s="6">
        <f t="shared" si="271"/>
        <v>0</v>
      </c>
      <c r="BQ204" s="6">
        <f t="shared" si="272"/>
        <v>0</v>
      </c>
      <c r="BR204" s="6">
        <v>0</v>
      </c>
      <c r="BS204" s="6">
        <f t="shared" si="273"/>
        <v>0</v>
      </c>
      <c r="BT204" s="6">
        <f t="shared" si="274"/>
        <v>0</v>
      </c>
      <c r="BU204" s="6">
        <v>0</v>
      </c>
      <c r="BV204" s="6">
        <f t="shared" si="275"/>
        <v>0</v>
      </c>
      <c r="BW204" s="6">
        <f t="shared" si="276"/>
        <v>0</v>
      </c>
      <c r="BX204" s="6">
        <v>0</v>
      </c>
      <c r="BY204" s="6">
        <f t="shared" si="277"/>
        <v>0</v>
      </c>
      <c r="BZ204" s="6">
        <f t="shared" si="278"/>
        <v>0</v>
      </c>
      <c r="CA204" s="6">
        <v>0</v>
      </c>
      <c r="CB204" s="6">
        <f t="shared" si="279"/>
        <v>0</v>
      </c>
      <c r="CC204" s="6">
        <f t="shared" si="280"/>
        <v>0</v>
      </c>
      <c r="CD204" s="6">
        <v>0</v>
      </c>
      <c r="CE204" s="6">
        <f t="shared" si="281"/>
        <v>0</v>
      </c>
      <c r="CF204" s="6">
        <f t="shared" si="282"/>
        <v>0</v>
      </c>
      <c r="CG204" s="6">
        <v>0</v>
      </c>
      <c r="CH204" s="6">
        <f t="shared" si="283"/>
        <v>0</v>
      </c>
      <c r="CI204" s="6">
        <f t="shared" si="284"/>
        <v>0</v>
      </c>
      <c r="CJ204" s="6">
        <v>0</v>
      </c>
      <c r="CK204" s="6">
        <f t="shared" si="285"/>
        <v>0</v>
      </c>
      <c r="CL204" s="6">
        <f t="shared" si="286"/>
        <v>0</v>
      </c>
      <c r="CM204" s="6">
        <v>0</v>
      </c>
      <c r="CN204" s="6">
        <f t="shared" si="287"/>
        <v>0</v>
      </c>
      <c r="CO204" s="6">
        <f t="shared" si="288"/>
        <v>0</v>
      </c>
      <c r="CP204" s="6">
        <v>0</v>
      </c>
      <c r="CQ204" s="6">
        <f t="shared" si="289"/>
        <v>0</v>
      </c>
      <c r="CR204" s="6">
        <f t="shared" si="290"/>
        <v>0</v>
      </c>
      <c r="CS204" s="6">
        <v>0</v>
      </c>
      <c r="CT204" s="6">
        <f t="shared" si="291"/>
        <v>0</v>
      </c>
      <c r="CU204" s="6">
        <f t="shared" si="292"/>
        <v>0</v>
      </c>
      <c r="CV204" s="6">
        <v>0</v>
      </c>
      <c r="CW204" s="6">
        <f t="shared" si="293"/>
        <v>0</v>
      </c>
      <c r="CX204" s="6">
        <f t="shared" si="294"/>
        <v>0</v>
      </c>
      <c r="CY204" s="6">
        <v>0</v>
      </c>
      <c r="CZ204" s="6">
        <f t="shared" si="295"/>
        <v>0</v>
      </c>
      <c r="DA204" s="6">
        <f t="shared" si="296"/>
        <v>0</v>
      </c>
      <c r="DB204" s="6">
        <v>0</v>
      </c>
      <c r="DC204" s="6">
        <f t="shared" si="297"/>
        <v>0</v>
      </c>
      <c r="DD204" s="6">
        <f t="shared" si="298"/>
        <v>0</v>
      </c>
      <c r="DE204" s="6">
        <v>0</v>
      </c>
      <c r="DF204" s="6">
        <f t="shared" si="299"/>
        <v>0</v>
      </c>
      <c r="DG204" s="6">
        <f t="shared" si="300"/>
        <v>0</v>
      </c>
      <c r="DH204" s="6">
        <v>0</v>
      </c>
      <c r="DI204" s="6">
        <f t="shared" si="301"/>
        <v>0</v>
      </c>
      <c r="DJ204" s="6">
        <f t="shared" si="302"/>
        <v>0</v>
      </c>
      <c r="DK204" s="6">
        <v>0</v>
      </c>
      <c r="DL204" s="6">
        <f t="shared" si="303"/>
        <v>0</v>
      </c>
      <c r="DM204" s="6">
        <f t="shared" si="304"/>
        <v>0</v>
      </c>
      <c r="DN204" s="6">
        <v>0</v>
      </c>
      <c r="DO204" s="6">
        <f t="shared" si="305"/>
        <v>0</v>
      </c>
      <c r="DP204" s="6">
        <f t="shared" si="306"/>
        <v>0</v>
      </c>
    </row>
    <row r="205" spans="1:120" x14ac:dyDescent="0.2">
      <c r="A205" s="21">
        <v>86</v>
      </c>
      <c r="B205" s="21" t="s">
        <v>664</v>
      </c>
      <c r="C205" s="21">
        <v>86001</v>
      </c>
      <c r="D205" s="21" t="s">
        <v>739</v>
      </c>
      <c r="E205" s="21" t="s">
        <v>564</v>
      </c>
      <c r="F205" s="22" t="s">
        <v>693</v>
      </c>
      <c r="G205" s="4" t="s">
        <v>317</v>
      </c>
      <c r="H205" s="6">
        <v>866865.98</v>
      </c>
      <c r="I205" s="6">
        <f t="shared" si="238"/>
        <v>2374.9752876712328</v>
      </c>
      <c r="J205" s="6">
        <v>890700.29410000006</v>
      </c>
      <c r="K205" s="6">
        <v>721647.06</v>
      </c>
      <c r="L205" s="6">
        <f t="shared" si="236"/>
        <v>1971.7132786885247</v>
      </c>
      <c r="M205" s="6">
        <v>807361.14430000004</v>
      </c>
      <c r="N205" s="6">
        <v>319541.33</v>
      </c>
      <c r="O205" s="6">
        <f t="shared" si="307"/>
        <v>875.45569863013702</v>
      </c>
      <c r="P205" s="6">
        <v>670471.5612</v>
      </c>
      <c r="Q205" s="6">
        <v>182468.72</v>
      </c>
      <c r="R205" s="6">
        <f t="shared" si="308"/>
        <v>1008.1144751381215</v>
      </c>
      <c r="S205" s="6">
        <v>1092161.6849</v>
      </c>
      <c r="T205" s="6">
        <f t="shared" si="239"/>
        <v>1092161.6849</v>
      </c>
      <c r="U205" s="6">
        <f t="shared" si="240"/>
        <v>2992.2237942465754</v>
      </c>
      <c r="V205" s="6">
        <v>1039291.8225</v>
      </c>
      <c r="W205" s="6">
        <f t="shared" si="241"/>
        <v>1039291.8225</v>
      </c>
      <c r="X205" s="6">
        <f t="shared" si="242"/>
        <v>2847.3748561643838</v>
      </c>
      <c r="Y205" s="6">
        <v>807387.33050000004</v>
      </c>
      <c r="Z205" s="6">
        <f t="shared" si="243"/>
        <v>807387.33050000004</v>
      </c>
      <c r="AA205" s="6">
        <f t="shared" si="244"/>
        <v>2212.0200835616438</v>
      </c>
      <c r="AB205" s="6">
        <v>640708.56240000005</v>
      </c>
      <c r="AC205" s="6">
        <f t="shared" si="245"/>
        <v>640708.56240000005</v>
      </c>
      <c r="AD205" s="6">
        <f t="shared" si="246"/>
        <v>1755.3659243835618</v>
      </c>
      <c r="AE205" s="6">
        <v>513425.5135</v>
      </c>
      <c r="AF205" s="6">
        <f t="shared" si="247"/>
        <v>513425.5135</v>
      </c>
      <c r="AG205" s="6">
        <f t="shared" si="248"/>
        <v>1406.6452424657534</v>
      </c>
      <c r="AH205" s="6">
        <v>415827.00890000002</v>
      </c>
      <c r="AI205" s="6">
        <f t="shared" si="249"/>
        <v>415827.00890000002</v>
      </c>
      <c r="AJ205" s="6">
        <f t="shared" si="250"/>
        <v>1139.2520791780823</v>
      </c>
      <c r="AK205" s="6">
        <v>325051.88559999998</v>
      </c>
      <c r="AL205" s="6">
        <f t="shared" si="251"/>
        <v>325051.88559999998</v>
      </c>
      <c r="AM205" s="6">
        <f t="shared" si="252"/>
        <v>890.55311123287663</v>
      </c>
      <c r="AN205" s="6">
        <v>256177.8854</v>
      </c>
      <c r="AO205" s="6">
        <f t="shared" si="253"/>
        <v>256177.8854</v>
      </c>
      <c r="AP205" s="6">
        <f t="shared" si="254"/>
        <v>701.85722027397264</v>
      </c>
      <c r="AQ205" s="6">
        <v>205510.91029999999</v>
      </c>
      <c r="AR205" s="6">
        <f t="shared" si="255"/>
        <v>205510.91029999999</v>
      </c>
      <c r="AS205" s="6">
        <f t="shared" si="256"/>
        <v>563.04358986301372</v>
      </c>
      <c r="AT205" s="6">
        <v>136909.04120000001</v>
      </c>
      <c r="AU205" s="6">
        <f t="shared" si="257"/>
        <v>136909.04120000001</v>
      </c>
      <c r="AV205" s="6">
        <f t="shared" si="258"/>
        <v>375.09326356164388</v>
      </c>
      <c r="AW205" s="6">
        <v>0</v>
      </c>
      <c r="AX205" s="6">
        <f t="shared" si="259"/>
        <v>0</v>
      </c>
      <c r="AY205" s="6">
        <f t="shared" si="260"/>
        <v>0</v>
      </c>
      <c r="AZ205" s="6">
        <v>0</v>
      </c>
      <c r="BA205" s="6">
        <f t="shared" si="261"/>
        <v>0</v>
      </c>
      <c r="BB205" s="6">
        <f t="shared" si="262"/>
        <v>0</v>
      </c>
      <c r="BC205" s="6">
        <v>0</v>
      </c>
      <c r="BD205" s="6">
        <f t="shared" si="263"/>
        <v>0</v>
      </c>
      <c r="BE205" s="6">
        <f t="shared" si="264"/>
        <v>0</v>
      </c>
      <c r="BF205" s="6">
        <v>0</v>
      </c>
      <c r="BG205" s="6">
        <f t="shared" si="265"/>
        <v>0</v>
      </c>
      <c r="BH205" s="6">
        <f t="shared" si="266"/>
        <v>0</v>
      </c>
      <c r="BI205" s="6">
        <v>0</v>
      </c>
      <c r="BJ205" s="6">
        <f t="shared" si="267"/>
        <v>0</v>
      </c>
      <c r="BK205" s="6">
        <f t="shared" si="268"/>
        <v>0</v>
      </c>
      <c r="BL205" s="6">
        <v>0</v>
      </c>
      <c r="BM205" s="6">
        <f t="shared" si="269"/>
        <v>0</v>
      </c>
      <c r="BN205" s="6">
        <f t="shared" si="270"/>
        <v>0</v>
      </c>
      <c r="BO205" s="6">
        <v>0</v>
      </c>
      <c r="BP205" s="6">
        <f t="shared" si="271"/>
        <v>0</v>
      </c>
      <c r="BQ205" s="6">
        <f t="shared" si="272"/>
        <v>0</v>
      </c>
      <c r="BR205" s="6">
        <v>0</v>
      </c>
      <c r="BS205" s="6">
        <f t="shared" si="273"/>
        <v>0</v>
      </c>
      <c r="BT205" s="6">
        <f t="shared" si="274"/>
        <v>0</v>
      </c>
      <c r="BU205" s="6">
        <v>0</v>
      </c>
      <c r="BV205" s="6">
        <f t="shared" si="275"/>
        <v>0</v>
      </c>
      <c r="BW205" s="6">
        <f t="shared" si="276"/>
        <v>0</v>
      </c>
      <c r="BX205" s="6">
        <v>0</v>
      </c>
      <c r="BY205" s="6">
        <f t="shared" si="277"/>
        <v>0</v>
      </c>
      <c r="BZ205" s="6">
        <f t="shared" si="278"/>
        <v>0</v>
      </c>
      <c r="CA205" s="6">
        <v>0</v>
      </c>
      <c r="CB205" s="6">
        <f t="shared" si="279"/>
        <v>0</v>
      </c>
      <c r="CC205" s="6">
        <f t="shared" si="280"/>
        <v>0</v>
      </c>
      <c r="CD205" s="6">
        <v>0</v>
      </c>
      <c r="CE205" s="6">
        <f t="shared" si="281"/>
        <v>0</v>
      </c>
      <c r="CF205" s="6">
        <f t="shared" si="282"/>
        <v>0</v>
      </c>
      <c r="CG205" s="6">
        <v>0</v>
      </c>
      <c r="CH205" s="6">
        <f t="shared" si="283"/>
        <v>0</v>
      </c>
      <c r="CI205" s="6">
        <f t="shared" si="284"/>
        <v>0</v>
      </c>
      <c r="CJ205" s="6">
        <v>0</v>
      </c>
      <c r="CK205" s="6">
        <f t="shared" si="285"/>
        <v>0</v>
      </c>
      <c r="CL205" s="6">
        <f t="shared" si="286"/>
        <v>0</v>
      </c>
      <c r="CM205" s="6">
        <v>0</v>
      </c>
      <c r="CN205" s="6">
        <f t="shared" si="287"/>
        <v>0</v>
      </c>
      <c r="CO205" s="6">
        <f t="shared" si="288"/>
        <v>0</v>
      </c>
      <c r="CP205" s="6">
        <v>0</v>
      </c>
      <c r="CQ205" s="6">
        <f t="shared" si="289"/>
        <v>0</v>
      </c>
      <c r="CR205" s="6">
        <f t="shared" si="290"/>
        <v>0</v>
      </c>
      <c r="CS205" s="6">
        <v>0</v>
      </c>
      <c r="CT205" s="6">
        <f t="shared" si="291"/>
        <v>0</v>
      </c>
      <c r="CU205" s="6">
        <f t="shared" si="292"/>
        <v>0</v>
      </c>
      <c r="CV205" s="6">
        <v>0</v>
      </c>
      <c r="CW205" s="6">
        <f t="shared" si="293"/>
        <v>0</v>
      </c>
      <c r="CX205" s="6">
        <f t="shared" si="294"/>
        <v>0</v>
      </c>
      <c r="CY205" s="6">
        <v>0</v>
      </c>
      <c r="CZ205" s="6">
        <f t="shared" si="295"/>
        <v>0</v>
      </c>
      <c r="DA205" s="6">
        <f t="shared" si="296"/>
        <v>0</v>
      </c>
      <c r="DB205" s="6">
        <v>0</v>
      </c>
      <c r="DC205" s="6">
        <f t="shared" si="297"/>
        <v>0</v>
      </c>
      <c r="DD205" s="6">
        <f t="shared" si="298"/>
        <v>0</v>
      </c>
      <c r="DE205" s="6">
        <v>0</v>
      </c>
      <c r="DF205" s="6">
        <f t="shared" si="299"/>
        <v>0</v>
      </c>
      <c r="DG205" s="6">
        <f t="shared" si="300"/>
        <v>0</v>
      </c>
      <c r="DH205" s="6">
        <v>0</v>
      </c>
      <c r="DI205" s="6">
        <f t="shared" si="301"/>
        <v>0</v>
      </c>
      <c r="DJ205" s="6">
        <f t="shared" si="302"/>
        <v>0</v>
      </c>
      <c r="DK205" s="6">
        <v>0</v>
      </c>
      <c r="DL205" s="6">
        <f t="shared" si="303"/>
        <v>0</v>
      </c>
      <c r="DM205" s="6">
        <f t="shared" si="304"/>
        <v>0</v>
      </c>
      <c r="DN205" s="6">
        <v>0</v>
      </c>
      <c r="DO205" s="6">
        <f t="shared" si="305"/>
        <v>0</v>
      </c>
      <c r="DP205" s="6">
        <f t="shared" si="306"/>
        <v>0</v>
      </c>
    </row>
    <row r="206" spans="1:120" x14ac:dyDescent="0.2">
      <c r="A206" s="21">
        <v>85</v>
      </c>
      <c r="B206" s="21" t="s">
        <v>612</v>
      </c>
      <c r="C206" s="21">
        <v>85001</v>
      </c>
      <c r="D206" s="21" t="s">
        <v>698</v>
      </c>
      <c r="E206" s="21" t="s">
        <v>611</v>
      </c>
      <c r="F206" s="22" t="s">
        <v>662</v>
      </c>
      <c r="G206" s="4" t="s">
        <v>318</v>
      </c>
      <c r="H206" s="6">
        <v>17816.990000000002</v>
      </c>
      <c r="I206" s="6">
        <f t="shared" si="238"/>
        <v>48.813671232876715</v>
      </c>
      <c r="J206" s="6">
        <v>64900.025900000001</v>
      </c>
      <c r="K206" s="6"/>
      <c r="L206" s="6"/>
      <c r="M206" s="6">
        <v>73442.994099999996</v>
      </c>
      <c r="N206" s="6"/>
      <c r="O206" s="6"/>
      <c r="P206" s="6">
        <v>59171.996200000001</v>
      </c>
      <c r="Q206" s="6"/>
      <c r="R206" s="6"/>
      <c r="S206" s="6">
        <v>47677.941700000003</v>
      </c>
      <c r="T206" s="6">
        <f t="shared" si="239"/>
        <v>47677.941700000003</v>
      </c>
      <c r="U206" s="6">
        <f t="shared" si="240"/>
        <v>130.62449780821919</v>
      </c>
      <c r="V206" s="6">
        <v>38419.734400000001</v>
      </c>
      <c r="W206" s="6">
        <f t="shared" si="241"/>
        <v>38419.734400000001</v>
      </c>
      <c r="X206" s="6">
        <f t="shared" si="242"/>
        <v>105.25954630136987</v>
      </c>
      <c r="Y206" s="6">
        <v>13716.7703</v>
      </c>
      <c r="Z206" s="6">
        <f t="shared" si="243"/>
        <v>13716.7703</v>
      </c>
      <c r="AA206" s="6">
        <f t="shared" si="244"/>
        <v>37.580192602739729</v>
      </c>
      <c r="AB206" s="6">
        <v>0</v>
      </c>
      <c r="AC206" s="6">
        <f t="shared" si="245"/>
        <v>0</v>
      </c>
      <c r="AD206" s="6">
        <f t="shared" si="246"/>
        <v>0</v>
      </c>
      <c r="AE206" s="6">
        <v>0</v>
      </c>
      <c r="AF206" s="6">
        <f t="shared" si="247"/>
        <v>0</v>
      </c>
      <c r="AG206" s="6">
        <f t="shared" si="248"/>
        <v>0</v>
      </c>
      <c r="AH206" s="6">
        <v>0</v>
      </c>
      <c r="AI206" s="6">
        <f t="shared" si="249"/>
        <v>0</v>
      </c>
      <c r="AJ206" s="6">
        <f t="shared" si="250"/>
        <v>0</v>
      </c>
      <c r="AK206" s="6">
        <v>0</v>
      </c>
      <c r="AL206" s="6">
        <f t="shared" si="251"/>
        <v>0</v>
      </c>
      <c r="AM206" s="6">
        <f t="shared" si="252"/>
        <v>0</v>
      </c>
      <c r="AN206" s="6">
        <v>0</v>
      </c>
      <c r="AO206" s="6">
        <f t="shared" si="253"/>
        <v>0</v>
      </c>
      <c r="AP206" s="6">
        <f t="shared" si="254"/>
        <v>0</v>
      </c>
      <c r="AQ206" s="6">
        <v>0</v>
      </c>
      <c r="AR206" s="6">
        <f t="shared" si="255"/>
        <v>0</v>
      </c>
      <c r="AS206" s="6">
        <f t="shared" si="256"/>
        <v>0</v>
      </c>
      <c r="AT206" s="6">
        <v>0</v>
      </c>
      <c r="AU206" s="6">
        <f t="shared" si="257"/>
        <v>0</v>
      </c>
      <c r="AV206" s="6">
        <f t="shared" si="258"/>
        <v>0</v>
      </c>
      <c r="AW206" s="6">
        <v>0</v>
      </c>
      <c r="AX206" s="6">
        <f t="shared" si="259"/>
        <v>0</v>
      </c>
      <c r="AY206" s="6">
        <f t="shared" si="260"/>
        <v>0</v>
      </c>
      <c r="AZ206" s="6">
        <v>0</v>
      </c>
      <c r="BA206" s="6">
        <f t="shared" si="261"/>
        <v>0</v>
      </c>
      <c r="BB206" s="6">
        <f t="shared" si="262"/>
        <v>0</v>
      </c>
      <c r="BC206" s="6">
        <v>0</v>
      </c>
      <c r="BD206" s="6">
        <f t="shared" si="263"/>
        <v>0</v>
      </c>
      <c r="BE206" s="6">
        <f t="shared" si="264"/>
        <v>0</v>
      </c>
      <c r="BF206" s="6">
        <v>0</v>
      </c>
      <c r="BG206" s="6">
        <f t="shared" si="265"/>
        <v>0</v>
      </c>
      <c r="BH206" s="6">
        <f t="shared" si="266"/>
        <v>0</v>
      </c>
      <c r="BI206" s="6">
        <v>0</v>
      </c>
      <c r="BJ206" s="6">
        <f t="shared" si="267"/>
        <v>0</v>
      </c>
      <c r="BK206" s="6">
        <f t="shared" si="268"/>
        <v>0</v>
      </c>
      <c r="BL206" s="6">
        <v>0</v>
      </c>
      <c r="BM206" s="6">
        <f t="shared" si="269"/>
        <v>0</v>
      </c>
      <c r="BN206" s="6">
        <f t="shared" si="270"/>
        <v>0</v>
      </c>
      <c r="BO206" s="6">
        <v>0</v>
      </c>
      <c r="BP206" s="6">
        <f t="shared" si="271"/>
        <v>0</v>
      </c>
      <c r="BQ206" s="6">
        <f t="shared" si="272"/>
        <v>0</v>
      </c>
      <c r="BR206" s="6">
        <v>0</v>
      </c>
      <c r="BS206" s="6">
        <f t="shared" si="273"/>
        <v>0</v>
      </c>
      <c r="BT206" s="6">
        <f t="shared" si="274"/>
        <v>0</v>
      </c>
      <c r="BU206" s="6">
        <v>0</v>
      </c>
      <c r="BV206" s="6">
        <f t="shared" si="275"/>
        <v>0</v>
      </c>
      <c r="BW206" s="6">
        <f t="shared" si="276"/>
        <v>0</v>
      </c>
      <c r="BX206" s="6">
        <v>0</v>
      </c>
      <c r="BY206" s="6">
        <f t="shared" si="277"/>
        <v>0</v>
      </c>
      <c r="BZ206" s="6">
        <f t="shared" si="278"/>
        <v>0</v>
      </c>
      <c r="CA206" s="6">
        <v>0</v>
      </c>
      <c r="CB206" s="6">
        <f t="shared" si="279"/>
        <v>0</v>
      </c>
      <c r="CC206" s="6">
        <f t="shared" si="280"/>
        <v>0</v>
      </c>
      <c r="CD206" s="6">
        <v>0</v>
      </c>
      <c r="CE206" s="6">
        <f t="shared" si="281"/>
        <v>0</v>
      </c>
      <c r="CF206" s="6">
        <f t="shared" si="282"/>
        <v>0</v>
      </c>
      <c r="CG206" s="6">
        <v>0</v>
      </c>
      <c r="CH206" s="6">
        <f t="shared" si="283"/>
        <v>0</v>
      </c>
      <c r="CI206" s="6">
        <f t="shared" si="284"/>
        <v>0</v>
      </c>
      <c r="CJ206" s="6">
        <v>0</v>
      </c>
      <c r="CK206" s="6">
        <f t="shared" si="285"/>
        <v>0</v>
      </c>
      <c r="CL206" s="6">
        <f t="shared" si="286"/>
        <v>0</v>
      </c>
      <c r="CM206" s="6">
        <v>0</v>
      </c>
      <c r="CN206" s="6">
        <f t="shared" si="287"/>
        <v>0</v>
      </c>
      <c r="CO206" s="6">
        <f t="shared" si="288"/>
        <v>0</v>
      </c>
      <c r="CP206" s="6">
        <v>0</v>
      </c>
      <c r="CQ206" s="6">
        <f t="shared" si="289"/>
        <v>0</v>
      </c>
      <c r="CR206" s="6">
        <f t="shared" si="290"/>
        <v>0</v>
      </c>
      <c r="CS206" s="6">
        <v>0</v>
      </c>
      <c r="CT206" s="6">
        <f t="shared" si="291"/>
        <v>0</v>
      </c>
      <c r="CU206" s="6">
        <f t="shared" si="292"/>
        <v>0</v>
      </c>
      <c r="CV206" s="6">
        <v>0</v>
      </c>
      <c r="CW206" s="6">
        <f t="shared" si="293"/>
        <v>0</v>
      </c>
      <c r="CX206" s="6">
        <f t="shared" si="294"/>
        <v>0</v>
      </c>
      <c r="CY206" s="6">
        <v>0</v>
      </c>
      <c r="CZ206" s="6">
        <f t="shared" si="295"/>
        <v>0</v>
      </c>
      <c r="DA206" s="6">
        <f t="shared" si="296"/>
        <v>0</v>
      </c>
      <c r="DB206" s="6">
        <v>0</v>
      </c>
      <c r="DC206" s="6">
        <f t="shared" si="297"/>
        <v>0</v>
      </c>
      <c r="DD206" s="6">
        <f t="shared" si="298"/>
        <v>0</v>
      </c>
      <c r="DE206" s="6">
        <v>0</v>
      </c>
      <c r="DF206" s="6">
        <f t="shared" si="299"/>
        <v>0</v>
      </c>
      <c r="DG206" s="6">
        <f t="shared" si="300"/>
        <v>0</v>
      </c>
      <c r="DH206" s="6">
        <v>0</v>
      </c>
      <c r="DI206" s="6">
        <f t="shared" si="301"/>
        <v>0</v>
      </c>
      <c r="DJ206" s="6">
        <f t="shared" si="302"/>
        <v>0</v>
      </c>
      <c r="DK206" s="6">
        <v>0</v>
      </c>
      <c r="DL206" s="6">
        <f t="shared" si="303"/>
        <v>0</v>
      </c>
      <c r="DM206" s="6">
        <f t="shared" si="304"/>
        <v>0</v>
      </c>
      <c r="DN206" s="6">
        <v>0</v>
      </c>
      <c r="DO206" s="6">
        <f t="shared" si="305"/>
        <v>0</v>
      </c>
      <c r="DP206" s="6">
        <f t="shared" si="306"/>
        <v>0</v>
      </c>
    </row>
    <row r="207" spans="1:120" x14ac:dyDescent="0.2">
      <c r="A207" s="21">
        <v>15</v>
      </c>
      <c r="B207" s="21" t="s">
        <v>660</v>
      </c>
      <c r="C207" s="21">
        <v>15572</v>
      </c>
      <c r="D207" s="21" t="s">
        <v>661</v>
      </c>
      <c r="E207" s="21" t="s">
        <v>522</v>
      </c>
      <c r="F207" s="22" t="s">
        <v>662</v>
      </c>
      <c r="G207" s="4" t="s">
        <v>319</v>
      </c>
      <c r="H207" s="6">
        <v>2422690.46</v>
      </c>
      <c r="I207" s="6">
        <f t="shared" si="238"/>
        <v>6637.5081095890409</v>
      </c>
      <c r="J207" s="6">
        <v>2249019</v>
      </c>
      <c r="K207" s="6">
        <v>2310425.1</v>
      </c>
      <c r="L207" s="6">
        <f>K207/366</f>
        <v>6312.6368852459018</v>
      </c>
      <c r="M207" s="6">
        <v>1968942</v>
      </c>
      <c r="N207" s="6">
        <v>2176961.0699999998</v>
      </c>
      <c r="O207" s="6">
        <f t="shared" ref="O207:O214" si="309">N207/365</f>
        <v>5964.2769041095889</v>
      </c>
      <c r="P207" s="6">
        <v>1701121</v>
      </c>
      <c r="Q207" s="6">
        <v>1020337.42</v>
      </c>
      <c r="R207" s="6">
        <f>Q207/181</f>
        <v>5637.223314917127</v>
      </c>
      <c r="S207" s="6">
        <v>1466252</v>
      </c>
      <c r="T207" s="6">
        <f t="shared" si="239"/>
        <v>1466252</v>
      </c>
      <c r="U207" s="6">
        <f t="shared" si="240"/>
        <v>4017.1287671232876</v>
      </c>
      <c r="V207" s="6">
        <v>1255040</v>
      </c>
      <c r="W207" s="6">
        <f t="shared" si="241"/>
        <v>1255040</v>
      </c>
      <c r="X207" s="6">
        <f t="shared" si="242"/>
        <v>3438.4657534246576</v>
      </c>
      <c r="Y207" s="6">
        <v>1053892</v>
      </c>
      <c r="Z207" s="6">
        <f t="shared" si="243"/>
        <v>1053892</v>
      </c>
      <c r="AA207" s="6">
        <f t="shared" si="244"/>
        <v>2887.3753424657534</v>
      </c>
      <c r="AB207" s="6">
        <v>881231</v>
      </c>
      <c r="AC207" s="6">
        <f t="shared" si="245"/>
        <v>881231</v>
      </c>
      <c r="AD207" s="6">
        <f t="shared" si="246"/>
        <v>2414.3315068493152</v>
      </c>
      <c r="AE207" s="6">
        <v>726499</v>
      </c>
      <c r="AF207" s="6">
        <f t="shared" si="247"/>
        <v>726499</v>
      </c>
      <c r="AG207" s="6">
        <f t="shared" si="248"/>
        <v>1990.4082191780822</v>
      </c>
      <c r="AH207" s="6">
        <v>0</v>
      </c>
      <c r="AI207" s="6">
        <f t="shared" si="249"/>
        <v>0</v>
      </c>
      <c r="AJ207" s="6">
        <f t="shared" si="250"/>
        <v>0</v>
      </c>
      <c r="AK207" s="6">
        <v>0</v>
      </c>
      <c r="AL207" s="6">
        <f t="shared" si="251"/>
        <v>0</v>
      </c>
      <c r="AM207" s="6">
        <f t="shared" si="252"/>
        <v>0</v>
      </c>
      <c r="AN207" s="6">
        <v>0</v>
      </c>
      <c r="AO207" s="6">
        <f t="shared" si="253"/>
        <v>0</v>
      </c>
      <c r="AP207" s="6">
        <f t="shared" si="254"/>
        <v>0</v>
      </c>
      <c r="AQ207" s="6">
        <v>0</v>
      </c>
      <c r="AR207" s="6">
        <f t="shared" si="255"/>
        <v>0</v>
      </c>
      <c r="AS207" s="6">
        <f t="shared" si="256"/>
        <v>0</v>
      </c>
      <c r="AT207" s="6">
        <v>0</v>
      </c>
      <c r="AU207" s="6">
        <f t="shared" si="257"/>
        <v>0</v>
      </c>
      <c r="AV207" s="6">
        <f t="shared" si="258"/>
        <v>0</v>
      </c>
      <c r="AW207" s="6">
        <v>0</v>
      </c>
      <c r="AX207" s="6">
        <f t="shared" si="259"/>
        <v>0</v>
      </c>
      <c r="AY207" s="6">
        <f t="shared" si="260"/>
        <v>0</v>
      </c>
      <c r="AZ207" s="6">
        <v>0</v>
      </c>
      <c r="BA207" s="6">
        <f t="shared" si="261"/>
        <v>0</v>
      </c>
      <c r="BB207" s="6">
        <f t="shared" si="262"/>
        <v>0</v>
      </c>
      <c r="BC207" s="6">
        <v>0</v>
      </c>
      <c r="BD207" s="6">
        <f t="shared" si="263"/>
        <v>0</v>
      </c>
      <c r="BE207" s="6">
        <f t="shared" si="264"/>
        <v>0</v>
      </c>
      <c r="BF207" s="6">
        <v>0</v>
      </c>
      <c r="BG207" s="6">
        <f t="shared" si="265"/>
        <v>0</v>
      </c>
      <c r="BH207" s="6">
        <f t="shared" si="266"/>
        <v>0</v>
      </c>
      <c r="BI207" s="6">
        <v>0</v>
      </c>
      <c r="BJ207" s="6">
        <f t="shared" si="267"/>
        <v>0</v>
      </c>
      <c r="BK207" s="6">
        <f t="shared" si="268"/>
        <v>0</v>
      </c>
      <c r="BL207" s="6">
        <v>0</v>
      </c>
      <c r="BM207" s="6">
        <f t="shared" si="269"/>
        <v>0</v>
      </c>
      <c r="BN207" s="6">
        <f t="shared" si="270"/>
        <v>0</v>
      </c>
      <c r="BO207" s="6">
        <v>0</v>
      </c>
      <c r="BP207" s="6">
        <f t="shared" si="271"/>
        <v>0</v>
      </c>
      <c r="BQ207" s="6">
        <f t="shared" si="272"/>
        <v>0</v>
      </c>
      <c r="BR207" s="6">
        <v>0</v>
      </c>
      <c r="BS207" s="6">
        <f t="shared" si="273"/>
        <v>0</v>
      </c>
      <c r="BT207" s="6">
        <f t="shared" si="274"/>
        <v>0</v>
      </c>
      <c r="BU207" s="6">
        <v>0</v>
      </c>
      <c r="BV207" s="6">
        <f t="shared" si="275"/>
        <v>0</v>
      </c>
      <c r="BW207" s="6">
        <f t="shared" si="276"/>
        <v>0</v>
      </c>
      <c r="BX207" s="6">
        <v>0</v>
      </c>
      <c r="BY207" s="6">
        <f t="shared" si="277"/>
        <v>0</v>
      </c>
      <c r="BZ207" s="6">
        <f t="shared" si="278"/>
        <v>0</v>
      </c>
      <c r="CA207" s="6">
        <v>0</v>
      </c>
      <c r="CB207" s="6">
        <f t="shared" si="279"/>
        <v>0</v>
      </c>
      <c r="CC207" s="6">
        <f t="shared" si="280"/>
        <v>0</v>
      </c>
      <c r="CD207" s="6">
        <v>0</v>
      </c>
      <c r="CE207" s="6">
        <f t="shared" si="281"/>
        <v>0</v>
      </c>
      <c r="CF207" s="6">
        <f t="shared" si="282"/>
        <v>0</v>
      </c>
      <c r="CG207" s="6">
        <v>0</v>
      </c>
      <c r="CH207" s="6">
        <f t="shared" si="283"/>
        <v>0</v>
      </c>
      <c r="CI207" s="6">
        <f t="shared" si="284"/>
        <v>0</v>
      </c>
      <c r="CJ207" s="6">
        <v>0</v>
      </c>
      <c r="CK207" s="6">
        <f t="shared" si="285"/>
        <v>0</v>
      </c>
      <c r="CL207" s="6">
        <f t="shared" si="286"/>
        <v>0</v>
      </c>
      <c r="CM207" s="6">
        <v>0</v>
      </c>
      <c r="CN207" s="6">
        <f t="shared" si="287"/>
        <v>0</v>
      </c>
      <c r="CO207" s="6">
        <f t="shared" si="288"/>
        <v>0</v>
      </c>
      <c r="CP207" s="6">
        <v>0</v>
      </c>
      <c r="CQ207" s="6">
        <f t="shared" si="289"/>
        <v>0</v>
      </c>
      <c r="CR207" s="6">
        <f t="shared" si="290"/>
        <v>0</v>
      </c>
      <c r="CS207" s="6">
        <v>0</v>
      </c>
      <c r="CT207" s="6">
        <f t="shared" si="291"/>
        <v>0</v>
      </c>
      <c r="CU207" s="6">
        <f t="shared" si="292"/>
        <v>0</v>
      </c>
      <c r="CV207" s="6">
        <v>0</v>
      </c>
      <c r="CW207" s="6">
        <f t="shared" si="293"/>
        <v>0</v>
      </c>
      <c r="CX207" s="6">
        <f t="shared" si="294"/>
        <v>0</v>
      </c>
      <c r="CY207" s="6">
        <v>0</v>
      </c>
      <c r="CZ207" s="6">
        <f t="shared" si="295"/>
        <v>0</v>
      </c>
      <c r="DA207" s="6">
        <f t="shared" si="296"/>
        <v>0</v>
      </c>
      <c r="DB207" s="6">
        <v>0</v>
      </c>
      <c r="DC207" s="6">
        <f t="shared" si="297"/>
        <v>0</v>
      </c>
      <c r="DD207" s="6">
        <f t="shared" si="298"/>
        <v>0</v>
      </c>
      <c r="DE207" s="6">
        <v>0</v>
      </c>
      <c r="DF207" s="6">
        <f t="shared" si="299"/>
        <v>0</v>
      </c>
      <c r="DG207" s="6">
        <f t="shared" si="300"/>
        <v>0</v>
      </c>
      <c r="DH207" s="6">
        <v>0</v>
      </c>
      <c r="DI207" s="6">
        <f t="shared" si="301"/>
        <v>0</v>
      </c>
      <c r="DJ207" s="6">
        <f t="shared" si="302"/>
        <v>0</v>
      </c>
      <c r="DK207" s="6">
        <v>0</v>
      </c>
      <c r="DL207" s="6">
        <f t="shared" si="303"/>
        <v>0</v>
      </c>
      <c r="DM207" s="6">
        <f t="shared" si="304"/>
        <v>0</v>
      </c>
      <c r="DN207" s="6">
        <v>0</v>
      </c>
      <c r="DO207" s="6">
        <f t="shared" si="305"/>
        <v>0</v>
      </c>
      <c r="DP207" s="6">
        <f t="shared" si="306"/>
        <v>0</v>
      </c>
    </row>
    <row r="208" spans="1:120" x14ac:dyDescent="0.2">
      <c r="A208" s="21">
        <v>81</v>
      </c>
      <c r="B208" s="21" t="s">
        <v>132</v>
      </c>
      <c r="C208" s="21">
        <v>81065</v>
      </c>
      <c r="D208" s="21" t="s">
        <v>682</v>
      </c>
      <c r="E208" s="21" t="s">
        <v>683</v>
      </c>
      <c r="F208" s="22" t="s">
        <v>662</v>
      </c>
      <c r="G208" s="4" t="s">
        <v>320</v>
      </c>
      <c r="H208" s="6">
        <v>117691.11</v>
      </c>
      <c r="I208" s="6">
        <f t="shared" si="238"/>
        <v>322.44139726027396</v>
      </c>
      <c r="J208" s="6">
        <v>155087</v>
      </c>
      <c r="K208" s="6">
        <v>104073.15</v>
      </c>
      <c r="L208" s="6">
        <f>K208/366</f>
        <v>284.35286885245898</v>
      </c>
      <c r="M208" s="6">
        <v>108357</v>
      </c>
      <c r="N208" s="6">
        <v>53625.81</v>
      </c>
      <c r="O208" s="6">
        <f t="shared" si="309"/>
        <v>146.92002739726027</v>
      </c>
      <c r="P208" s="6">
        <v>78668</v>
      </c>
      <c r="Q208" s="6">
        <v>10074.030000000001</v>
      </c>
      <c r="R208" s="6">
        <f>Q208/181</f>
        <v>55.657624309392268</v>
      </c>
      <c r="S208" s="6">
        <v>53904</v>
      </c>
      <c r="T208" s="6">
        <f t="shared" si="239"/>
        <v>53904</v>
      </c>
      <c r="U208" s="6">
        <f t="shared" si="240"/>
        <v>147.68219178082191</v>
      </c>
      <c r="V208" s="6">
        <v>42565</v>
      </c>
      <c r="W208" s="6">
        <f t="shared" si="241"/>
        <v>42565</v>
      </c>
      <c r="X208" s="6">
        <f t="shared" si="242"/>
        <v>116.61643835616438</v>
      </c>
      <c r="Y208" s="6">
        <v>19968</v>
      </c>
      <c r="Z208" s="6">
        <f t="shared" si="243"/>
        <v>19968</v>
      </c>
      <c r="AA208" s="6">
        <f t="shared" si="244"/>
        <v>54.706849315068496</v>
      </c>
      <c r="AB208" s="6">
        <v>4437</v>
      </c>
      <c r="AC208" s="6">
        <f t="shared" si="245"/>
        <v>4437</v>
      </c>
      <c r="AD208" s="6">
        <f t="shared" si="246"/>
        <v>12.156164383561643</v>
      </c>
      <c r="AE208" s="6">
        <v>0</v>
      </c>
      <c r="AF208" s="6">
        <f t="shared" si="247"/>
        <v>0</v>
      </c>
      <c r="AG208" s="6">
        <f t="shared" si="248"/>
        <v>0</v>
      </c>
      <c r="AH208" s="6">
        <v>0</v>
      </c>
      <c r="AI208" s="6">
        <f t="shared" si="249"/>
        <v>0</v>
      </c>
      <c r="AJ208" s="6">
        <f t="shared" si="250"/>
        <v>0</v>
      </c>
      <c r="AK208" s="6">
        <v>0</v>
      </c>
      <c r="AL208" s="6">
        <f t="shared" si="251"/>
        <v>0</v>
      </c>
      <c r="AM208" s="6">
        <f t="shared" si="252"/>
        <v>0</v>
      </c>
      <c r="AN208" s="6">
        <v>0</v>
      </c>
      <c r="AO208" s="6">
        <f t="shared" si="253"/>
        <v>0</v>
      </c>
      <c r="AP208" s="6">
        <f t="shared" si="254"/>
        <v>0</v>
      </c>
      <c r="AQ208" s="6">
        <v>0</v>
      </c>
      <c r="AR208" s="6">
        <f t="shared" si="255"/>
        <v>0</v>
      </c>
      <c r="AS208" s="6">
        <f t="shared" si="256"/>
        <v>0</v>
      </c>
      <c r="AT208" s="6">
        <v>0</v>
      </c>
      <c r="AU208" s="6">
        <f t="shared" si="257"/>
        <v>0</v>
      </c>
      <c r="AV208" s="6">
        <f t="shared" si="258"/>
        <v>0</v>
      </c>
      <c r="AW208" s="6">
        <v>0</v>
      </c>
      <c r="AX208" s="6">
        <f t="shared" si="259"/>
        <v>0</v>
      </c>
      <c r="AY208" s="6">
        <f t="shared" si="260"/>
        <v>0</v>
      </c>
      <c r="AZ208" s="6">
        <v>0</v>
      </c>
      <c r="BA208" s="6">
        <f t="shared" si="261"/>
        <v>0</v>
      </c>
      <c r="BB208" s="6">
        <f t="shared" si="262"/>
        <v>0</v>
      </c>
      <c r="BC208" s="6">
        <v>0</v>
      </c>
      <c r="BD208" s="6">
        <f t="shared" si="263"/>
        <v>0</v>
      </c>
      <c r="BE208" s="6">
        <f t="shared" si="264"/>
        <v>0</v>
      </c>
      <c r="BF208" s="6">
        <v>0</v>
      </c>
      <c r="BG208" s="6">
        <f t="shared" si="265"/>
        <v>0</v>
      </c>
      <c r="BH208" s="6">
        <f t="shared" si="266"/>
        <v>0</v>
      </c>
      <c r="BI208" s="6">
        <v>0</v>
      </c>
      <c r="BJ208" s="6">
        <f t="shared" si="267"/>
        <v>0</v>
      </c>
      <c r="BK208" s="6">
        <f t="shared" si="268"/>
        <v>0</v>
      </c>
      <c r="BL208" s="6">
        <v>0</v>
      </c>
      <c r="BM208" s="6">
        <f t="shared" si="269"/>
        <v>0</v>
      </c>
      <c r="BN208" s="6">
        <f t="shared" si="270"/>
        <v>0</v>
      </c>
      <c r="BO208" s="6">
        <v>0</v>
      </c>
      <c r="BP208" s="6">
        <f t="shared" si="271"/>
        <v>0</v>
      </c>
      <c r="BQ208" s="6">
        <f t="shared" si="272"/>
        <v>0</v>
      </c>
      <c r="BR208" s="6">
        <v>0</v>
      </c>
      <c r="BS208" s="6">
        <f t="shared" si="273"/>
        <v>0</v>
      </c>
      <c r="BT208" s="6">
        <f t="shared" si="274"/>
        <v>0</v>
      </c>
      <c r="BU208" s="6">
        <v>0</v>
      </c>
      <c r="BV208" s="6">
        <f t="shared" si="275"/>
        <v>0</v>
      </c>
      <c r="BW208" s="6">
        <f t="shared" si="276"/>
        <v>0</v>
      </c>
      <c r="BX208" s="6">
        <v>0</v>
      </c>
      <c r="BY208" s="6">
        <f t="shared" si="277"/>
        <v>0</v>
      </c>
      <c r="BZ208" s="6">
        <f t="shared" si="278"/>
        <v>0</v>
      </c>
      <c r="CA208" s="6">
        <v>0</v>
      </c>
      <c r="CB208" s="6">
        <f t="shared" si="279"/>
        <v>0</v>
      </c>
      <c r="CC208" s="6">
        <f t="shared" si="280"/>
        <v>0</v>
      </c>
      <c r="CD208" s="6">
        <v>0</v>
      </c>
      <c r="CE208" s="6">
        <f t="shared" si="281"/>
        <v>0</v>
      </c>
      <c r="CF208" s="6">
        <f t="shared" si="282"/>
        <v>0</v>
      </c>
      <c r="CG208" s="6">
        <v>0</v>
      </c>
      <c r="CH208" s="6">
        <f t="shared" si="283"/>
        <v>0</v>
      </c>
      <c r="CI208" s="6">
        <f t="shared" si="284"/>
        <v>0</v>
      </c>
      <c r="CJ208" s="6">
        <v>0</v>
      </c>
      <c r="CK208" s="6">
        <f t="shared" si="285"/>
        <v>0</v>
      </c>
      <c r="CL208" s="6">
        <f t="shared" si="286"/>
        <v>0</v>
      </c>
      <c r="CM208" s="6">
        <v>0</v>
      </c>
      <c r="CN208" s="6">
        <f t="shared" si="287"/>
        <v>0</v>
      </c>
      <c r="CO208" s="6">
        <f t="shared" si="288"/>
        <v>0</v>
      </c>
      <c r="CP208" s="6">
        <v>0</v>
      </c>
      <c r="CQ208" s="6">
        <f t="shared" si="289"/>
        <v>0</v>
      </c>
      <c r="CR208" s="6">
        <f t="shared" si="290"/>
        <v>0</v>
      </c>
      <c r="CS208" s="6">
        <v>0</v>
      </c>
      <c r="CT208" s="6">
        <f t="shared" si="291"/>
        <v>0</v>
      </c>
      <c r="CU208" s="6">
        <f t="shared" si="292"/>
        <v>0</v>
      </c>
      <c r="CV208" s="6">
        <v>0</v>
      </c>
      <c r="CW208" s="6">
        <f t="shared" si="293"/>
        <v>0</v>
      </c>
      <c r="CX208" s="6">
        <f t="shared" si="294"/>
        <v>0</v>
      </c>
      <c r="CY208" s="6">
        <v>0</v>
      </c>
      <c r="CZ208" s="6">
        <f t="shared" si="295"/>
        <v>0</v>
      </c>
      <c r="DA208" s="6">
        <f t="shared" si="296"/>
        <v>0</v>
      </c>
      <c r="DB208" s="6">
        <v>0</v>
      </c>
      <c r="DC208" s="6">
        <f t="shared" si="297"/>
        <v>0</v>
      </c>
      <c r="DD208" s="6">
        <f t="shared" si="298"/>
        <v>0</v>
      </c>
      <c r="DE208" s="6">
        <v>0</v>
      </c>
      <c r="DF208" s="6">
        <f t="shared" si="299"/>
        <v>0</v>
      </c>
      <c r="DG208" s="6">
        <f t="shared" si="300"/>
        <v>0</v>
      </c>
      <c r="DH208" s="6">
        <v>0</v>
      </c>
      <c r="DI208" s="6">
        <f t="shared" si="301"/>
        <v>0</v>
      </c>
      <c r="DJ208" s="6">
        <f t="shared" si="302"/>
        <v>0</v>
      </c>
      <c r="DK208" s="6">
        <v>0</v>
      </c>
      <c r="DL208" s="6">
        <f t="shared" si="303"/>
        <v>0</v>
      </c>
      <c r="DM208" s="6">
        <f t="shared" si="304"/>
        <v>0</v>
      </c>
      <c r="DN208" s="6">
        <v>0</v>
      </c>
      <c r="DO208" s="6">
        <f t="shared" si="305"/>
        <v>0</v>
      </c>
      <c r="DP208" s="6">
        <f t="shared" si="306"/>
        <v>0</v>
      </c>
    </row>
    <row r="209" spans="1:120" x14ac:dyDescent="0.2">
      <c r="A209" s="21">
        <v>86</v>
      </c>
      <c r="B209" s="21" t="s">
        <v>664</v>
      </c>
      <c r="C209" s="21">
        <v>86320</v>
      </c>
      <c r="D209" s="21" t="s">
        <v>329</v>
      </c>
      <c r="E209" s="21" t="s">
        <v>564</v>
      </c>
      <c r="F209" s="22" t="s">
        <v>666</v>
      </c>
      <c r="G209" s="4" t="s">
        <v>321</v>
      </c>
      <c r="H209" s="6">
        <v>57653.41</v>
      </c>
      <c r="I209" s="6">
        <f t="shared" si="238"/>
        <v>157.95454794520549</v>
      </c>
      <c r="J209" s="6">
        <v>56511.093200000003</v>
      </c>
      <c r="K209" s="6">
        <v>30342.959999999999</v>
      </c>
      <c r="L209" s="6">
        <f>K209/366</f>
        <v>82.904262295081963</v>
      </c>
      <c r="M209" s="6">
        <v>50989.931700000001</v>
      </c>
      <c r="N209" s="6">
        <v>12458.66</v>
      </c>
      <c r="O209" s="6">
        <f t="shared" si="309"/>
        <v>34.133315068493147</v>
      </c>
      <c r="P209" s="6">
        <v>46140.661500000002</v>
      </c>
      <c r="Q209" s="6"/>
      <c r="R209" s="6"/>
      <c r="S209" s="6">
        <v>41752.569100000001</v>
      </c>
      <c r="T209" s="6">
        <f t="shared" si="239"/>
        <v>41752.569100000001</v>
      </c>
      <c r="U209" s="6">
        <f t="shared" si="240"/>
        <v>114.39060027397261</v>
      </c>
      <c r="V209" s="6">
        <v>37880.207499999997</v>
      </c>
      <c r="W209" s="6">
        <f t="shared" si="241"/>
        <v>37880.207499999997</v>
      </c>
      <c r="X209" s="6">
        <f t="shared" si="242"/>
        <v>103.78139041095889</v>
      </c>
      <c r="Y209" s="6">
        <v>34179.292600000001</v>
      </c>
      <c r="Z209" s="6">
        <f t="shared" si="243"/>
        <v>34179.292600000001</v>
      </c>
      <c r="AA209" s="6">
        <f t="shared" si="244"/>
        <v>93.641897534246581</v>
      </c>
      <c r="AB209" s="6">
        <v>30928.756300000001</v>
      </c>
      <c r="AC209" s="6">
        <f t="shared" si="245"/>
        <v>30928.756300000001</v>
      </c>
      <c r="AD209" s="6">
        <f t="shared" si="246"/>
        <v>84.736318630136992</v>
      </c>
      <c r="AE209" s="6">
        <v>27987.3541</v>
      </c>
      <c r="AF209" s="6">
        <f t="shared" si="247"/>
        <v>27987.3541</v>
      </c>
      <c r="AG209" s="6">
        <f t="shared" si="248"/>
        <v>76.677682465753421</v>
      </c>
      <c r="AH209" s="6">
        <v>21334.4208</v>
      </c>
      <c r="AI209" s="6">
        <f t="shared" si="249"/>
        <v>21334.4208</v>
      </c>
      <c r="AJ209" s="6">
        <f t="shared" si="250"/>
        <v>58.450467945205482</v>
      </c>
      <c r="AK209" s="6">
        <v>0</v>
      </c>
      <c r="AL209" s="6">
        <f t="shared" si="251"/>
        <v>0</v>
      </c>
      <c r="AM209" s="6">
        <f t="shared" si="252"/>
        <v>0</v>
      </c>
      <c r="AN209" s="6">
        <v>0</v>
      </c>
      <c r="AO209" s="6">
        <f t="shared" si="253"/>
        <v>0</v>
      </c>
      <c r="AP209" s="6">
        <f t="shared" si="254"/>
        <v>0</v>
      </c>
      <c r="AQ209" s="6">
        <v>0</v>
      </c>
      <c r="AR209" s="6">
        <f t="shared" si="255"/>
        <v>0</v>
      </c>
      <c r="AS209" s="6">
        <f t="shared" si="256"/>
        <v>0</v>
      </c>
      <c r="AT209" s="6">
        <v>0</v>
      </c>
      <c r="AU209" s="6">
        <f t="shared" si="257"/>
        <v>0</v>
      </c>
      <c r="AV209" s="6">
        <f t="shared" si="258"/>
        <v>0</v>
      </c>
      <c r="AW209" s="6">
        <v>0</v>
      </c>
      <c r="AX209" s="6">
        <f t="shared" si="259"/>
        <v>0</v>
      </c>
      <c r="AY209" s="6">
        <f t="shared" si="260"/>
        <v>0</v>
      </c>
      <c r="AZ209" s="6">
        <v>0</v>
      </c>
      <c r="BA209" s="6">
        <f t="shared" si="261"/>
        <v>0</v>
      </c>
      <c r="BB209" s="6">
        <f t="shared" si="262"/>
        <v>0</v>
      </c>
      <c r="BC209" s="6">
        <v>0</v>
      </c>
      <c r="BD209" s="6">
        <f t="shared" si="263"/>
        <v>0</v>
      </c>
      <c r="BE209" s="6">
        <f t="shared" si="264"/>
        <v>0</v>
      </c>
      <c r="BF209" s="6">
        <v>0</v>
      </c>
      <c r="BG209" s="6">
        <f t="shared" si="265"/>
        <v>0</v>
      </c>
      <c r="BH209" s="6">
        <f t="shared" si="266"/>
        <v>0</v>
      </c>
      <c r="BI209" s="6">
        <v>0</v>
      </c>
      <c r="BJ209" s="6">
        <f t="shared" si="267"/>
        <v>0</v>
      </c>
      <c r="BK209" s="6">
        <f t="shared" si="268"/>
        <v>0</v>
      </c>
      <c r="BL209" s="6">
        <v>0</v>
      </c>
      <c r="BM209" s="6">
        <f t="shared" si="269"/>
        <v>0</v>
      </c>
      <c r="BN209" s="6">
        <f t="shared" si="270"/>
        <v>0</v>
      </c>
      <c r="BO209" s="6">
        <v>0</v>
      </c>
      <c r="BP209" s="6">
        <f t="shared" si="271"/>
        <v>0</v>
      </c>
      <c r="BQ209" s="6">
        <f t="shared" si="272"/>
        <v>0</v>
      </c>
      <c r="BR209" s="6">
        <v>0</v>
      </c>
      <c r="BS209" s="6">
        <f t="shared" si="273"/>
        <v>0</v>
      </c>
      <c r="BT209" s="6">
        <f t="shared" si="274"/>
        <v>0</v>
      </c>
      <c r="BU209" s="6">
        <v>0</v>
      </c>
      <c r="BV209" s="6">
        <f t="shared" si="275"/>
        <v>0</v>
      </c>
      <c r="BW209" s="6">
        <f t="shared" si="276"/>
        <v>0</v>
      </c>
      <c r="BX209" s="6">
        <v>0</v>
      </c>
      <c r="BY209" s="6">
        <f t="shared" si="277"/>
        <v>0</v>
      </c>
      <c r="BZ209" s="6">
        <f t="shared" si="278"/>
        <v>0</v>
      </c>
      <c r="CA209" s="6">
        <v>0</v>
      </c>
      <c r="CB209" s="6">
        <f t="shared" si="279"/>
        <v>0</v>
      </c>
      <c r="CC209" s="6">
        <f t="shared" si="280"/>
        <v>0</v>
      </c>
      <c r="CD209" s="6">
        <v>0</v>
      </c>
      <c r="CE209" s="6">
        <f t="shared" si="281"/>
        <v>0</v>
      </c>
      <c r="CF209" s="6">
        <f t="shared" si="282"/>
        <v>0</v>
      </c>
      <c r="CG209" s="6">
        <v>0</v>
      </c>
      <c r="CH209" s="6">
        <f t="shared" si="283"/>
        <v>0</v>
      </c>
      <c r="CI209" s="6">
        <f t="shared" si="284"/>
        <v>0</v>
      </c>
      <c r="CJ209" s="6">
        <v>0</v>
      </c>
      <c r="CK209" s="6">
        <f t="shared" si="285"/>
        <v>0</v>
      </c>
      <c r="CL209" s="6">
        <f t="shared" si="286"/>
        <v>0</v>
      </c>
      <c r="CM209" s="6">
        <v>0</v>
      </c>
      <c r="CN209" s="6">
        <f t="shared" si="287"/>
        <v>0</v>
      </c>
      <c r="CO209" s="6">
        <f t="shared" si="288"/>
        <v>0</v>
      </c>
      <c r="CP209" s="6">
        <v>0</v>
      </c>
      <c r="CQ209" s="6">
        <f t="shared" si="289"/>
        <v>0</v>
      </c>
      <c r="CR209" s="6">
        <f t="shared" si="290"/>
        <v>0</v>
      </c>
      <c r="CS209" s="6">
        <v>0</v>
      </c>
      <c r="CT209" s="6">
        <f t="shared" si="291"/>
        <v>0</v>
      </c>
      <c r="CU209" s="6">
        <f t="shared" si="292"/>
        <v>0</v>
      </c>
      <c r="CV209" s="6">
        <v>0</v>
      </c>
      <c r="CW209" s="6">
        <f t="shared" si="293"/>
        <v>0</v>
      </c>
      <c r="CX209" s="6">
        <f t="shared" si="294"/>
        <v>0</v>
      </c>
      <c r="CY209" s="6">
        <v>0</v>
      </c>
      <c r="CZ209" s="6">
        <f t="shared" si="295"/>
        <v>0</v>
      </c>
      <c r="DA209" s="6">
        <f t="shared" si="296"/>
        <v>0</v>
      </c>
      <c r="DB209" s="6">
        <v>0</v>
      </c>
      <c r="DC209" s="6">
        <f t="shared" si="297"/>
        <v>0</v>
      </c>
      <c r="DD209" s="6">
        <f t="shared" si="298"/>
        <v>0</v>
      </c>
      <c r="DE209" s="6">
        <v>0</v>
      </c>
      <c r="DF209" s="6">
        <f t="shared" si="299"/>
        <v>0</v>
      </c>
      <c r="DG209" s="6">
        <f t="shared" si="300"/>
        <v>0</v>
      </c>
      <c r="DH209" s="6">
        <v>0</v>
      </c>
      <c r="DI209" s="6">
        <f t="shared" si="301"/>
        <v>0</v>
      </c>
      <c r="DJ209" s="6">
        <f t="shared" si="302"/>
        <v>0</v>
      </c>
      <c r="DK209" s="6">
        <v>0</v>
      </c>
      <c r="DL209" s="6">
        <f t="shared" si="303"/>
        <v>0</v>
      </c>
      <c r="DM209" s="6">
        <f t="shared" si="304"/>
        <v>0</v>
      </c>
      <c r="DN209" s="6">
        <v>0</v>
      </c>
      <c r="DO209" s="6">
        <f t="shared" si="305"/>
        <v>0</v>
      </c>
      <c r="DP209" s="6">
        <f t="shared" si="306"/>
        <v>0</v>
      </c>
    </row>
    <row r="210" spans="1:120" x14ac:dyDescent="0.2">
      <c r="A210" s="21">
        <v>15</v>
      </c>
      <c r="B210" s="21" t="s">
        <v>660</v>
      </c>
      <c r="C210" s="21">
        <v>15572</v>
      </c>
      <c r="D210" s="21" t="s">
        <v>661</v>
      </c>
      <c r="E210" s="21" t="s">
        <v>522</v>
      </c>
      <c r="F210" s="22" t="s">
        <v>662</v>
      </c>
      <c r="G210" s="4" t="s">
        <v>322</v>
      </c>
      <c r="H210" s="6"/>
      <c r="I210" s="6"/>
      <c r="J210" s="6">
        <v>74739</v>
      </c>
      <c r="K210" s="6"/>
      <c r="L210" s="6"/>
      <c r="M210" s="6">
        <v>58973</v>
      </c>
      <c r="N210" s="6">
        <v>984266.97</v>
      </c>
      <c r="O210" s="6">
        <f t="shared" si="309"/>
        <v>2696.6218356164381</v>
      </c>
      <c r="P210" s="6">
        <v>45895</v>
      </c>
      <c r="Q210" s="6">
        <v>1298787.43</v>
      </c>
      <c r="R210" s="6">
        <f>Q210/181</f>
        <v>7175.6211602209942</v>
      </c>
      <c r="S210" s="6">
        <v>0</v>
      </c>
      <c r="T210" s="6">
        <f t="shared" si="239"/>
        <v>0</v>
      </c>
      <c r="U210" s="6">
        <f t="shared" si="240"/>
        <v>0</v>
      </c>
      <c r="V210" s="6">
        <v>0</v>
      </c>
      <c r="W210" s="6">
        <f t="shared" si="241"/>
        <v>0</v>
      </c>
      <c r="X210" s="6">
        <f t="shared" si="242"/>
        <v>0</v>
      </c>
      <c r="Y210" s="6">
        <v>0</v>
      </c>
      <c r="Z210" s="6">
        <f t="shared" si="243"/>
        <v>0</v>
      </c>
      <c r="AA210" s="6">
        <f t="shared" si="244"/>
        <v>0</v>
      </c>
      <c r="AB210" s="6">
        <v>0</v>
      </c>
      <c r="AC210" s="6">
        <f t="shared" si="245"/>
        <v>0</v>
      </c>
      <c r="AD210" s="6">
        <f t="shared" si="246"/>
        <v>0</v>
      </c>
      <c r="AE210" s="6">
        <v>0</v>
      </c>
      <c r="AF210" s="6">
        <f t="shared" si="247"/>
        <v>0</v>
      </c>
      <c r="AG210" s="6">
        <f t="shared" si="248"/>
        <v>0</v>
      </c>
      <c r="AH210" s="6">
        <v>0</v>
      </c>
      <c r="AI210" s="6">
        <f t="shared" si="249"/>
        <v>0</v>
      </c>
      <c r="AJ210" s="6">
        <f t="shared" si="250"/>
        <v>0</v>
      </c>
      <c r="AK210" s="6">
        <v>0</v>
      </c>
      <c r="AL210" s="6">
        <f t="shared" si="251"/>
        <v>0</v>
      </c>
      <c r="AM210" s="6">
        <f t="shared" si="252"/>
        <v>0</v>
      </c>
      <c r="AN210" s="6">
        <v>0</v>
      </c>
      <c r="AO210" s="6">
        <f t="shared" si="253"/>
        <v>0</v>
      </c>
      <c r="AP210" s="6">
        <f t="shared" si="254"/>
        <v>0</v>
      </c>
      <c r="AQ210" s="6">
        <v>0</v>
      </c>
      <c r="AR210" s="6">
        <f t="shared" si="255"/>
        <v>0</v>
      </c>
      <c r="AS210" s="6">
        <f t="shared" si="256"/>
        <v>0</v>
      </c>
      <c r="AT210" s="6">
        <v>0</v>
      </c>
      <c r="AU210" s="6">
        <f t="shared" si="257"/>
        <v>0</v>
      </c>
      <c r="AV210" s="6">
        <f t="shared" si="258"/>
        <v>0</v>
      </c>
      <c r="AW210" s="6">
        <v>0</v>
      </c>
      <c r="AX210" s="6">
        <f t="shared" si="259"/>
        <v>0</v>
      </c>
      <c r="AY210" s="6">
        <f t="shared" si="260"/>
        <v>0</v>
      </c>
      <c r="AZ210" s="6">
        <v>0</v>
      </c>
      <c r="BA210" s="6">
        <f t="shared" si="261"/>
        <v>0</v>
      </c>
      <c r="BB210" s="6">
        <f t="shared" si="262"/>
        <v>0</v>
      </c>
      <c r="BC210" s="6">
        <v>0</v>
      </c>
      <c r="BD210" s="6">
        <f t="shared" si="263"/>
        <v>0</v>
      </c>
      <c r="BE210" s="6">
        <f t="shared" si="264"/>
        <v>0</v>
      </c>
      <c r="BF210" s="6">
        <v>0</v>
      </c>
      <c r="BG210" s="6">
        <f t="shared" si="265"/>
        <v>0</v>
      </c>
      <c r="BH210" s="6">
        <f t="shared" si="266"/>
        <v>0</v>
      </c>
      <c r="BI210" s="6">
        <v>0</v>
      </c>
      <c r="BJ210" s="6">
        <f t="shared" si="267"/>
        <v>0</v>
      </c>
      <c r="BK210" s="6">
        <f t="shared" si="268"/>
        <v>0</v>
      </c>
      <c r="BL210" s="6">
        <v>0</v>
      </c>
      <c r="BM210" s="6">
        <f t="shared" si="269"/>
        <v>0</v>
      </c>
      <c r="BN210" s="6">
        <f t="shared" si="270"/>
        <v>0</v>
      </c>
      <c r="BO210" s="6">
        <v>0</v>
      </c>
      <c r="BP210" s="6">
        <f t="shared" si="271"/>
        <v>0</v>
      </c>
      <c r="BQ210" s="6">
        <f t="shared" si="272"/>
        <v>0</v>
      </c>
      <c r="BR210" s="6">
        <v>0</v>
      </c>
      <c r="BS210" s="6">
        <f t="shared" si="273"/>
        <v>0</v>
      </c>
      <c r="BT210" s="6">
        <f t="shared" si="274"/>
        <v>0</v>
      </c>
      <c r="BU210" s="6">
        <v>0</v>
      </c>
      <c r="BV210" s="6">
        <f t="shared" si="275"/>
        <v>0</v>
      </c>
      <c r="BW210" s="6">
        <f t="shared" si="276"/>
        <v>0</v>
      </c>
      <c r="BX210" s="6">
        <v>0</v>
      </c>
      <c r="BY210" s="6">
        <f t="shared" si="277"/>
        <v>0</v>
      </c>
      <c r="BZ210" s="6">
        <f t="shared" si="278"/>
        <v>0</v>
      </c>
      <c r="CA210" s="6">
        <v>0</v>
      </c>
      <c r="CB210" s="6">
        <f t="shared" si="279"/>
        <v>0</v>
      </c>
      <c r="CC210" s="6">
        <f t="shared" si="280"/>
        <v>0</v>
      </c>
      <c r="CD210" s="6">
        <v>0</v>
      </c>
      <c r="CE210" s="6">
        <f t="shared" si="281"/>
        <v>0</v>
      </c>
      <c r="CF210" s="6">
        <f t="shared" si="282"/>
        <v>0</v>
      </c>
      <c r="CG210" s="6">
        <v>0</v>
      </c>
      <c r="CH210" s="6">
        <f t="shared" si="283"/>
        <v>0</v>
      </c>
      <c r="CI210" s="6">
        <f t="shared" si="284"/>
        <v>0</v>
      </c>
      <c r="CJ210" s="6">
        <v>0</v>
      </c>
      <c r="CK210" s="6">
        <f t="shared" si="285"/>
        <v>0</v>
      </c>
      <c r="CL210" s="6">
        <f t="shared" si="286"/>
        <v>0</v>
      </c>
      <c r="CM210" s="6">
        <v>0</v>
      </c>
      <c r="CN210" s="6">
        <f t="shared" si="287"/>
        <v>0</v>
      </c>
      <c r="CO210" s="6">
        <f t="shared" si="288"/>
        <v>0</v>
      </c>
      <c r="CP210" s="6">
        <v>0</v>
      </c>
      <c r="CQ210" s="6">
        <f t="shared" si="289"/>
        <v>0</v>
      </c>
      <c r="CR210" s="6">
        <f t="shared" si="290"/>
        <v>0</v>
      </c>
      <c r="CS210" s="6">
        <v>0</v>
      </c>
      <c r="CT210" s="6">
        <f t="shared" si="291"/>
        <v>0</v>
      </c>
      <c r="CU210" s="6">
        <f t="shared" si="292"/>
        <v>0</v>
      </c>
      <c r="CV210" s="6">
        <v>0</v>
      </c>
      <c r="CW210" s="6">
        <f t="shared" si="293"/>
        <v>0</v>
      </c>
      <c r="CX210" s="6">
        <f t="shared" si="294"/>
        <v>0</v>
      </c>
      <c r="CY210" s="6">
        <v>0</v>
      </c>
      <c r="CZ210" s="6">
        <f t="shared" si="295"/>
        <v>0</v>
      </c>
      <c r="DA210" s="6">
        <f t="shared" si="296"/>
        <v>0</v>
      </c>
      <c r="DB210" s="6">
        <v>0</v>
      </c>
      <c r="DC210" s="6">
        <f t="shared" si="297"/>
        <v>0</v>
      </c>
      <c r="DD210" s="6">
        <f t="shared" si="298"/>
        <v>0</v>
      </c>
      <c r="DE210" s="6">
        <v>0</v>
      </c>
      <c r="DF210" s="6">
        <f t="shared" si="299"/>
        <v>0</v>
      </c>
      <c r="DG210" s="6">
        <f t="shared" si="300"/>
        <v>0</v>
      </c>
      <c r="DH210" s="6">
        <v>0</v>
      </c>
      <c r="DI210" s="6">
        <f t="shared" si="301"/>
        <v>0</v>
      </c>
      <c r="DJ210" s="6">
        <f t="shared" si="302"/>
        <v>0</v>
      </c>
      <c r="DK210" s="6">
        <v>0</v>
      </c>
      <c r="DL210" s="6">
        <f t="shared" si="303"/>
        <v>0</v>
      </c>
      <c r="DM210" s="6">
        <f t="shared" si="304"/>
        <v>0</v>
      </c>
      <c r="DN210" s="6">
        <v>0</v>
      </c>
      <c r="DO210" s="6">
        <f t="shared" si="305"/>
        <v>0</v>
      </c>
      <c r="DP210" s="6">
        <f t="shared" si="306"/>
        <v>0</v>
      </c>
    </row>
    <row r="211" spans="1:120" x14ac:dyDescent="0.2">
      <c r="A211" s="21">
        <v>85</v>
      </c>
      <c r="B211" s="21" t="s">
        <v>612</v>
      </c>
      <c r="C211" s="21">
        <v>85230</v>
      </c>
      <c r="D211" s="21" t="s">
        <v>614</v>
      </c>
      <c r="E211" s="21" t="s">
        <v>601</v>
      </c>
      <c r="F211" s="22" t="s">
        <v>669</v>
      </c>
      <c r="G211" s="4" t="s">
        <v>323</v>
      </c>
      <c r="H211" s="6">
        <v>139445.96</v>
      </c>
      <c r="I211" s="6">
        <f>H211/365</f>
        <v>382.04372602739721</v>
      </c>
      <c r="J211" s="6">
        <v>352355.23979999998</v>
      </c>
      <c r="K211" s="6">
        <v>117073.02</v>
      </c>
      <c r="L211" s="6">
        <f>K211/366</f>
        <v>319.87163934426229</v>
      </c>
      <c r="M211" s="6">
        <v>327749.28000000003</v>
      </c>
      <c r="N211" s="6">
        <v>103992.16</v>
      </c>
      <c r="O211" s="6">
        <f t="shared" si="309"/>
        <v>284.91002739726031</v>
      </c>
      <c r="P211" s="6">
        <v>306881.71999999997</v>
      </c>
      <c r="Q211" s="6">
        <v>48085.78</v>
      </c>
      <c r="R211" s="6">
        <f>Q211/181</f>
        <v>265.66729281767954</v>
      </c>
      <c r="S211" s="6">
        <v>286882.09000000003</v>
      </c>
      <c r="T211" s="6">
        <f t="shared" si="239"/>
        <v>286882.09000000003</v>
      </c>
      <c r="U211" s="6">
        <f t="shared" si="240"/>
        <v>785.97832876712334</v>
      </c>
      <c r="V211" s="6">
        <v>270671.65000000002</v>
      </c>
      <c r="W211" s="6">
        <f t="shared" si="241"/>
        <v>270671.65000000002</v>
      </c>
      <c r="X211" s="6">
        <f t="shared" si="242"/>
        <v>741.56616438356173</v>
      </c>
      <c r="Y211" s="6">
        <v>253769.79</v>
      </c>
      <c r="Z211" s="6">
        <f t="shared" si="243"/>
        <v>253769.79</v>
      </c>
      <c r="AA211" s="6">
        <f t="shared" si="244"/>
        <v>695.259698630137</v>
      </c>
      <c r="AB211" s="6">
        <v>238563.47</v>
      </c>
      <c r="AC211" s="6">
        <f t="shared" si="245"/>
        <v>238563.47</v>
      </c>
      <c r="AD211" s="6">
        <f t="shared" si="246"/>
        <v>653.5985479452055</v>
      </c>
      <c r="AE211" s="6">
        <v>222555.19</v>
      </c>
      <c r="AF211" s="6">
        <f t="shared" si="247"/>
        <v>222555.19</v>
      </c>
      <c r="AG211" s="6">
        <f t="shared" si="248"/>
        <v>609.74024657534244</v>
      </c>
      <c r="AH211" s="6">
        <v>210861.36</v>
      </c>
      <c r="AI211" s="6">
        <f t="shared" si="249"/>
        <v>210861.36</v>
      </c>
      <c r="AJ211" s="6">
        <f t="shared" si="250"/>
        <v>577.70235616438356</v>
      </c>
      <c r="AK211" s="6">
        <v>199243.6</v>
      </c>
      <c r="AL211" s="6">
        <f t="shared" si="251"/>
        <v>199243.6</v>
      </c>
      <c r="AM211" s="6">
        <f t="shared" si="252"/>
        <v>545.87287671232878</v>
      </c>
      <c r="AN211" s="6">
        <v>189603.14</v>
      </c>
      <c r="AO211" s="6">
        <f t="shared" si="253"/>
        <v>189603.14</v>
      </c>
      <c r="AP211" s="6">
        <f t="shared" si="254"/>
        <v>519.46065753424659</v>
      </c>
      <c r="AQ211" s="6">
        <v>179736.23</v>
      </c>
      <c r="AR211" s="6">
        <f t="shared" si="255"/>
        <v>179736.23</v>
      </c>
      <c r="AS211" s="6">
        <f t="shared" si="256"/>
        <v>492.42802739726028</v>
      </c>
      <c r="AT211" s="6">
        <v>0</v>
      </c>
      <c r="AU211" s="6">
        <f t="shared" si="257"/>
        <v>0</v>
      </c>
      <c r="AV211" s="6">
        <f t="shared" si="258"/>
        <v>0</v>
      </c>
      <c r="AW211" s="6">
        <v>0</v>
      </c>
      <c r="AX211" s="6">
        <f t="shared" si="259"/>
        <v>0</v>
      </c>
      <c r="AY211" s="6">
        <f t="shared" si="260"/>
        <v>0</v>
      </c>
      <c r="AZ211" s="6">
        <v>0</v>
      </c>
      <c r="BA211" s="6">
        <f t="shared" si="261"/>
        <v>0</v>
      </c>
      <c r="BB211" s="6">
        <f t="shared" si="262"/>
        <v>0</v>
      </c>
      <c r="BC211" s="6">
        <v>0</v>
      </c>
      <c r="BD211" s="6">
        <f t="shared" si="263"/>
        <v>0</v>
      </c>
      <c r="BE211" s="6">
        <f t="shared" si="264"/>
        <v>0</v>
      </c>
      <c r="BF211" s="6">
        <v>0</v>
      </c>
      <c r="BG211" s="6">
        <f t="shared" si="265"/>
        <v>0</v>
      </c>
      <c r="BH211" s="6">
        <f t="shared" si="266"/>
        <v>0</v>
      </c>
      <c r="BI211" s="6">
        <v>0</v>
      </c>
      <c r="BJ211" s="6">
        <f t="shared" si="267"/>
        <v>0</v>
      </c>
      <c r="BK211" s="6">
        <f t="shared" si="268"/>
        <v>0</v>
      </c>
      <c r="BL211" s="6">
        <v>0</v>
      </c>
      <c r="BM211" s="6">
        <f t="shared" si="269"/>
        <v>0</v>
      </c>
      <c r="BN211" s="6">
        <f t="shared" si="270"/>
        <v>0</v>
      </c>
      <c r="BO211" s="6">
        <v>0</v>
      </c>
      <c r="BP211" s="6">
        <f t="shared" si="271"/>
        <v>0</v>
      </c>
      <c r="BQ211" s="6">
        <f t="shared" si="272"/>
        <v>0</v>
      </c>
      <c r="BR211" s="6">
        <v>0</v>
      </c>
      <c r="BS211" s="6">
        <f t="shared" si="273"/>
        <v>0</v>
      </c>
      <c r="BT211" s="6">
        <f t="shared" si="274"/>
        <v>0</v>
      </c>
      <c r="BU211" s="6">
        <v>0</v>
      </c>
      <c r="BV211" s="6">
        <f t="shared" si="275"/>
        <v>0</v>
      </c>
      <c r="BW211" s="6">
        <f t="shared" si="276"/>
        <v>0</v>
      </c>
      <c r="BX211" s="6">
        <v>0</v>
      </c>
      <c r="BY211" s="6">
        <f t="shared" si="277"/>
        <v>0</v>
      </c>
      <c r="BZ211" s="6">
        <f t="shared" si="278"/>
        <v>0</v>
      </c>
      <c r="CA211" s="6">
        <v>0</v>
      </c>
      <c r="CB211" s="6">
        <f t="shared" si="279"/>
        <v>0</v>
      </c>
      <c r="CC211" s="6">
        <f t="shared" si="280"/>
        <v>0</v>
      </c>
      <c r="CD211" s="6">
        <v>0</v>
      </c>
      <c r="CE211" s="6">
        <f t="shared" si="281"/>
        <v>0</v>
      </c>
      <c r="CF211" s="6">
        <f t="shared" si="282"/>
        <v>0</v>
      </c>
      <c r="CG211" s="6">
        <v>0</v>
      </c>
      <c r="CH211" s="6">
        <f t="shared" si="283"/>
        <v>0</v>
      </c>
      <c r="CI211" s="6">
        <f t="shared" si="284"/>
        <v>0</v>
      </c>
      <c r="CJ211" s="6">
        <v>0</v>
      </c>
      <c r="CK211" s="6">
        <f t="shared" si="285"/>
        <v>0</v>
      </c>
      <c r="CL211" s="6">
        <f t="shared" si="286"/>
        <v>0</v>
      </c>
      <c r="CM211" s="6">
        <v>0</v>
      </c>
      <c r="CN211" s="6">
        <f t="shared" si="287"/>
        <v>0</v>
      </c>
      <c r="CO211" s="6">
        <f t="shared" si="288"/>
        <v>0</v>
      </c>
      <c r="CP211" s="6">
        <v>0</v>
      </c>
      <c r="CQ211" s="6">
        <f t="shared" si="289"/>
        <v>0</v>
      </c>
      <c r="CR211" s="6">
        <f t="shared" si="290"/>
        <v>0</v>
      </c>
      <c r="CS211" s="6">
        <v>0</v>
      </c>
      <c r="CT211" s="6">
        <f t="shared" si="291"/>
        <v>0</v>
      </c>
      <c r="CU211" s="6">
        <f t="shared" si="292"/>
        <v>0</v>
      </c>
      <c r="CV211" s="6">
        <v>0</v>
      </c>
      <c r="CW211" s="6">
        <f t="shared" si="293"/>
        <v>0</v>
      </c>
      <c r="CX211" s="6">
        <f t="shared" si="294"/>
        <v>0</v>
      </c>
      <c r="CY211" s="6">
        <v>0</v>
      </c>
      <c r="CZ211" s="6">
        <f t="shared" si="295"/>
        <v>0</v>
      </c>
      <c r="DA211" s="6">
        <f t="shared" si="296"/>
        <v>0</v>
      </c>
      <c r="DB211" s="6">
        <v>0</v>
      </c>
      <c r="DC211" s="6">
        <f t="shared" si="297"/>
        <v>0</v>
      </c>
      <c r="DD211" s="6">
        <f t="shared" si="298"/>
        <v>0</v>
      </c>
      <c r="DE211" s="6">
        <v>0</v>
      </c>
      <c r="DF211" s="6">
        <f t="shared" si="299"/>
        <v>0</v>
      </c>
      <c r="DG211" s="6">
        <f t="shared" si="300"/>
        <v>0</v>
      </c>
      <c r="DH211" s="6">
        <v>0</v>
      </c>
      <c r="DI211" s="6">
        <f t="shared" si="301"/>
        <v>0</v>
      </c>
      <c r="DJ211" s="6">
        <f t="shared" si="302"/>
        <v>0</v>
      </c>
      <c r="DK211" s="6">
        <v>0</v>
      </c>
      <c r="DL211" s="6">
        <f t="shared" si="303"/>
        <v>0</v>
      </c>
      <c r="DM211" s="6">
        <f t="shared" si="304"/>
        <v>0</v>
      </c>
      <c r="DN211" s="6">
        <v>0</v>
      </c>
      <c r="DO211" s="6">
        <f t="shared" si="305"/>
        <v>0</v>
      </c>
      <c r="DP211" s="6">
        <f t="shared" si="306"/>
        <v>0</v>
      </c>
    </row>
    <row r="212" spans="1:120" x14ac:dyDescent="0.2">
      <c r="A212" s="21">
        <v>68</v>
      </c>
      <c r="B212" s="21" t="s">
        <v>673</v>
      </c>
      <c r="C212" s="21">
        <v>68689</v>
      </c>
      <c r="D212" s="21" t="s">
        <v>735</v>
      </c>
      <c r="E212" s="21" t="s">
        <v>522</v>
      </c>
      <c r="F212" s="22" t="s">
        <v>666</v>
      </c>
      <c r="G212" s="4" t="s">
        <v>324</v>
      </c>
      <c r="H212" s="6">
        <v>271981.5</v>
      </c>
      <c r="I212" s="6">
        <f>H212/365</f>
        <v>745.15479452054797</v>
      </c>
      <c r="J212" s="6">
        <v>301735</v>
      </c>
      <c r="K212" s="6">
        <v>281611.90999999997</v>
      </c>
      <c r="L212" s="6">
        <f>K212/366</f>
        <v>769.43144808743159</v>
      </c>
      <c r="M212" s="6">
        <v>273848</v>
      </c>
      <c r="N212" s="6">
        <v>234227.67</v>
      </c>
      <c r="O212" s="6">
        <f t="shared" si="309"/>
        <v>641.71964383561647</v>
      </c>
      <c r="P212" s="6">
        <v>245361</v>
      </c>
      <c r="Q212" s="6"/>
      <c r="R212" s="6"/>
      <c r="S212" s="6">
        <v>220090</v>
      </c>
      <c r="T212" s="6">
        <f t="shared" si="239"/>
        <v>220090</v>
      </c>
      <c r="U212" s="6">
        <f t="shared" si="240"/>
        <v>602.98630136986299</v>
      </c>
      <c r="V212" s="6">
        <v>198142</v>
      </c>
      <c r="W212" s="6">
        <f t="shared" si="241"/>
        <v>198142</v>
      </c>
      <c r="X212" s="6">
        <f t="shared" si="242"/>
        <v>542.8547945205479</v>
      </c>
      <c r="Y212" s="6">
        <v>177426</v>
      </c>
      <c r="Z212" s="6">
        <f t="shared" si="243"/>
        <v>177426</v>
      </c>
      <c r="AA212" s="6">
        <f t="shared" si="244"/>
        <v>486.09863013698629</v>
      </c>
      <c r="AB212" s="6">
        <v>157951</v>
      </c>
      <c r="AC212" s="6">
        <f t="shared" si="245"/>
        <v>157951</v>
      </c>
      <c r="AD212" s="6">
        <f t="shared" si="246"/>
        <v>432.74246575342465</v>
      </c>
      <c r="AE212" s="6">
        <v>142014</v>
      </c>
      <c r="AF212" s="6">
        <f t="shared" si="247"/>
        <v>142014</v>
      </c>
      <c r="AG212" s="6">
        <f t="shared" si="248"/>
        <v>389.0794520547945</v>
      </c>
      <c r="AH212" s="6">
        <v>0</v>
      </c>
      <c r="AI212" s="6">
        <f t="shared" si="249"/>
        <v>0</v>
      </c>
      <c r="AJ212" s="6">
        <f t="shared" si="250"/>
        <v>0</v>
      </c>
      <c r="AK212" s="6">
        <v>0</v>
      </c>
      <c r="AL212" s="6">
        <f t="shared" si="251"/>
        <v>0</v>
      </c>
      <c r="AM212" s="6">
        <f t="shared" si="252"/>
        <v>0</v>
      </c>
      <c r="AN212" s="6">
        <v>0</v>
      </c>
      <c r="AO212" s="6">
        <f t="shared" si="253"/>
        <v>0</v>
      </c>
      <c r="AP212" s="6">
        <f t="shared" si="254"/>
        <v>0</v>
      </c>
      <c r="AQ212" s="6">
        <v>0</v>
      </c>
      <c r="AR212" s="6">
        <f t="shared" si="255"/>
        <v>0</v>
      </c>
      <c r="AS212" s="6">
        <f t="shared" si="256"/>
        <v>0</v>
      </c>
      <c r="AT212" s="6">
        <v>0</v>
      </c>
      <c r="AU212" s="6">
        <f t="shared" si="257"/>
        <v>0</v>
      </c>
      <c r="AV212" s="6">
        <f t="shared" si="258"/>
        <v>0</v>
      </c>
      <c r="AW212" s="6">
        <v>0</v>
      </c>
      <c r="AX212" s="6">
        <f t="shared" si="259"/>
        <v>0</v>
      </c>
      <c r="AY212" s="6">
        <f t="shared" si="260"/>
        <v>0</v>
      </c>
      <c r="AZ212" s="6">
        <v>0</v>
      </c>
      <c r="BA212" s="6">
        <f t="shared" si="261"/>
        <v>0</v>
      </c>
      <c r="BB212" s="6">
        <f t="shared" si="262"/>
        <v>0</v>
      </c>
      <c r="BC212" s="6">
        <v>0</v>
      </c>
      <c r="BD212" s="6">
        <f t="shared" si="263"/>
        <v>0</v>
      </c>
      <c r="BE212" s="6">
        <f t="shared" si="264"/>
        <v>0</v>
      </c>
      <c r="BF212" s="6">
        <v>0</v>
      </c>
      <c r="BG212" s="6">
        <f t="shared" si="265"/>
        <v>0</v>
      </c>
      <c r="BH212" s="6">
        <f t="shared" si="266"/>
        <v>0</v>
      </c>
      <c r="BI212" s="6">
        <v>0</v>
      </c>
      <c r="BJ212" s="6">
        <f t="shared" si="267"/>
        <v>0</v>
      </c>
      <c r="BK212" s="6">
        <f t="shared" si="268"/>
        <v>0</v>
      </c>
      <c r="BL212" s="6">
        <v>0</v>
      </c>
      <c r="BM212" s="6">
        <f t="shared" si="269"/>
        <v>0</v>
      </c>
      <c r="BN212" s="6">
        <f t="shared" si="270"/>
        <v>0</v>
      </c>
      <c r="BO212" s="6">
        <v>0</v>
      </c>
      <c r="BP212" s="6">
        <f t="shared" si="271"/>
        <v>0</v>
      </c>
      <c r="BQ212" s="6">
        <f t="shared" si="272"/>
        <v>0</v>
      </c>
      <c r="BR212" s="6">
        <v>0</v>
      </c>
      <c r="BS212" s="6">
        <f t="shared" si="273"/>
        <v>0</v>
      </c>
      <c r="BT212" s="6">
        <f t="shared" si="274"/>
        <v>0</v>
      </c>
      <c r="BU212" s="6">
        <v>0</v>
      </c>
      <c r="BV212" s="6">
        <f t="shared" si="275"/>
        <v>0</v>
      </c>
      <c r="BW212" s="6">
        <f t="shared" si="276"/>
        <v>0</v>
      </c>
      <c r="BX212" s="6">
        <v>0</v>
      </c>
      <c r="BY212" s="6">
        <f t="shared" si="277"/>
        <v>0</v>
      </c>
      <c r="BZ212" s="6">
        <f t="shared" si="278"/>
        <v>0</v>
      </c>
      <c r="CA212" s="6">
        <v>0</v>
      </c>
      <c r="CB212" s="6">
        <f t="shared" si="279"/>
        <v>0</v>
      </c>
      <c r="CC212" s="6">
        <f t="shared" si="280"/>
        <v>0</v>
      </c>
      <c r="CD212" s="6">
        <v>0</v>
      </c>
      <c r="CE212" s="6">
        <f t="shared" si="281"/>
        <v>0</v>
      </c>
      <c r="CF212" s="6">
        <f t="shared" si="282"/>
        <v>0</v>
      </c>
      <c r="CG212" s="6">
        <v>0</v>
      </c>
      <c r="CH212" s="6">
        <f t="shared" si="283"/>
        <v>0</v>
      </c>
      <c r="CI212" s="6">
        <f t="shared" si="284"/>
        <v>0</v>
      </c>
      <c r="CJ212" s="6">
        <v>0</v>
      </c>
      <c r="CK212" s="6">
        <f t="shared" si="285"/>
        <v>0</v>
      </c>
      <c r="CL212" s="6">
        <f t="shared" si="286"/>
        <v>0</v>
      </c>
      <c r="CM212" s="6">
        <v>0</v>
      </c>
      <c r="CN212" s="6">
        <f t="shared" si="287"/>
        <v>0</v>
      </c>
      <c r="CO212" s="6">
        <f t="shared" si="288"/>
        <v>0</v>
      </c>
      <c r="CP212" s="6">
        <v>0</v>
      </c>
      <c r="CQ212" s="6">
        <f t="shared" si="289"/>
        <v>0</v>
      </c>
      <c r="CR212" s="6">
        <f t="shared" si="290"/>
        <v>0</v>
      </c>
      <c r="CS212" s="6">
        <v>0</v>
      </c>
      <c r="CT212" s="6">
        <f t="shared" si="291"/>
        <v>0</v>
      </c>
      <c r="CU212" s="6">
        <f t="shared" si="292"/>
        <v>0</v>
      </c>
      <c r="CV212" s="6">
        <v>0</v>
      </c>
      <c r="CW212" s="6">
        <f t="shared" si="293"/>
        <v>0</v>
      </c>
      <c r="CX212" s="6">
        <f t="shared" si="294"/>
        <v>0</v>
      </c>
      <c r="CY212" s="6">
        <v>0</v>
      </c>
      <c r="CZ212" s="6">
        <f t="shared" si="295"/>
        <v>0</v>
      </c>
      <c r="DA212" s="6">
        <f t="shared" si="296"/>
        <v>0</v>
      </c>
      <c r="DB212" s="6">
        <v>0</v>
      </c>
      <c r="DC212" s="6">
        <f t="shared" si="297"/>
        <v>0</v>
      </c>
      <c r="DD212" s="6">
        <f t="shared" si="298"/>
        <v>0</v>
      </c>
      <c r="DE212" s="6">
        <v>0</v>
      </c>
      <c r="DF212" s="6">
        <f t="shared" si="299"/>
        <v>0</v>
      </c>
      <c r="DG212" s="6">
        <f t="shared" si="300"/>
        <v>0</v>
      </c>
      <c r="DH212" s="6">
        <v>0</v>
      </c>
      <c r="DI212" s="6">
        <f t="shared" si="301"/>
        <v>0</v>
      </c>
      <c r="DJ212" s="6">
        <f t="shared" si="302"/>
        <v>0</v>
      </c>
      <c r="DK212" s="6">
        <v>0</v>
      </c>
      <c r="DL212" s="6">
        <f t="shared" si="303"/>
        <v>0</v>
      </c>
      <c r="DM212" s="6">
        <f t="shared" si="304"/>
        <v>0</v>
      </c>
      <c r="DN212" s="6">
        <v>0</v>
      </c>
      <c r="DO212" s="6">
        <f t="shared" si="305"/>
        <v>0</v>
      </c>
      <c r="DP212" s="6">
        <f t="shared" si="306"/>
        <v>0</v>
      </c>
    </row>
    <row r="213" spans="1:120" x14ac:dyDescent="0.2">
      <c r="A213" s="21">
        <v>50</v>
      </c>
      <c r="B213" s="21" t="s">
        <v>675</v>
      </c>
      <c r="C213" s="21">
        <v>50568</v>
      </c>
      <c r="D213" s="21" t="s">
        <v>700</v>
      </c>
      <c r="E213" s="21" t="s">
        <v>575</v>
      </c>
      <c r="F213" s="22" t="s">
        <v>669</v>
      </c>
      <c r="G213" s="4" t="s">
        <v>325</v>
      </c>
      <c r="H213" s="6">
        <v>2632822.5499999998</v>
      </c>
      <c r="I213" s="6">
        <f>H213/365</f>
        <v>7213.2124657534241</v>
      </c>
      <c r="J213" s="6">
        <v>2200972</v>
      </c>
      <c r="K213" s="6">
        <v>2446184.5</v>
      </c>
      <c r="L213" s="6">
        <f>K213/366</f>
        <v>6683.5642076502736</v>
      </c>
      <c r="M213" s="6">
        <v>1701537</v>
      </c>
      <c r="N213" s="6">
        <v>2203914.1800000002</v>
      </c>
      <c r="O213" s="6">
        <f t="shared" si="309"/>
        <v>6038.1210410958911</v>
      </c>
      <c r="P213" s="6">
        <v>2047831</v>
      </c>
      <c r="Q213" s="6">
        <v>993406.16</v>
      </c>
      <c r="R213" s="6">
        <f>Q213/181</f>
        <v>5488.4318232044197</v>
      </c>
      <c r="S213" s="6">
        <v>1562590</v>
      </c>
      <c r="T213" s="6">
        <f t="shared" si="239"/>
        <v>1562590</v>
      </c>
      <c r="U213" s="6">
        <f t="shared" si="240"/>
        <v>4281.0684931506848</v>
      </c>
      <c r="V213" s="6">
        <v>1160952</v>
      </c>
      <c r="W213" s="6">
        <f t="shared" si="241"/>
        <v>1160952</v>
      </c>
      <c r="X213" s="6">
        <f t="shared" si="242"/>
        <v>3180.6904109589041</v>
      </c>
      <c r="Y213" s="6">
        <v>864467</v>
      </c>
      <c r="Z213" s="6">
        <f t="shared" si="243"/>
        <v>864467</v>
      </c>
      <c r="AA213" s="6">
        <f t="shared" si="244"/>
        <v>2368.4027397260274</v>
      </c>
      <c r="AB213" s="6">
        <v>655484</v>
      </c>
      <c r="AC213" s="6">
        <f t="shared" si="245"/>
        <v>655484</v>
      </c>
      <c r="AD213" s="6">
        <f t="shared" si="246"/>
        <v>1795.8465753424657</v>
      </c>
      <c r="AE213" s="6">
        <v>0</v>
      </c>
      <c r="AF213" s="6">
        <f t="shared" si="247"/>
        <v>0</v>
      </c>
      <c r="AG213" s="6">
        <f t="shared" si="248"/>
        <v>0</v>
      </c>
      <c r="AH213" s="6">
        <v>0</v>
      </c>
      <c r="AI213" s="6">
        <f t="shared" si="249"/>
        <v>0</v>
      </c>
      <c r="AJ213" s="6">
        <f t="shared" si="250"/>
        <v>0</v>
      </c>
      <c r="AK213" s="6">
        <v>0</v>
      </c>
      <c r="AL213" s="6">
        <f t="shared" si="251"/>
        <v>0</v>
      </c>
      <c r="AM213" s="6">
        <f t="shared" si="252"/>
        <v>0</v>
      </c>
      <c r="AN213" s="6">
        <v>0</v>
      </c>
      <c r="AO213" s="6">
        <f t="shared" si="253"/>
        <v>0</v>
      </c>
      <c r="AP213" s="6">
        <f t="shared" si="254"/>
        <v>0</v>
      </c>
      <c r="AQ213" s="6">
        <v>0</v>
      </c>
      <c r="AR213" s="6">
        <f t="shared" si="255"/>
        <v>0</v>
      </c>
      <c r="AS213" s="6">
        <f t="shared" si="256"/>
        <v>0</v>
      </c>
      <c r="AT213" s="6">
        <v>0</v>
      </c>
      <c r="AU213" s="6">
        <f t="shared" si="257"/>
        <v>0</v>
      </c>
      <c r="AV213" s="6">
        <f t="shared" si="258"/>
        <v>0</v>
      </c>
      <c r="AW213" s="6">
        <v>0</v>
      </c>
      <c r="AX213" s="6">
        <f t="shared" si="259"/>
        <v>0</v>
      </c>
      <c r="AY213" s="6">
        <f t="shared" si="260"/>
        <v>0</v>
      </c>
      <c r="AZ213" s="6">
        <v>0</v>
      </c>
      <c r="BA213" s="6">
        <f t="shared" si="261"/>
        <v>0</v>
      </c>
      <c r="BB213" s="6">
        <f t="shared" si="262"/>
        <v>0</v>
      </c>
      <c r="BC213" s="6">
        <v>0</v>
      </c>
      <c r="BD213" s="6">
        <f t="shared" si="263"/>
        <v>0</v>
      </c>
      <c r="BE213" s="6">
        <f t="shared" si="264"/>
        <v>0</v>
      </c>
      <c r="BF213" s="6">
        <v>0</v>
      </c>
      <c r="BG213" s="6">
        <f t="shared" si="265"/>
        <v>0</v>
      </c>
      <c r="BH213" s="6">
        <f t="shared" si="266"/>
        <v>0</v>
      </c>
      <c r="BI213" s="6">
        <v>0</v>
      </c>
      <c r="BJ213" s="6">
        <f t="shared" si="267"/>
        <v>0</v>
      </c>
      <c r="BK213" s="6">
        <f t="shared" si="268"/>
        <v>0</v>
      </c>
      <c r="BL213" s="6">
        <v>0</v>
      </c>
      <c r="BM213" s="6">
        <f t="shared" si="269"/>
        <v>0</v>
      </c>
      <c r="BN213" s="6">
        <f t="shared" si="270"/>
        <v>0</v>
      </c>
      <c r="BO213" s="6">
        <v>0</v>
      </c>
      <c r="BP213" s="6">
        <f t="shared" si="271"/>
        <v>0</v>
      </c>
      <c r="BQ213" s="6">
        <f t="shared" si="272"/>
        <v>0</v>
      </c>
      <c r="BR213" s="6">
        <v>0</v>
      </c>
      <c r="BS213" s="6">
        <f t="shared" si="273"/>
        <v>0</v>
      </c>
      <c r="BT213" s="6">
        <f t="shared" si="274"/>
        <v>0</v>
      </c>
      <c r="BU213" s="6">
        <v>0</v>
      </c>
      <c r="BV213" s="6">
        <f t="shared" si="275"/>
        <v>0</v>
      </c>
      <c r="BW213" s="6">
        <f t="shared" si="276"/>
        <v>0</v>
      </c>
      <c r="BX213" s="6">
        <v>0</v>
      </c>
      <c r="BY213" s="6">
        <f t="shared" si="277"/>
        <v>0</v>
      </c>
      <c r="BZ213" s="6">
        <f t="shared" si="278"/>
        <v>0</v>
      </c>
      <c r="CA213" s="6">
        <v>0</v>
      </c>
      <c r="CB213" s="6">
        <f t="shared" si="279"/>
        <v>0</v>
      </c>
      <c r="CC213" s="6">
        <f t="shared" si="280"/>
        <v>0</v>
      </c>
      <c r="CD213" s="6">
        <v>0</v>
      </c>
      <c r="CE213" s="6">
        <f t="shared" si="281"/>
        <v>0</v>
      </c>
      <c r="CF213" s="6">
        <f t="shared" si="282"/>
        <v>0</v>
      </c>
      <c r="CG213" s="6">
        <v>0</v>
      </c>
      <c r="CH213" s="6">
        <f t="shared" si="283"/>
        <v>0</v>
      </c>
      <c r="CI213" s="6">
        <f t="shared" si="284"/>
        <v>0</v>
      </c>
      <c r="CJ213" s="6">
        <v>0</v>
      </c>
      <c r="CK213" s="6">
        <f t="shared" si="285"/>
        <v>0</v>
      </c>
      <c r="CL213" s="6">
        <f t="shared" si="286"/>
        <v>0</v>
      </c>
      <c r="CM213" s="6">
        <v>0</v>
      </c>
      <c r="CN213" s="6">
        <f t="shared" si="287"/>
        <v>0</v>
      </c>
      <c r="CO213" s="6">
        <f t="shared" si="288"/>
        <v>0</v>
      </c>
      <c r="CP213" s="6">
        <v>0</v>
      </c>
      <c r="CQ213" s="6">
        <f t="shared" si="289"/>
        <v>0</v>
      </c>
      <c r="CR213" s="6">
        <f t="shared" si="290"/>
        <v>0</v>
      </c>
      <c r="CS213" s="6">
        <v>0</v>
      </c>
      <c r="CT213" s="6">
        <f t="shared" si="291"/>
        <v>0</v>
      </c>
      <c r="CU213" s="6">
        <f t="shared" si="292"/>
        <v>0</v>
      </c>
      <c r="CV213" s="6">
        <v>0</v>
      </c>
      <c r="CW213" s="6">
        <f t="shared" si="293"/>
        <v>0</v>
      </c>
      <c r="CX213" s="6">
        <f t="shared" si="294"/>
        <v>0</v>
      </c>
      <c r="CY213" s="6">
        <v>0</v>
      </c>
      <c r="CZ213" s="6">
        <f t="shared" si="295"/>
        <v>0</v>
      </c>
      <c r="DA213" s="6">
        <f t="shared" si="296"/>
        <v>0</v>
      </c>
      <c r="DB213" s="6">
        <v>0</v>
      </c>
      <c r="DC213" s="6">
        <f t="shared" si="297"/>
        <v>0</v>
      </c>
      <c r="DD213" s="6">
        <f t="shared" si="298"/>
        <v>0</v>
      </c>
      <c r="DE213" s="6">
        <v>0</v>
      </c>
      <c r="DF213" s="6">
        <f t="shared" si="299"/>
        <v>0</v>
      </c>
      <c r="DG213" s="6">
        <f t="shared" si="300"/>
        <v>0</v>
      </c>
      <c r="DH213" s="6">
        <v>0</v>
      </c>
      <c r="DI213" s="6">
        <f t="shared" si="301"/>
        <v>0</v>
      </c>
      <c r="DJ213" s="6">
        <f t="shared" si="302"/>
        <v>0</v>
      </c>
      <c r="DK213" s="6">
        <v>0</v>
      </c>
      <c r="DL213" s="6">
        <f t="shared" si="303"/>
        <v>0</v>
      </c>
      <c r="DM213" s="6">
        <f t="shared" si="304"/>
        <v>0</v>
      </c>
      <c r="DN213" s="6">
        <v>0</v>
      </c>
      <c r="DO213" s="6">
        <f t="shared" si="305"/>
        <v>0</v>
      </c>
      <c r="DP213" s="6">
        <f t="shared" si="306"/>
        <v>0</v>
      </c>
    </row>
    <row r="214" spans="1:120" x14ac:dyDescent="0.2">
      <c r="A214" s="21">
        <v>85</v>
      </c>
      <c r="B214" s="21" t="s">
        <v>612</v>
      </c>
      <c r="C214" s="21">
        <v>85125</v>
      </c>
      <c r="D214" s="21" t="s">
        <v>740</v>
      </c>
      <c r="E214" s="21" t="s">
        <v>573</v>
      </c>
      <c r="F214" s="22" t="s">
        <v>693</v>
      </c>
      <c r="G214" s="4" t="s">
        <v>326</v>
      </c>
      <c r="H214" s="6">
        <v>18083.599999999999</v>
      </c>
      <c r="I214" s="6">
        <f>H214/365</f>
        <v>49.544109589041092</v>
      </c>
      <c r="J214" s="6">
        <v>13729.2228</v>
      </c>
      <c r="K214" s="6">
        <v>13343.96</v>
      </c>
      <c r="L214" s="6">
        <f>K214/366</f>
        <v>36.458907103825133</v>
      </c>
      <c r="M214" s="6">
        <v>108709.5782</v>
      </c>
      <c r="N214" s="6">
        <v>881.01</v>
      </c>
      <c r="O214" s="6">
        <f t="shared" si="309"/>
        <v>2.4137260273972601</v>
      </c>
      <c r="P214" s="6">
        <v>64202.236400000002</v>
      </c>
      <c r="Q214" s="6"/>
      <c r="R214" s="6"/>
      <c r="S214" s="6">
        <v>44599.3433</v>
      </c>
      <c r="T214" s="6">
        <f t="shared" si="239"/>
        <v>44599.3433</v>
      </c>
      <c r="U214" s="6">
        <f t="shared" si="240"/>
        <v>122.18998164383562</v>
      </c>
      <c r="V214" s="6">
        <v>32624.749199999998</v>
      </c>
      <c r="W214" s="6">
        <f t="shared" si="241"/>
        <v>32624.749199999998</v>
      </c>
      <c r="X214" s="6">
        <f t="shared" si="242"/>
        <v>89.382874520547944</v>
      </c>
      <c r="Y214" s="6">
        <v>24808.592799999999</v>
      </c>
      <c r="Z214" s="6">
        <f t="shared" si="243"/>
        <v>24808.592799999999</v>
      </c>
      <c r="AA214" s="6">
        <f t="shared" si="244"/>
        <v>67.968747397260273</v>
      </c>
      <c r="AB214" s="6">
        <v>19442.9931</v>
      </c>
      <c r="AC214" s="6">
        <f t="shared" si="245"/>
        <v>19442.9931</v>
      </c>
      <c r="AD214" s="6">
        <f t="shared" si="246"/>
        <v>53.268474246575344</v>
      </c>
      <c r="AE214" s="6">
        <v>15610.6059</v>
      </c>
      <c r="AF214" s="6">
        <f t="shared" si="247"/>
        <v>15610.6059</v>
      </c>
      <c r="AG214" s="6">
        <f t="shared" si="248"/>
        <v>42.768783287671233</v>
      </c>
      <c r="AH214" s="6">
        <v>12784.1801</v>
      </c>
      <c r="AI214" s="6">
        <f t="shared" si="249"/>
        <v>12784.1801</v>
      </c>
      <c r="AJ214" s="6">
        <f t="shared" si="250"/>
        <v>35.025150958904106</v>
      </c>
      <c r="AK214" s="6">
        <v>6434.3793999999998</v>
      </c>
      <c r="AL214" s="6">
        <f t="shared" si="251"/>
        <v>6434.3793999999998</v>
      </c>
      <c r="AM214" s="6">
        <f t="shared" si="252"/>
        <v>17.628436712328767</v>
      </c>
      <c r="AN214" s="6">
        <v>0</v>
      </c>
      <c r="AO214" s="6">
        <f t="shared" si="253"/>
        <v>0</v>
      </c>
      <c r="AP214" s="6">
        <f t="shared" si="254"/>
        <v>0</v>
      </c>
      <c r="AQ214" s="6">
        <v>0</v>
      </c>
      <c r="AR214" s="6">
        <f t="shared" si="255"/>
        <v>0</v>
      </c>
      <c r="AS214" s="6">
        <f t="shared" si="256"/>
        <v>0</v>
      </c>
      <c r="AT214" s="6">
        <v>0</v>
      </c>
      <c r="AU214" s="6">
        <f t="shared" si="257"/>
        <v>0</v>
      </c>
      <c r="AV214" s="6">
        <f t="shared" si="258"/>
        <v>0</v>
      </c>
      <c r="AW214" s="6">
        <v>0</v>
      </c>
      <c r="AX214" s="6">
        <f t="shared" si="259"/>
        <v>0</v>
      </c>
      <c r="AY214" s="6">
        <f t="shared" si="260"/>
        <v>0</v>
      </c>
      <c r="AZ214" s="6">
        <v>0</v>
      </c>
      <c r="BA214" s="6">
        <f t="shared" si="261"/>
        <v>0</v>
      </c>
      <c r="BB214" s="6">
        <f t="shared" si="262"/>
        <v>0</v>
      </c>
      <c r="BC214" s="6">
        <v>0</v>
      </c>
      <c r="BD214" s="6">
        <f t="shared" si="263"/>
        <v>0</v>
      </c>
      <c r="BE214" s="6">
        <f t="shared" si="264"/>
        <v>0</v>
      </c>
      <c r="BF214" s="6">
        <v>0</v>
      </c>
      <c r="BG214" s="6">
        <f t="shared" si="265"/>
        <v>0</v>
      </c>
      <c r="BH214" s="6">
        <f t="shared" si="266"/>
        <v>0</v>
      </c>
      <c r="BI214" s="6">
        <v>0</v>
      </c>
      <c r="BJ214" s="6">
        <f t="shared" si="267"/>
        <v>0</v>
      </c>
      <c r="BK214" s="6">
        <f t="shared" si="268"/>
        <v>0</v>
      </c>
      <c r="BL214" s="6">
        <v>0</v>
      </c>
      <c r="BM214" s="6">
        <f t="shared" si="269"/>
        <v>0</v>
      </c>
      <c r="BN214" s="6">
        <f t="shared" si="270"/>
        <v>0</v>
      </c>
      <c r="BO214" s="6">
        <v>0</v>
      </c>
      <c r="BP214" s="6">
        <f t="shared" si="271"/>
        <v>0</v>
      </c>
      <c r="BQ214" s="6">
        <f t="shared" si="272"/>
        <v>0</v>
      </c>
      <c r="BR214" s="6">
        <v>0</v>
      </c>
      <c r="BS214" s="6">
        <f t="shared" si="273"/>
        <v>0</v>
      </c>
      <c r="BT214" s="6">
        <f t="shared" si="274"/>
        <v>0</v>
      </c>
      <c r="BU214" s="6">
        <v>0</v>
      </c>
      <c r="BV214" s="6">
        <f t="shared" si="275"/>
        <v>0</v>
      </c>
      <c r="BW214" s="6">
        <f t="shared" si="276"/>
        <v>0</v>
      </c>
      <c r="BX214" s="6">
        <v>0</v>
      </c>
      <c r="BY214" s="6">
        <f t="shared" si="277"/>
        <v>0</v>
      </c>
      <c r="BZ214" s="6">
        <f t="shared" si="278"/>
        <v>0</v>
      </c>
      <c r="CA214" s="6">
        <v>0</v>
      </c>
      <c r="CB214" s="6">
        <f t="shared" si="279"/>
        <v>0</v>
      </c>
      <c r="CC214" s="6">
        <f t="shared" si="280"/>
        <v>0</v>
      </c>
      <c r="CD214" s="6">
        <v>0</v>
      </c>
      <c r="CE214" s="6">
        <f t="shared" si="281"/>
        <v>0</v>
      </c>
      <c r="CF214" s="6">
        <f t="shared" si="282"/>
        <v>0</v>
      </c>
      <c r="CG214" s="6">
        <v>0</v>
      </c>
      <c r="CH214" s="6">
        <f t="shared" si="283"/>
        <v>0</v>
      </c>
      <c r="CI214" s="6">
        <f t="shared" si="284"/>
        <v>0</v>
      </c>
      <c r="CJ214" s="6">
        <v>0</v>
      </c>
      <c r="CK214" s="6">
        <f t="shared" si="285"/>
        <v>0</v>
      </c>
      <c r="CL214" s="6">
        <f t="shared" si="286"/>
        <v>0</v>
      </c>
      <c r="CM214" s="6">
        <v>0</v>
      </c>
      <c r="CN214" s="6">
        <f t="shared" si="287"/>
        <v>0</v>
      </c>
      <c r="CO214" s="6">
        <f t="shared" si="288"/>
        <v>0</v>
      </c>
      <c r="CP214" s="6">
        <v>0</v>
      </c>
      <c r="CQ214" s="6">
        <f t="shared" si="289"/>
        <v>0</v>
      </c>
      <c r="CR214" s="6">
        <f t="shared" si="290"/>
        <v>0</v>
      </c>
      <c r="CS214" s="6">
        <v>0</v>
      </c>
      <c r="CT214" s="6">
        <f t="shared" si="291"/>
        <v>0</v>
      </c>
      <c r="CU214" s="6">
        <f t="shared" si="292"/>
        <v>0</v>
      </c>
      <c r="CV214" s="6">
        <v>0</v>
      </c>
      <c r="CW214" s="6">
        <f t="shared" si="293"/>
        <v>0</v>
      </c>
      <c r="CX214" s="6">
        <f t="shared" si="294"/>
        <v>0</v>
      </c>
      <c r="CY214" s="6">
        <v>0</v>
      </c>
      <c r="CZ214" s="6">
        <f t="shared" si="295"/>
        <v>0</v>
      </c>
      <c r="DA214" s="6">
        <f t="shared" si="296"/>
        <v>0</v>
      </c>
      <c r="DB214" s="6">
        <v>0</v>
      </c>
      <c r="DC214" s="6">
        <f t="shared" si="297"/>
        <v>0</v>
      </c>
      <c r="DD214" s="6">
        <f t="shared" si="298"/>
        <v>0</v>
      </c>
      <c r="DE214" s="6">
        <v>0</v>
      </c>
      <c r="DF214" s="6">
        <f t="shared" si="299"/>
        <v>0</v>
      </c>
      <c r="DG214" s="6">
        <f t="shared" si="300"/>
        <v>0</v>
      </c>
      <c r="DH214" s="6">
        <v>0</v>
      </c>
      <c r="DI214" s="6">
        <f t="shared" si="301"/>
        <v>0</v>
      </c>
      <c r="DJ214" s="6">
        <f t="shared" si="302"/>
        <v>0</v>
      </c>
      <c r="DK214" s="6">
        <v>0</v>
      </c>
      <c r="DL214" s="6">
        <f t="shared" si="303"/>
        <v>0</v>
      </c>
      <c r="DM214" s="6">
        <f t="shared" si="304"/>
        <v>0</v>
      </c>
      <c r="DN214" s="6">
        <v>0</v>
      </c>
      <c r="DO214" s="6">
        <f t="shared" si="305"/>
        <v>0</v>
      </c>
      <c r="DP214" s="6">
        <f t="shared" si="306"/>
        <v>0</v>
      </c>
    </row>
    <row r="215" spans="1:120" x14ac:dyDescent="0.2">
      <c r="A215" s="23"/>
      <c r="B215" s="23"/>
      <c r="C215" s="23"/>
      <c r="D215" s="23"/>
      <c r="E215" s="23"/>
      <c r="G215" s="4" t="s">
        <v>327</v>
      </c>
      <c r="H215" s="6"/>
      <c r="I215" s="6"/>
      <c r="J215" s="6">
        <v>0</v>
      </c>
      <c r="K215" s="6"/>
      <c r="L215" s="6"/>
      <c r="M215" s="6">
        <v>14341</v>
      </c>
      <c r="N215" s="6"/>
      <c r="O215" s="6"/>
      <c r="P215" s="6">
        <v>0</v>
      </c>
      <c r="Q215" s="6"/>
      <c r="R215" s="6"/>
      <c r="S215" s="6">
        <v>0</v>
      </c>
      <c r="T215" s="6">
        <f t="shared" si="239"/>
        <v>0</v>
      </c>
      <c r="U215" s="6">
        <f t="shared" si="240"/>
        <v>0</v>
      </c>
      <c r="V215" s="6">
        <v>0</v>
      </c>
      <c r="W215" s="6">
        <f t="shared" si="241"/>
        <v>0</v>
      </c>
      <c r="X215" s="6">
        <f t="shared" si="242"/>
        <v>0</v>
      </c>
      <c r="Y215" s="6">
        <v>0</v>
      </c>
      <c r="Z215" s="6">
        <f t="shared" si="243"/>
        <v>0</v>
      </c>
      <c r="AA215" s="6">
        <f t="shared" si="244"/>
        <v>0</v>
      </c>
      <c r="AB215" s="6">
        <v>0</v>
      </c>
      <c r="AC215" s="6">
        <f t="shared" si="245"/>
        <v>0</v>
      </c>
      <c r="AD215" s="6">
        <f t="shared" si="246"/>
        <v>0</v>
      </c>
      <c r="AE215" s="6">
        <v>0</v>
      </c>
      <c r="AF215" s="6">
        <f t="shared" si="247"/>
        <v>0</v>
      </c>
      <c r="AG215" s="6">
        <f t="shared" si="248"/>
        <v>0</v>
      </c>
      <c r="AH215" s="6">
        <v>0</v>
      </c>
      <c r="AI215" s="6">
        <f t="shared" si="249"/>
        <v>0</v>
      </c>
      <c r="AJ215" s="6">
        <f t="shared" si="250"/>
        <v>0</v>
      </c>
      <c r="AK215" s="6">
        <v>0</v>
      </c>
      <c r="AL215" s="6">
        <f t="shared" si="251"/>
        <v>0</v>
      </c>
      <c r="AM215" s="6">
        <f t="shared" si="252"/>
        <v>0</v>
      </c>
      <c r="AN215" s="6">
        <v>0</v>
      </c>
      <c r="AO215" s="6">
        <f t="shared" si="253"/>
        <v>0</v>
      </c>
      <c r="AP215" s="6">
        <f t="shared" si="254"/>
        <v>0</v>
      </c>
      <c r="AQ215" s="6">
        <v>0</v>
      </c>
      <c r="AR215" s="6">
        <f t="shared" si="255"/>
        <v>0</v>
      </c>
      <c r="AS215" s="6">
        <f t="shared" si="256"/>
        <v>0</v>
      </c>
      <c r="AT215" s="6">
        <v>0</v>
      </c>
      <c r="AU215" s="6">
        <f t="shared" si="257"/>
        <v>0</v>
      </c>
      <c r="AV215" s="6">
        <f t="shared" si="258"/>
        <v>0</v>
      </c>
      <c r="AW215" s="6">
        <v>0</v>
      </c>
      <c r="AX215" s="6">
        <f t="shared" si="259"/>
        <v>0</v>
      </c>
      <c r="AY215" s="6">
        <f t="shared" si="260"/>
        <v>0</v>
      </c>
      <c r="AZ215" s="6">
        <v>0</v>
      </c>
      <c r="BA215" s="6">
        <f t="shared" si="261"/>
        <v>0</v>
      </c>
      <c r="BB215" s="6">
        <f t="shared" si="262"/>
        <v>0</v>
      </c>
      <c r="BC215" s="6">
        <v>0</v>
      </c>
      <c r="BD215" s="6">
        <f t="shared" si="263"/>
        <v>0</v>
      </c>
      <c r="BE215" s="6">
        <f t="shared" si="264"/>
        <v>0</v>
      </c>
      <c r="BF215" s="6">
        <v>0</v>
      </c>
      <c r="BG215" s="6">
        <f t="shared" si="265"/>
        <v>0</v>
      </c>
      <c r="BH215" s="6">
        <f t="shared" si="266"/>
        <v>0</v>
      </c>
      <c r="BI215" s="6">
        <v>0</v>
      </c>
      <c r="BJ215" s="6">
        <f t="shared" si="267"/>
        <v>0</v>
      </c>
      <c r="BK215" s="6">
        <f t="shared" si="268"/>
        <v>0</v>
      </c>
      <c r="BL215" s="6">
        <v>0</v>
      </c>
      <c r="BM215" s="6">
        <f t="shared" si="269"/>
        <v>0</v>
      </c>
      <c r="BN215" s="6">
        <f t="shared" si="270"/>
        <v>0</v>
      </c>
      <c r="BO215" s="6">
        <v>0</v>
      </c>
      <c r="BP215" s="6">
        <f t="shared" si="271"/>
        <v>0</v>
      </c>
      <c r="BQ215" s="6">
        <f t="shared" si="272"/>
        <v>0</v>
      </c>
      <c r="BR215" s="6">
        <v>0</v>
      </c>
      <c r="BS215" s="6">
        <f t="shared" si="273"/>
        <v>0</v>
      </c>
      <c r="BT215" s="6">
        <f t="shared" si="274"/>
        <v>0</v>
      </c>
      <c r="BU215" s="6">
        <v>0</v>
      </c>
      <c r="BV215" s="6">
        <f t="shared" si="275"/>
        <v>0</v>
      </c>
      <c r="BW215" s="6">
        <f t="shared" si="276"/>
        <v>0</v>
      </c>
      <c r="BX215" s="6">
        <v>0</v>
      </c>
      <c r="BY215" s="6">
        <f t="shared" si="277"/>
        <v>0</v>
      </c>
      <c r="BZ215" s="6">
        <f t="shared" si="278"/>
        <v>0</v>
      </c>
      <c r="CA215" s="6">
        <v>0</v>
      </c>
      <c r="CB215" s="6">
        <f t="shared" si="279"/>
        <v>0</v>
      </c>
      <c r="CC215" s="6">
        <f t="shared" si="280"/>
        <v>0</v>
      </c>
      <c r="CD215" s="6">
        <v>0</v>
      </c>
      <c r="CE215" s="6">
        <f t="shared" si="281"/>
        <v>0</v>
      </c>
      <c r="CF215" s="6">
        <f t="shared" si="282"/>
        <v>0</v>
      </c>
      <c r="CG215" s="6">
        <v>0</v>
      </c>
      <c r="CH215" s="6">
        <f t="shared" si="283"/>
        <v>0</v>
      </c>
      <c r="CI215" s="6">
        <f t="shared" si="284"/>
        <v>0</v>
      </c>
      <c r="CJ215" s="6">
        <v>0</v>
      </c>
      <c r="CK215" s="6">
        <f t="shared" si="285"/>
        <v>0</v>
      </c>
      <c r="CL215" s="6">
        <f t="shared" si="286"/>
        <v>0</v>
      </c>
      <c r="CM215" s="6">
        <v>0</v>
      </c>
      <c r="CN215" s="6">
        <f t="shared" si="287"/>
        <v>0</v>
      </c>
      <c r="CO215" s="6">
        <f t="shared" si="288"/>
        <v>0</v>
      </c>
      <c r="CP215" s="6">
        <v>0</v>
      </c>
      <c r="CQ215" s="6">
        <f t="shared" si="289"/>
        <v>0</v>
      </c>
      <c r="CR215" s="6">
        <f t="shared" si="290"/>
        <v>0</v>
      </c>
      <c r="CS215" s="6">
        <v>0</v>
      </c>
      <c r="CT215" s="6">
        <f t="shared" si="291"/>
        <v>0</v>
      </c>
      <c r="CU215" s="6">
        <f t="shared" si="292"/>
        <v>0</v>
      </c>
      <c r="CV215" s="6">
        <v>0</v>
      </c>
      <c r="CW215" s="6">
        <f t="shared" si="293"/>
        <v>0</v>
      </c>
      <c r="CX215" s="6">
        <f t="shared" si="294"/>
        <v>0</v>
      </c>
      <c r="CY215" s="6">
        <v>0</v>
      </c>
      <c r="CZ215" s="6">
        <f t="shared" si="295"/>
        <v>0</v>
      </c>
      <c r="DA215" s="6">
        <f t="shared" si="296"/>
        <v>0</v>
      </c>
      <c r="DB215" s="6">
        <v>0</v>
      </c>
      <c r="DC215" s="6">
        <f t="shared" si="297"/>
        <v>0</v>
      </c>
      <c r="DD215" s="6">
        <f t="shared" si="298"/>
        <v>0</v>
      </c>
      <c r="DE215" s="6">
        <v>0</v>
      </c>
      <c r="DF215" s="6">
        <f t="shared" si="299"/>
        <v>0</v>
      </c>
      <c r="DG215" s="6">
        <f t="shared" si="300"/>
        <v>0</v>
      </c>
      <c r="DH215" s="6">
        <v>0</v>
      </c>
      <c r="DI215" s="6">
        <f t="shared" si="301"/>
        <v>0</v>
      </c>
      <c r="DJ215" s="6">
        <f t="shared" si="302"/>
        <v>0</v>
      </c>
      <c r="DK215" s="6">
        <v>0</v>
      </c>
      <c r="DL215" s="6">
        <f t="shared" si="303"/>
        <v>0</v>
      </c>
      <c r="DM215" s="6">
        <f t="shared" si="304"/>
        <v>0</v>
      </c>
      <c r="DN215" s="6">
        <v>0</v>
      </c>
      <c r="DO215" s="6">
        <f t="shared" si="305"/>
        <v>0</v>
      </c>
      <c r="DP215" s="6">
        <f t="shared" si="306"/>
        <v>0</v>
      </c>
    </row>
    <row r="216" spans="1:120" x14ac:dyDescent="0.2">
      <c r="A216" s="21">
        <v>85</v>
      </c>
      <c r="B216" s="21" t="s">
        <v>612</v>
      </c>
      <c r="C216" s="21">
        <v>85250</v>
      </c>
      <c r="D216" s="21" t="s">
        <v>663</v>
      </c>
      <c r="E216" s="21" t="s">
        <v>629</v>
      </c>
      <c r="F216" s="22" t="s">
        <v>669</v>
      </c>
      <c r="G216" s="4" t="s">
        <v>328</v>
      </c>
      <c r="H216" s="6">
        <v>32409.88</v>
      </c>
      <c r="I216" s="6">
        <f t="shared" ref="I216:I247" si="310">H216/365</f>
        <v>88.794191780821919</v>
      </c>
      <c r="J216" s="6">
        <v>50856.800000000003</v>
      </c>
      <c r="K216" s="6">
        <v>34092.980000000003</v>
      </c>
      <c r="L216" s="6">
        <f t="shared" ref="L216:L247" si="311">K216/366</f>
        <v>93.150218579234988</v>
      </c>
      <c r="M216" s="6">
        <v>64004.3</v>
      </c>
      <c r="N216" s="6">
        <v>32637.919999999998</v>
      </c>
      <c r="O216" s="6">
        <f t="shared" ref="O216:O243" si="312">N216/365</f>
        <v>89.418958904109587</v>
      </c>
      <c r="P216" s="6">
        <v>72381.263000000006</v>
      </c>
      <c r="Q216" s="6">
        <v>15418.11</v>
      </c>
      <c r="R216" s="6">
        <f t="shared" ref="R216:R238" si="313">Q216/181</f>
        <v>85.182928176795585</v>
      </c>
      <c r="S216" s="6">
        <v>83512.603900000002</v>
      </c>
      <c r="T216" s="6">
        <f t="shared" si="239"/>
        <v>83512.603900000002</v>
      </c>
      <c r="U216" s="6">
        <f t="shared" si="240"/>
        <v>228.80165452054794</v>
      </c>
      <c r="V216" s="6">
        <v>68785.039900000003</v>
      </c>
      <c r="W216" s="6">
        <f t="shared" si="241"/>
        <v>68785.039900000003</v>
      </c>
      <c r="X216" s="6">
        <f t="shared" si="242"/>
        <v>188.45216410958906</v>
      </c>
      <c r="Y216" s="6">
        <v>60169.245799999997</v>
      </c>
      <c r="Z216" s="6">
        <f t="shared" si="243"/>
        <v>60169.245799999997</v>
      </c>
      <c r="AA216" s="6">
        <f t="shared" si="244"/>
        <v>164.84724876712329</v>
      </c>
      <c r="AB216" s="6">
        <v>53636.224399999999</v>
      </c>
      <c r="AC216" s="6">
        <f t="shared" si="245"/>
        <v>53636.224399999999</v>
      </c>
      <c r="AD216" s="6">
        <f t="shared" si="246"/>
        <v>146.94855999999999</v>
      </c>
      <c r="AE216" s="6">
        <v>48408.256300000001</v>
      </c>
      <c r="AF216" s="6">
        <f t="shared" si="247"/>
        <v>48408.256300000001</v>
      </c>
      <c r="AG216" s="6">
        <f t="shared" si="248"/>
        <v>132.6253597260274</v>
      </c>
      <c r="AH216" s="6">
        <v>44249.240899999997</v>
      </c>
      <c r="AI216" s="6">
        <f t="shared" si="249"/>
        <v>44249.240899999997</v>
      </c>
      <c r="AJ216" s="6">
        <f t="shared" si="250"/>
        <v>121.23079698630136</v>
      </c>
      <c r="AK216" s="6">
        <v>36958.823700000001</v>
      </c>
      <c r="AL216" s="6">
        <f t="shared" si="251"/>
        <v>36958.823700000001</v>
      </c>
      <c r="AM216" s="6">
        <f t="shared" si="252"/>
        <v>101.25705123287672</v>
      </c>
      <c r="AN216" s="6">
        <v>27238.814699999999</v>
      </c>
      <c r="AO216" s="6">
        <f t="shared" si="253"/>
        <v>27238.814699999999</v>
      </c>
      <c r="AP216" s="6">
        <f t="shared" si="254"/>
        <v>74.626889589041099</v>
      </c>
      <c r="AQ216" s="6">
        <v>25190.765500000001</v>
      </c>
      <c r="AR216" s="6">
        <f t="shared" si="255"/>
        <v>25190.765500000001</v>
      </c>
      <c r="AS216" s="6">
        <f t="shared" si="256"/>
        <v>69.015795890410956</v>
      </c>
      <c r="AT216" s="6">
        <v>18737.976900000001</v>
      </c>
      <c r="AU216" s="6">
        <f t="shared" si="257"/>
        <v>18737.976900000001</v>
      </c>
      <c r="AV216" s="6">
        <f t="shared" si="258"/>
        <v>51.336923013698637</v>
      </c>
      <c r="AW216" s="6">
        <v>11653.440199999999</v>
      </c>
      <c r="AX216" s="6">
        <f t="shared" si="259"/>
        <v>11653.440199999999</v>
      </c>
      <c r="AY216" s="6">
        <f t="shared" si="260"/>
        <v>31.927233424657533</v>
      </c>
      <c r="AZ216" s="6">
        <v>6072.4512000000004</v>
      </c>
      <c r="BA216" s="6">
        <f t="shared" si="261"/>
        <v>6072.4512000000004</v>
      </c>
      <c r="BB216" s="6">
        <f t="shared" si="262"/>
        <v>16.636852602739726</v>
      </c>
      <c r="BC216" s="6">
        <v>0</v>
      </c>
      <c r="BD216" s="6">
        <f t="shared" si="263"/>
        <v>0</v>
      </c>
      <c r="BE216" s="6">
        <f t="shared" si="264"/>
        <v>0</v>
      </c>
      <c r="BF216" s="6">
        <v>0</v>
      </c>
      <c r="BG216" s="6">
        <f t="shared" si="265"/>
        <v>0</v>
      </c>
      <c r="BH216" s="6">
        <f t="shared" si="266"/>
        <v>0</v>
      </c>
      <c r="BI216" s="6">
        <v>0</v>
      </c>
      <c r="BJ216" s="6">
        <f t="shared" si="267"/>
        <v>0</v>
      </c>
      <c r="BK216" s="6">
        <f t="shared" si="268"/>
        <v>0</v>
      </c>
      <c r="BL216" s="6">
        <v>0</v>
      </c>
      <c r="BM216" s="6">
        <f t="shared" si="269"/>
        <v>0</v>
      </c>
      <c r="BN216" s="6">
        <f t="shared" si="270"/>
        <v>0</v>
      </c>
      <c r="BO216" s="6">
        <v>0</v>
      </c>
      <c r="BP216" s="6">
        <f t="shared" si="271"/>
        <v>0</v>
      </c>
      <c r="BQ216" s="6">
        <f t="shared" si="272"/>
        <v>0</v>
      </c>
      <c r="BR216" s="6">
        <v>0</v>
      </c>
      <c r="BS216" s="6">
        <f t="shared" si="273"/>
        <v>0</v>
      </c>
      <c r="BT216" s="6">
        <f t="shared" si="274"/>
        <v>0</v>
      </c>
      <c r="BU216" s="6">
        <v>0</v>
      </c>
      <c r="BV216" s="6">
        <f t="shared" si="275"/>
        <v>0</v>
      </c>
      <c r="BW216" s="6">
        <f t="shared" si="276"/>
        <v>0</v>
      </c>
      <c r="BX216" s="6">
        <v>0</v>
      </c>
      <c r="BY216" s="6">
        <f t="shared" si="277"/>
        <v>0</v>
      </c>
      <c r="BZ216" s="6">
        <f t="shared" si="278"/>
        <v>0</v>
      </c>
      <c r="CA216" s="6">
        <v>0</v>
      </c>
      <c r="CB216" s="6">
        <f t="shared" si="279"/>
        <v>0</v>
      </c>
      <c r="CC216" s="6">
        <f t="shared" si="280"/>
        <v>0</v>
      </c>
      <c r="CD216" s="6">
        <v>0</v>
      </c>
      <c r="CE216" s="6">
        <f t="shared" si="281"/>
        <v>0</v>
      </c>
      <c r="CF216" s="6">
        <f t="shared" si="282"/>
        <v>0</v>
      </c>
      <c r="CG216" s="6">
        <v>0</v>
      </c>
      <c r="CH216" s="6">
        <f t="shared" si="283"/>
        <v>0</v>
      </c>
      <c r="CI216" s="6">
        <f t="shared" si="284"/>
        <v>0</v>
      </c>
      <c r="CJ216" s="6">
        <v>0</v>
      </c>
      <c r="CK216" s="6">
        <f t="shared" si="285"/>
        <v>0</v>
      </c>
      <c r="CL216" s="6">
        <f t="shared" si="286"/>
        <v>0</v>
      </c>
      <c r="CM216" s="6">
        <v>0</v>
      </c>
      <c r="CN216" s="6">
        <f t="shared" si="287"/>
        <v>0</v>
      </c>
      <c r="CO216" s="6">
        <f t="shared" si="288"/>
        <v>0</v>
      </c>
      <c r="CP216" s="6">
        <v>0</v>
      </c>
      <c r="CQ216" s="6">
        <f t="shared" si="289"/>
        <v>0</v>
      </c>
      <c r="CR216" s="6">
        <f t="shared" si="290"/>
        <v>0</v>
      </c>
      <c r="CS216" s="6">
        <v>0</v>
      </c>
      <c r="CT216" s="6">
        <f t="shared" si="291"/>
        <v>0</v>
      </c>
      <c r="CU216" s="6">
        <f t="shared" si="292"/>
        <v>0</v>
      </c>
      <c r="CV216" s="6">
        <v>0</v>
      </c>
      <c r="CW216" s="6">
        <f t="shared" si="293"/>
        <v>0</v>
      </c>
      <c r="CX216" s="6">
        <f t="shared" si="294"/>
        <v>0</v>
      </c>
      <c r="CY216" s="6">
        <v>0</v>
      </c>
      <c r="CZ216" s="6">
        <f t="shared" si="295"/>
        <v>0</v>
      </c>
      <c r="DA216" s="6">
        <f t="shared" si="296"/>
        <v>0</v>
      </c>
      <c r="DB216" s="6">
        <v>0</v>
      </c>
      <c r="DC216" s="6">
        <f t="shared" si="297"/>
        <v>0</v>
      </c>
      <c r="DD216" s="6">
        <f t="shared" si="298"/>
        <v>0</v>
      </c>
      <c r="DE216" s="6">
        <v>0</v>
      </c>
      <c r="DF216" s="6">
        <f t="shared" si="299"/>
        <v>0</v>
      </c>
      <c r="DG216" s="6">
        <f t="shared" si="300"/>
        <v>0</v>
      </c>
      <c r="DH216" s="6">
        <v>0</v>
      </c>
      <c r="DI216" s="6">
        <f t="shared" si="301"/>
        <v>0</v>
      </c>
      <c r="DJ216" s="6">
        <f t="shared" si="302"/>
        <v>0</v>
      </c>
      <c r="DK216" s="6">
        <v>0</v>
      </c>
      <c r="DL216" s="6">
        <f t="shared" si="303"/>
        <v>0</v>
      </c>
      <c r="DM216" s="6">
        <f t="shared" si="304"/>
        <v>0</v>
      </c>
      <c r="DN216" s="6">
        <v>0</v>
      </c>
      <c r="DO216" s="6">
        <f t="shared" si="305"/>
        <v>0</v>
      </c>
      <c r="DP216" s="6">
        <f t="shared" si="306"/>
        <v>0</v>
      </c>
    </row>
    <row r="217" spans="1:120" x14ac:dyDescent="0.2">
      <c r="A217" s="21">
        <v>86</v>
      </c>
      <c r="B217" s="21" t="s">
        <v>664</v>
      </c>
      <c r="C217" s="21">
        <v>86320</v>
      </c>
      <c r="D217" s="21" t="s">
        <v>329</v>
      </c>
      <c r="E217" s="21" t="s">
        <v>522</v>
      </c>
      <c r="F217" s="22" t="s">
        <v>666</v>
      </c>
      <c r="G217" s="4" t="s">
        <v>329</v>
      </c>
      <c r="H217" s="6">
        <v>716719.63</v>
      </c>
      <c r="I217" s="6">
        <f t="shared" si="310"/>
        <v>1963.6154246575343</v>
      </c>
      <c r="J217" s="6">
        <v>717842</v>
      </c>
      <c r="K217" s="6">
        <v>628432.62</v>
      </c>
      <c r="L217" s="6">
        <f t="shared" si="311"/>
        <v>1717.0290163934426</v>
      </c>
      <c r="M217" s="6">
        <v>608338</v>
      </c>
      <c r="N217" s="6">
        <v>567867.38</v>
      </c>
      <c r="O217" s="6">
        <f t="shared" si="312"/>
        <v>1555.8010410958905</v>
      </c>
      <c r="P217" s="6">
        <v>518623</v>
      </c>
      <c r="Q217" s="6">
        <v>316804.19</v>
      </c>
      <c r="R217" s="6">
        <f t="shared" si="313"/>
        <v>1750.2993922651933</v>
      </c>
      <c r="S217" s="6">
        <v>443196</v>
      </c>
      <c r="T217" s="6">
        <f t="shared" si="239"/>
        <v>443196</v>
      </c>
      <c r="U217" s="6">
        <f t="shared" si="240"/>
        <v>1214.2356164383561</v>
      </c>
      <c r="V217" s="6">
        <v>373357</v>
      </c>
      <c r="W217" s="6">
        <f t="shared" si="241"/>
        <v>373357</v>
      </c>
      <c r="X217" s="6">
        <f t="shared" si="242"/>
        <v>1022.8958904109589</v>
      </c>
      <c r="Y217" s="6">
        <v>314724</v>
      </c>
      <c r="Z217" s="6">
        <f t="shared" si="243"/>
        <v>314724</v>
      </c>
      <c r="AA217" s="6">
        <f t="shared" si="244"/>
        <v>862.25753424657535</v>
      </c>
      <c r="AB217" s="6">
        <v>267397</v>
      </c>
      <c r="AC217" s="6">
        <f t="shared" si="245"/>
        <v>267397</v>
      </c>
      <c r="AD217" s="6">
        <f t="shared" si="246"/>
        <v>732.59452054794519</v>
      </c>
      <c r="AE217" s="6">
        <v>0</v>
      </c>
      <c r="AF217" s="6">
        <f t="shared" si="247"/>
        <v>0</v>
      </c>
      <c r="AG217" s="6">
        <f t="shared" si="248"/>
        <v>0</v>
      </c>
      <c r="AH217" s="6">
        <v>0</v>
      </c>
      <c r="AI217" s="6">
        <f t="shared" si="249"/>
        <v>0</v>
      </c>
      <c r="AJ217" s="6">
        <f t="shared" si="250"/>
        <v>0</v>
      </c>
      <c r="AK217" s="6">
        <v>0</v>
      </c>
      <c r="AL217" s="6">
        <f t="shared" si="251"/>
        <v>0</v>
      </c>
      <c r="AM217" s="6">
        <f t="shared" si="252"/>
        <v>0</v>
      </c>
      <c r="AN217" s="6">
        <v>0</v>
      </c>
      <c r="AO217" s="6">
        <f t="shared" si="253"/>
        <v>0</v>
      </c>
      <c r="AP217" s="6">
        <f t="shared" si="254"/>
        <v>0</v>
      </c>
      <c r="AQ217" s="6">
        <v>0</v>
      </c>
      <c r="AR217" s="6">
        <f t="shared" si="255"/>
        <v>0</v>
      </c>
      <c r="AS217" s="6">
        <f t="shared" si="256"/>
        <v>0</v>
      </c>
      <c r="AT217" s="6">
        <v>0</v>
      </c>
      <c r="AU217" s="6">
        <f t="shared" si="257"/>
        <v>0</v>
      </c>
      <c r="AV217" s="6">
        <f t="shared" si="258"/>
        <v>0</v>
      </c>
      <c r="AW217" s="6">
        <v>0</v>
      </c>
      <c r="AX217" s="6">
        <f t="shared" si="259"/>
        <v>0</v>
      </c>
      <c r="AY217" s="6">
        <f t="shared" si="260"/>
        <v>0</v>
      </c>
      <c r="AZ217" s="6">
        <v>0</v>
      </c>
      <c r="BA217" s="6">
        <f t="shared" si="261"/>
        <v>0</v>
      </c>
      <c r="BB217" s="6">
        <f t="shared" si="262"/>
        <v>0</v>
      </c>
      <c r="BC217" s="6">
        <v>0</v>
      </c>
      <c r="BD217" s="6">
        <f t="shared" si="263"/>
        <v>0</v>
      </c>
      <c r="BE217" s="6">
        <f t="shared" si="264"/>
        <v>0</v>
      </c>
      <c r="BF217" s="6">
        <v>0</v>
      </c>
      <c r="BG217" s="6">
        <f t="shared" si="265"/>
        <v>0</v>
      </c>
      <c r="BH217" s="6">
        <f t="shared" si="266"/>
        <v>0</v>
      </c>
      <c r="BI217" s="6">
        <v>0</v>
      </c>
      <c r="BJ217" s="6">
        <f t="shared" si="267"/>
        <v>0</v>
      </c>
      <c r="BK217" s="6">
        <f t="shared" si="268"/>
        <v>0</v>
      </c>
      <c r="BL217" s="6">
        <v>0</v>
      </c>
      <c r="BM217" s="6">
        <f t="shared" si="269"/>
        <v>0</v>
      </c>
      <c r="BN217" s="6">
        <f t="shared" si="270"/>
        <v>0</v>
      </c>
      <c r="BO217" s="6">
        <v>0</v>
      </c>
      <c r="BP217" s="6">
        <f t="shared" si="271"/>
        <v>0</v>
      </c>
      <c r="BQ217" s="6">
        <f t="shared" si="272"/>
        <v>0</v>
      </c>
      <c r="BR217" s="6">
        <v>0</v>
      </c>
      <c r="BS217" s="6">
        <f t="shared" si="273"/>
        <v>0</v>
      </c>
      <c r="BT217" s="6">
        <f t="shared" si="274"/>
        <v>0</v>
      </c>
      <c r="BU217" s="6">
        <v>0</v>
      </c>
      <c r="BV217" s="6">
        <f t="shared" si="275"/>
        <v>0</v>
      </c>
      <c r="BW217" s="6">
        <f t="shared" si="276"/>
        <v>0</v>
      </c>
      <c r="BX217" s="6">
        <v>0</v>
      </c>
      <c r="BY217" s="6">
        <f t="shared" si="277"/>
        <v>0</v>
      </c>
      <c r="BZ217" s="6">
        <f t="shared" si="278"/>
        <v>0</v>
      </c>
      <c r="CA217" s="6">
        <v>0</v>
      </c>
      <c r="CB217" s="6">
        <f t="shared" si="279"/>
        <v>0</v>
      </c>
      <c r="CC217" s="6">
        <f t="shared" si="280"/>
        <v>0</v>
      </c>
      <c r="CD217" s="6">
        <v>0</v>
      </c>
      <c r="CE217" s="6">
        <f t="shared" si="281"/>
        <v>0</v>
      </c>
      <c r="CF217" s="6">
        <f t="shared" si="282"/>
        <v>0</v>
      </c>
      <c r="CG217" s="6">
        <v>0</v>
      </c>
      <c r="CH217" s="6">
        <f t="shared" si="283"/>
        <v>0</v>
      </c>
      <c r="CI217" s="6">
        <f t="shared" si="284"/>
        <v>0</v>
      </c>
      <c r="CJ217" s="6">
        <v>0</v>
      </c>
      <c r="CK217" s="6">
        <f t="shared" si="285"/>
        <v>0</v>
      </c>
      <c r="CL217" s="6">
        <f t="shared" si="286"/>
        <v>0</v>
      </c>
      <c r="CM217" s="6">
        <v>0</v>
      </c>
      <c r="CN217" s="6">
        <f t="shared" si="287"/>
        <v>0</v>
      </c>
      <c r="CO217" s="6">
        <f t="shared" si="288"/>
        <v>0</v>
      </c>
      <c r="CP217" s="6">
        <v>0</v>
      </c>
      <c r="CQ217" s="6">
        <f t="shared" si="289"/>
        <v>0</v>
      </c>
      <c r="CR217" s="6">
        <f t="shared" si="290"/>
        <v>0</v>
      </c>
      <c r="CS217" s="6">
        <v>0</v>
      </c>
      <c r="CT217" s="6">
        <f t="shared" si="291"/>
        <v>0</v>
      </c>
      <c r="CU217" s="6">
        <f t="shared" si="292"/>
        <v>0</v>
      </c>
      <c r="CV217" s="6">
        <v>0</v>
      </c>
      <c r="CW217" s="6">
        <f t="shared" si="293"/>
        <v>0</v>
      </c>
      <c r="CX217" s="6">
        <f t="shared" si="294"/>
        <v>0</v>
      </c>
      <c r="CY217" s="6">
        <v>0</v>
      </c>
      <c r="CZ217" s="6">
        <f t="shared" si="295"/>
        <v>0</v>
      </c>
      <c r="DA217" s="6">
        <f t="shared" si="296"/>
        <v>0</v>
      </c>
      <c r="DB217" s="6">
        <v>0</v>
      </c>
      <c r="DC217" s="6">
        <f t="shared" si="297"/>
        <v>0</v>
      </c>
      <c r="DD217" s="6">
        <f t="shared" si="298"/>
        <v>0</v>
      </c>
      <c r="DE217" s="6">
        <v>0</v>
      </c>
      <c r="DF217" s="6">
        <f t="shared" si="299"/>
        <v>0</v>
      </c>
      <c r="DG217" s="6">
        <f t="shared" si="300"/>
        <v>0</v>
      </c>
      <c r="DH217" s="6">
        <v>0</v>
      </c>
      <c r="DI217" s="6">
        <f t="shared" si="301"/>
        <v>0</v>
      </c>
      <c r="DJ217" s="6">
        <f t="shared" si="302"/>
        <v>0</v>
      </c>
      <c r="DK217" s="6">
        <v>0</v>
      </c>
      <c r="DL217" s="6">
        <f t="shared" si="303"/>
        <v>0</v>
      </c>
      <c r="DM217" s="6">
        <f t="shared" si="304"/>
        <v>0</v>
      </c>
      <c r="DN217" s="6">
        <v>0</v>
      </c>
      <c r="DO217" s="6">
        <f t="shared" si="305"/>
        <v>0</v>
      </c>
      <c r="DP217" s="6">
        <f t="shared" si="306"/>
        <v>0</v>
      </c>
    </row>
    <row r="218" spans="1:120" x14ac:dyDescent="0.2">
      <c r="A218" s="21">
        <v>85</v>
      </c>
      <c r="B218" s="21" t="s">
        <v>612</v>
      </c>
      <c r="C218" s="21">
        <v>85230</v>
      </c>
      <c r="D218" s="21" t="s">
        <v>614</v>
      </c>
      <c r="E218" s="21" t="s">
        <v>611</v>
      </c>
      <c r="F218" s="22" t="s">
        <v>693</v>
      </c>
      <c r="G218" s="4" t="s">
        <v>330</v>
      </c>
      <c r="H218" s="6">
        <v>81534.38</v>
      </c>
      <c r="I218" s="6">
        <f t="shared" si="310"/>
        <v>223.38186301369865</v>
      </c>
      <c r="J218" s="6">
        <v>58661.518499999998</v>
      </c>
      <c r="K218" s="6">
        <v>80125.48</v>
      </c>
      <c r="L218" s="6">
        <f t="shared" si="311"/>
        <v>218.92207650273224</v>
      </c>
      <c r="M218" s="6">
        <v>62333.973899999997</v>
      </c>
      <c r="N218" s="6">
        <v>80262.210000000006</v>
      </c>
      <c r="O218" s="6">
        <f t="shared" si="312"/>
        <v>219.89646575342468</v>
      </c>
      <c r="P218" s="6">
        <v>55670.201800000003</v>
      </c>
      <c r="Q218" s="6">
        <v>35622.949999999997</v>
      </c>
      <c r="R218" s="6">
        <f t="shared" si="313"/>
        <v>196.81187845303864</v>
      </c>
      <c r="S218" s="6">
        <v>49576.139300000003</v>
      </c>
      <c r="T218" s="6">
        <f t="shared" si="239"/>
        <v>49576.139300000003</v>
      </c>
      <c r="U218" s="6">
        <f t="shared" si="240"/>
        <v>135.82503917808219</v>
      </c>
      <c r="V218" s="6">
        <v>44708.911999999997</v>
      </c>
      <c r="W218" s="6">
        <f t="shared" si="241"/>
        <v>44708.911999999997</v>
      </c>
      <c r="X218" s="6">
        <f t="shared" si="242"/>
        <v>122.49016986301369</v>
      </c>
      <c r="Y218" s="6">
        <v>40727.068200000002</v>
      </c>
      <c r="Z218" s="6">
        <f t="shared" si="243"/>
        <v>40727.068200000002</v>
      </c>
      <c r="AA218" s="6">
        <f t="shared" si="244"/>
        <v>111.58100876712329</v>
      </c>
      <c r="AB218" s="6">
        <v>37406.311300000001</v>
      </c>
      <c r="AC218" s="6">
        <f t="shared" si="245"/>
        <v>37406.311300000001</v>
      </c>
      <c r="AD218" s="6">
        <f t="shared" si="246"/>
        <v>102.48304465753425</v>
      </c>
      <c r="AE218" s="6">
        <v>34591.911699999997</v>
      </c>
      <c r="AF218" s="6">
        <f t="shared" si="247"/>
        <v>34591.911699999997</v>
      </c>
      <c r="AG218" s="6">
        <f t="shared" si="248"/>
        <v>94.7723608219178</v>
      </c>
      <c r="AH218" s="6">
        <v>32164.562300000001</v>
      </c>
      <c r="AI218" s="6">
        <f t="shared" si="249"/>
        <v>32164.562300000001</v>
      </c>
      <c r="AJ218" s="6">
        <f t="shared" si="250"/>
        <v>88.122088493150684</v>
      </c>
      <c r="AK218" s="6">
        <v>30031.7101</v>
      </c>
      <c r="AL218" s="6">
        <f t="shared" si="251"/>
        <v>30031.7101</v>
      </c>
      <c r="AM218" s="6">
        <f t="shared" si="252"/>
        <v>82.27865780821918</v>
      </c>
      <c r="AN218" s="6">
        <v>28126.3305</v>
      </c>
      <c r="AO218" s="6">
        <f t="shared" si="253"/>
        <v>28126.3305</v>
      </c>
      <c r="AP218" s="6">
        <f t="shared" si="254"/>
        <v>77.058439726027402</v>
      </c>
      <c r="AQ218" s="6">
        <v>26408.985499999999</v>
      </c>
      <c r="AR218" s="6">
        <f t="shared" si="255"/>
        <v>26408.985499999999</v>
      </c>
      <c r="AS218" s="6">
        <f t="shared" si="256"/>
        <v>72.353384931506852</v>
      </c>
      <c r="AT218" s="6">
        <v>24823.658200000002</v>
      </c>
      <c r="AU218" s="6">
        <f t="shared" si="257"/>
        <v>24823.658200000002</v>
      </c>
      <c r="AV218" s="6">
        <f t="shared" si="258"/>
        <v>68.010022465753423</v>
      </c>
      <c r="AW218" s="6">
        <v>23334.238700000002</v>
      </c>
      <c r="AX218" s="6">
        <f t="shared" si="259"/>
        <v>23334.238700000002</v>
      </c>
      <c r="AY218" s="6">
        <f t="shared" si="260"/>
        <v>63.929421095890419</v>
      </c>
      <c r="AZ218" s="6">
        <v>21934.184399999998</v>
      </c>
      <c r="BA218" s="6">
        <f t="shared" si="261"/>
        <v>21934.184399999998</v>
      </c>
      <c r="BB218" s="6">
        <f t="shared" si="262"/>
        <v>60.093655890410957</v>
      </c>
      <c r="BC218" s="6">
        <v>20618.133300000001</v>
      </c>
      <c r="BD218" s="6">
        <f t="shared" si="263"/>
        <v>20618.133300000001</v>
      </c>
      <c r="BE218" s="6">
        <f t="shared" si="264"/>
        <v>56.488036438356168</v>
      </c>
      <c r="BF218" s="6">
        <v>19381.045300000002</v>
      </c>
      <c r="BG218" s="6">
        <f t="shared" si="265"/>
        <v>19381.045300000002</v>
      </c>
      <c r="BH218" s="6">
        <f t="shared" si="266"/>
        <v>53.098754246575346</v>
      </c>
      <c r="BI218" s="6">
        <v>18218.1826</v>
      </c>
      <c r="BJ218" s="6">
        <f t="shared" si="267"/>
        <v>18218.1826</v>
      </c>
      <c r="BK218" s="6">
        <f t="shared" si="268"/>
        <v>49.91282904109589</v>
      </c>
      <c r="BL218" s="6">
        <v>12942.6402</v>
      </c>
      <c r="BM218" s="6">
        <f t="shared" si="269"/>
        <v>12942.6402</v>
      </c>
      <c r="BN218" s="6">
        <f t="shared" si="270"/>
        <v>35.459288219178084</v>
      </c>
      <c r="BO218" s="6">
        <v>0</v>
      </c>
      <c r="BP218" s="6">
        <f t="shared" si="271"/>
        <v>0</v>
      </c>
      <c r="BQ218" s="6">
        <f t="shared" si="272"/>
        <v>0</v>
      </c>
      <c r="BR218" s="6">
        <v>0</v>
      </c>
      <c r="BS218" s="6">
        <f t="shared" si="273"/>
        <v>0</v>
      </c>
      <c r="BT218" s="6">
        <f t="shared" si="274"/>
        <v>0</v>
      </c>
      <c r="BU218" s="6">
        <v>0</v>
      </c>
      <c r="BV218" s="6">
        <f t="shared" si="275"/>
        <v>0</v>
      </c>
      <c r="BW218" s="6">
        <f t="shared" si="276"/>
        <v>0</v>
      </c>
      <c r="BX218" s="6">
        <v>0</v>
      </c>
      <c r="BY218" s="6">
        <f t="shared" si="277"/>
        <v>0</v>
      </c>
      <c r="BZ218" s="6">
        <f t="shared" si="278"/>
        <v>0</v>
      </c>
      <c r="CA218" s="6">
        <v>0</v>
      </c>
      <c r="CB218" s="6">
        <f t="shared" si="279"/>
        <v>0</v>
      </c>
      <c r="CC218" s="6">
        <f t="shared" si="280"/>
        <v>0</v>
      </c>
      <c r="CD218" s="6">
        <v>0</v>
      </c>
      <c r="CE218" s="6">
        <f t="shared" si="281"/>
        <v>0</v>
      </c>
      <c r="CF218" s="6">
        <f t="shared" si="282"/>
        <v>0</v>
      </c>
      <c r="CG218" s="6">
        <v>0</v>
      </c>
      <c r="CH218" s="6">
        <f t="shared" si="283"/>
        <v>0</v>
      </c>
      <c r="CI218" s="6">
        <f t="shared" si="284"/>
        <v>0</v>
      </c>
      <c r="CJ218" s="6">
        <v>0</v>
      </c>
      <c r="CK218" s="6">
        <f t="shared" si="285"/>
        <v>0</v>
      </c>
      <c r="CL218" s="6">
        <f t="shared" si="286"/>
        <v>0</v>
      </c>
      <c r="CM218" s="6">
        <v>0</v>
      </c>
      <c r="CN218" s="6">
        <f t="shared" si="287"/>
        <v>0</v>
      </c>
      <c r="CO218" s="6">
        <f t="shared" si="288"/>
        <v>0</v>
      </c>
      <c r="CP218" s="6">
        <v>0</v>
      </c>
      <c r="CQ218" s="6">
        <f t="shared" si="289"/>
        <v>0</v>
      </c>
      <c r="CR218" s="6">
        <f t="shared" si="290"/>
        <v>0</v>
      </c>
      <c r="CS218" s="6">
        <v>0</v>
      </c>
      <c r="CT218" s="6">
        <f t="shared" si="291"/>
        <v>0</v>
      </c>
      <c r="CU218" s="6">
        <f t="shared" si="292"/>
        <v>0</v>
      </c>
      <c r="CV218" s="6">
        <v>0</v>
      </c>
      <c r="CW218" s="6">
        <f t="shared" si="293"/>
        <v>0</v>
      </c>
      <c r="CX218" s="6">
        <f t="shared" si="294"/>
        <v>0</v>
      </c>
      <c r="CY218" s="6">
        <v>0</v>
      </c>
      <c r="CZ218" s="6">
        <f t="shared" si="295"/>
        <v>0</v>
      </c>
      <c r="DA218" s="6">
        <f t="shared" si="296"/>
        <v>0</v>
      </c>
      <c r="DB218" s="6">
        <v>0</v>
      </c>
      <c r="DC218" s="6">
        <f t="shared" si="297"/>
        <v>0</v>
      </c>
      <c r="DD218" s="6">
        <f t="shared" si="298"/>
        <v>0</v>
      </c>
      <c r="DE218" s="6">
        <v>0</v>
      </c>
      <c r="DF218" s="6">
        <f t="shared" si="299"/>
        <v>0</v>
      </c>
      <c r="DG218" s="6">
        <f t="shared" si="300"/>
        <v>0</v>
      </c>
      <c r="DH218" s="6">
        <v>0</v>
      </c>
      <c r="DI218" s="6">
        <f t="shared" si="301"/>
        <v>0</v>
      </c>
      <c r="DJ218" s="6">
        <f t="shared" si="302"/>
        <v>0</v>
      </c>
      <c r="DK218" s="6">
        <v>0</v>
      </c>
      <c r="DL218" s="6">
        <f t="shared" si="303"/>
        <v>0</v>
      </c>
      <c r="DM218" s="6">
        <f t="shared" si="304"/>
        <v>0</v>
      </c>
      <c r="DN218" s="6">
        <v>0</v>
      </c>
      <c r="DO218" s="6">
        <f t="shared" si="305"/>
        <v>0</v>
      </c>
      <c r="DP218" s="6">
        <f t="shared" si="306"/>
        <v>0</v>
      </c>
    </row>
    <row r="219" spans="1:120" x14ac:dyDescent="0.2">
      <c r="A219" s="21">
        <v>73</v>
      </c>
      <c r="B219" s="21" t="s">
        <v>582</v>
      </c>
      <c r="C219" s="21">
        <v>73504</v>
      </c>
      <c r="D219" s="21" t="s">
        <v>331</v>
      </c>
      <c r="E219" s="21" t="s">
        <v>575</v>
      </c>
      <c r="F219" s="22" t="s">
        <v>666</v>
      </c>
      <c r="G219" s="4" t="s">
        <v>331</v>
      </c>
      <c r="H219" s="6">
        <v>63588.19</v>
      </c>
      <c r="I219" s="6">
        <f t="shared" si="310"/>
        <v>174.2142191780822</v>
      </c>
      <c r="J219" s="6">
        <v>57123.053800000002</v>
      </c>
      <c r="K219" s="6">
        <v>58299.99</v>
      </c>
      <c r="L219" s="6">
        <f t="shared" si="311"/>
        <v>159.28959016393443</v>
      </c>
      <c r="M219" s="6">
        <v>50327.016799999998</v>
      </c>
      <c r="N219" s="6">
        <v>55963.7</v>
      </c>
      <c r="O219" s="6">
        <f t="shared" si="312"/>
        <v>153.32520547945205</v>
      </c>
      <c r="P219" s="6">
        <v>43400.776400000002</v>
      </c>
      <c r="Q219" s="6">
        <v>27466.07</v>
      </c>
      <c r="R219" s="6">
        <f t="shared" si="313"/>
        <v>151.74624309392266</v>
      </c>
      <c r="S219" s="6">
        <v>37482.858200000002</v>
      </c>
      <c r="T219" s="6">
        <f t="shared" si="239"/>
        <v>37482.858200000002</v>
      </c>
      <c r="U219" s="6">
        <f t="shared" si="240"/>
        <v>102.69276219178083</v>
      </c>
      <c r="V219" s="6">
        <v>32509.820400000001</v>
      </c>
      <c r="W219" s="6">
        <f t="shared" si="241"/>
        <v>32509.820400000001</v>
      </c>
      <c r="X219" s="6">
        <f t="shared" si="242"/>
        <v>89.068001095890409</v>
      </c>
      <c r="Y219" s="6">
        <v>28076.683000000001</v>
      </c>
      <c r="Z219" s="6">
        <f t="shared" si="243"/>
        <v>28076.683000000001</v>
      </c>
      <c r="AA219" s="6">
        <f t="shared" si="244"/>
        <v>76.922419178082194</v>
      </c>
      <c r="AB219" s="6">
        <v>0</v>
      </c>
      <c r="AC219" s="6">
        <f t="shared" si="245"/>
        <v>0</v>
      </c>
      <c r="AD219" s="6">
        <f t="shared" si="246"/>
        <v>0</v>
      </c>
      <c r="AE219" s="6">
        <v>0</v>
      </c>
      <c r="AF219" s="6">
        <f t="shared" si="247"/>
        <v>0</v>
      </c>
      <c r="AG219" s="6">
        <f t="shared" si="248"/>
        <v>0</v>
      </c>
      <c r="AH219" s="6">
        <v>0</v>
      </c>
      <c r="AI219" s="6">
        <f t="shared" si="249"/>
        <v>0</v>
      </c>
      <c r="AJ219" s="6">
        <f t="shared" si="250"/>
        <v>0</v>
      </c>
      <c r="AK219" s="6">
        <v>0</v>
      </c>
      <c r="AL219" s="6">
        <f t="shared" si="251"/>
        <v>0</v>
      </c>
      <c r="AM219" s="6">
        <f t="shared" si="252"/>
        <v>0</v>
      </c>
      <c r="AN219" s="6">
        <v>0</v>
      </c>
      <c r="AO219" s="6">
        <f t="shared" si="253"/>
        <v>0</v>
      </c>
      <c r="AP219" s="6">
        <f t="shared" si="254"/>
        <v>0</v>
      </c>
      <c r="AQ219" s="6">
        <v>0</v>
      </c>
      <c r="AR219" s="6">
        <f t="shared" si="255"/>
        <v>0</v>
      </c>
      <c r="AS219" s="6">
        <f t="shared" si="256"/>
        <v>0</v>
      </c>
      <c r="AT219" s="6">
        <v>0</v>
      </c>
      <c r="AU219" s="6">
        <f t="shared" si="257"/>
        <v>0</v>
      </c>
      <c r="AV219" s="6">
        <f t="shared" si="258"/>
        <v>0</v>
      </c>
      <c r="AW219" s="6">
        <v>0</v>
      </c>
      <c r="AX219" s="6">
        <f t="shared" si="259"/>
        <v>0</v>
      </c>
      <c r="AY219" s="6">
        <f t="shared" si="260"/>
        <v>0</v>
      </c>
      <c r="AZ219" s="6">
        <v>0</v>
      </c>
      <c r="BA219" s="6">
        <f t="shared" si="261"/>
        <v>0</v>
      </c>
      <c r="BB219" s="6">
        <f t="shared" si="262"/>
        <v>0</v>
      </c>
      <c r="BC219" s="6">
        <v>0</v>
      </c>
      <c r="BD219" s="6">
        <f t="shared" si="263"/>
        <v>0</v>
      </c>
      <c r="BE219" s="6">
        <f t="shared" si="264"/>
        <v>0</v>
      </c>
      <c r="BF219" s="6">
        <v>0</v>
      </c>
      <c r="BG219" s="6">
        <f t="shared" si="265"/>
        <v>0</v>
      </c>
      <c r="BH219" s="6">
        <f t="shared" si="266"/>
        <v>0</v>
      </c>
      <c r="BI219" s="6">
        <v>0</v>
      </c>
      <c r="BJ219" s="6">
        <f t="shared" si="267"/>
        <v>0</v>
      </c>
      <c r="BK219" s="6">
        <f t="shared" si="268"/>
        <v>0</v>
      </c>
      <c r="BL219" s="6">
        <v>0</v>
      </c>
      <c r="BM219" s="6">
        <f t="shared" si="269"/>
        <v>0</v>
      </c>
      <c r="BN219" s="6">
        <f t="shared" si="270"/>
        <v>0</v>
      </c>
      <c r="BO219" s="6">
        <v>0</v>
      </c>
      <c r="BP219" s="6">
        <f t="shared" si="271"/>
        <v>0</v>
      </c>
      <c r="BQ219" s="6">
        <f t="shared" si="272"/>
        <v>0</v>
      </c>
      <c r="BR219" s="6">
        <v>0</v>
      </c>
      <c r="BS219" s="6">
        <f t="shared" si="273"/>
        <v>0</v>
      </c>
      <c r="BT219" s="6">
        <f t="shared" si="274"/>
        <v>0</v>
      </c>
      <c r="BU219" s="6">
        <v>0</v>
      </c>
      <c r="BV219" s="6">
        <f t="shared" si="275"/>
        <v>0</v>
      </c>
      <c r="BW219" s="6">
        <f t="shared" si="276"/>
        <v>0</v>
      </c>
      <c r="BX219" s="6">
        <v>0</v>
      </c>
      <c r="BY219" s="6">
        <f t="shared" si="277"/>
        <v>0</v>
      </c>
      <c r="BZ219" s="6">
        <f t="shared" si="278"/>
        <v>0</v>
      </c>
      <c r="CA219" s="6">
        <v>0</v>
      </c>
      <c r="CB219" s="6">
        <f t="shared" si="279"/>
        <v>0</v>
      </c>
      <c r="CC219" s="6">
        <f t="shared" si="280"/>
        <v>0</v>
      </c>
      <c r="CD219" s="6">
        <v>0</v>
      </c>
      <c r="CE219" s="6">
        <f t="shared" si="281"/>
        <v>0</v>
      </c>
      <c r="CF219" s="6">
        <f t="shared" si="282"/>
        <v>0</v>
      </c>
      <c r="CG219" s="6">
        <v>0</v>
      </c>
      <c r="CH219" s="6">
        <f t="shared" si="283"/>
        <v>0</v>
      </c>
      <c r="CI219" s="6">
        <f t="shared" si="284"/>
        <v>0</v>
      </c>
      <c r="CJ219" s="6">
        <v>0</v>
      </c>
      <c r="CK219" s="6">
        <f t="shared" si="285"/>
        <v>0</v>
      </c>
      <c r="CL219" s="6">
        <f t="shared" si="286"/>
        <v>0</v>
      </c>
      <c r="CM219" s="6">
        <v>0</v>
      </c>
      <c r="CN219" s="6">
        <f t="shared" si="287"/>
        <v>0</v>
      </c>
      <c r="CO219" s="6">
        <f t="shared" si="288"/>
        <v>0</v>
      </c>
      <c r="CP219" s="6">
        <v>0</v>
      </c>
      <c r="CQ219" s="6">
        <f t="shared" si="289"/>
        <v>0</v>
      </c>
      <c r="CR219" s="6">
        <f t="shared" si="290"/>
        <v>0</v>
      </c>
      <c r="CS219" s="6">
        <v>0</v>
      </c>
      <c r="CT219" s="6">
        <f t="shared" si="291"/>
        <v>0</v>
      </c>
      <c r="CU219" s="6">
        <f t="shared" si="292"/>
        <v>0</v>
      </c>
      <c r="CV219" s="6">
        <v>0</v>
      </c>
      <c r="CW219" s="6">
        <f t="shared" si="293"/>
        <v>0</v>
      </c>
      <c r="CX219" s="6">
        <f t="shared" si="294"/>
        <v>0</v>
      </c>
      <c r="CY219" s="6">
        <v>0</v>
      </c>
      <c r="CZ219" s="6">
        <f t="shared" si="295"/>
        <v>0</v>
      </c>
      <c r="DA219" s="6">
        <f t="shared" si="296"/>
        <v>0</v>
      </c>
      <c r="DB219" s="6">
        <v>0</v>
      </c>
      <c r="DC219" s="6">
        <f t="shared" si="297"/>
        <v>0</v>
      </c>
      <c r="DD219" s="6">
        <f t="shared" si="298"/>
        <v>0</v>
      </c>
      <c r="DE219" s="6">
        <v>0</v>
      </c>
      <c r="DF219" s="6">
        <f t="shared" si="299"/>
        <v>0</v>
      </c>
      <c r="DG219" s="6">
        <f t="shared" si="300"/>
        <v>0</v>
      </c>
      <c r="DH219" s="6">
        <v>0</v>
      </c>
      <c r="DI219" s="6">
        <f t="shared" si="301"/>
        <v>0</v>
      </c>
      <c r="DJ219" s="6">
        <f t="shared" si="302"/>
        <v>0</v>
      </c>
      <c r="DK219" s="6">
        <v>0</v>
      </c>
      <c r="DL219" s="6">
        <f t="shared" si="303"/>
        <v>0</v>
      </c>
      <c r="DM219" s="6">
        <f t="shared" si="304"/>
        <v>0</v>
      </c>
      <c r="DN219" s="6">
        <v>0</v>
      </c>
      <c r="DO219" s="6">
        <f t="shared" si="305"/>
        <v>0</v>
      </c>
      <c r="DP219" s="6">
        <f t="shared" si="306"/>
        <v>0</v>
      </c>
    </row>
    <row r="220" spans="1:120" x14ac:dyDescent="0.2">
      <c r="A220" s="21">
        <v>20</v>
      </c>
      <c r="B220" s="21" t="s">
        <v>667</v>
      </c>
      <c r="C220" s="21">
        <v>20011</v>
      </c>
      <c r="D220" s="21" t="s">
        <v>738</v>
      </c>
      <c r="E220" s="21" t="s">
        <v>741</v>
      </c>
      <c r="F220" s="22" t="s">
        <v>669</v>
      </c>
      <c r="G220" s="4" t="s">
        <v>332</v>
      </c>
      <c r="H220" s="6">
        <v>40248.07</v>
      </c>
      <c r="I220" s="6">
        <f t="shared" si="310"/>
        <v>110.26868493150685</v>
      </c>
      <c r="J220" s="6">
        <v>104975.4222</v>
      </c>
      <c r="K220" s="6">
        <v>55963.99</v>
      </c>
      <c r="L220" s="6">
        <f t="shared" si="311"/>
        <v>152.90707650273222</v>
      </c>
      <c r="M220" s="6">
        <v>84831.327699999994</v>
      </c>
      <c r="N220" s="6">
        <v>41559.74</v>
      </c>
      <c r="O220" s="6">
        <f t="shared" si="312"/>
        <v>113.862301369863</v>
      </c>
      <c r="P220" s="6">
        <v>60706.835500000001</v>
      </c>
      <c r="Q220" s="6">
        <v>18302.68</v>
      </c>
      <c r="R220" s="6">
        <f t="shared" si="313"/>
        <v>101.11977900552486</v>
      </c>
      <c r="S220" s="6">
        <v>45045.084799999997</v>
      </c>
      <c r="T220" s="6">
        <f t="shared" si="239"/>
        <v>45045.084799999997</v>
      </c>
      <c r="U220" s="6">
        <f t="shared" si="240"/>
        <v>123.4111912328767</v>
      </c>
      <c r="V220" s="6">
        <v>33718.550000000003</v>
      </c>
      <c r="W220" s="6">
        <f t="shared" si="241"/>
        <v>33718.550000000003</v>
      </c>
      <c r="X220" s="6">
        <f t="shared" si="242"/>
        <v>92.379589041095898</v>
      </c>
      <c r="Y220" s="6">
        <v>23962.894199999999</v>
      </c>
      <c r="Z220" s="6">
        <f t="shared" si="243"/>
        <v>23962.894199999999</v>
      </c>
      <c r="AA220" s="6">
        <f t="shared" si="244"/>
        <v>65.651764931506847</v>
      </c>
      <c r="AB220" s="6">
        <v>19496.259399999999</v>
      </c>
      <c r="AC220" s="6">
        <f t="shared" si="245"/>
        <v>19496.259399999999</v>
      </c>
      <c r="AD220" s="6">
        <f t="shared" si="246"/>
        <v>53.41440931506849</v>
      </c>
      <c r="AE220" s="6">
        <v>6996.4574000000002</v>
      </c>
      <c r="AF220" s="6">
        <f t="shared" si="247"/>
        <v>6996.4574000000002</v>
      </c>
      <c r="AG220" s="6">
        <f t="shared" si="248"/>
        <v>19.168376438356166</v>
      </c>
      <c r="AH220" s="6">
        <v>0</v>
      </c>
      <c r="AI220" s="6">
        <f t="shared" si="249"/>
        <v>0</v>
      </c>
      <c r="AJ220" s="6">
        <f t="shared" si="250"/>
        <v>0</v>
      </c>
      <c r="AK220" s="6">
        <v>0</v>
      </c>
      <c r="AL220" s="6">
        <f t="shared" si="251"/>
        <v>0</v>
      </c>
      <c r="AM220" s="6">
        <f t="shared" si="252"/>
        <v>0</v>
      </c>
      <c r="AN220" s="6">
        <v>0</v>
      </c>
      <c r="AO220" s="6">
        <f t="shared" si="253"/>
        <v>0</v>
      </c>
      <c r="AP220" s="6">
        <f t="shared" si="254"/>
        <v>0</v>
      </c>
      <c r="AQ220" s="6">
        <v>0</v>
      </c>
      <c r="AR220" s="6">
        <f t="shared" si="255"/>
        <v>0</v>
      </c>
      <c r="AS220" s="6">
        <f t="shared" si="256"/>
        <v>0</v>
      </c>
      <c r="AT220" s="6">
        <v>0</v>
      </c>
      <c r="AU220" s="6">
        <f t="shared" si="257"/>
        <v>0</v>
      </c>
      <c r="AV220" s="6">
        <f t="shared" si="258"/>
        <v>0</v>
      </c>
      <c r="AW220" s="6">
        <v>0</v>
      </c>
      <c r="AX220" s="6">
        <f t="shared" si="259"/>
        <v>0</v>
      </c>
      <c r="AY220" s="6">
        <f t="shared" si="260"/>
        <v>0</v>
      </c>
      <c r="AZ220" s="6">
        <v>0</v>
      </c>
      <c r="BA220" s="6">
        <f t="shared" si="261"/>
        <v>0</v>
      </c>
      <c r="BB220" s="6">
        <f t="shared" si="262"/>
        <v>0</v>
      </c>
      <c r="BC220" s="6">
        <v>0</v>
      </c>
      <c r="BD220" s="6">
        <f t="shared" si="263"/>
        <v>0</v>
      </c>
      <c r="BE220" s="6">
        <f t="shared" si="264"/>
        <v>0</v>
      </c>
      <c r="BF220" s="6">
        <v>0</v>
      </c>
      <c r="BG220" s="6">
        <f t="shared" si="265"/>
        <v>0</v>
      </c>
      <c r="BH220" s="6">
        <f t="shared" si="266"/>
        <v>0</v>
      </c>
      <c r="BI220" s="6">
        <v>0</v>
      </c>
      <c r="BJ220" s="6">
        <f t="shared" si="267"/>
        <v>0</v>
      </c>
      <c r="BK220" s="6">
        <f t="shared" si="268"/>
        <v>0</v>
      </c>
      <c r="BL220" s="6">
        <v>0</v>
      </c>
      <c r="BM220" s="6">
        <f t="shared" si="269"/>
        <v>0</v>
      </c>
      <c r="BN220" s="6">
        <f t="shared" si="270"/>
        <v>0</v>
      </c>
      <c r="BO220" s="6">
        <v>0</v>
      </c>
      <c r="BP220" s="6">
        <f t="shared" si="271"/>
        <v>0</v>
      </c>
      <c r="BQ220" s="6">
        <f t="shared" si="272"/>
        <v>0</v>
      </c>
      <c r="BR220" s="6">
        <v>0</v>
      </c>
      <c r="BS220" s="6">
        <f t="shared" si="273"/>
        <v>0</v>
      </c>
      <c r="BT220" s="6">
        <f t="shared" si="274"/>
        <v>0</v>
      </c>
      <c r="BU220" s="6">
        <v>0</v>
      </c>
      <c r="BV220" s="6">
        <f t="shared" si="275"/>
        <v>0</v>
      </c>
      <c r="BW220" s="6">
        <f t="shared" si="276"/>
        <v>0</v>
      </c>
      <c r="BX220" s="6">
        <v>0</v>
      </c>
      <c r="BY220" s="6">
        <f t="shared" si="277"/>
        <v>0</v>
      </c>
      <c r="BZ220" s="6">
        <f t="shared" si="278"/>
        <v>0</v>
      </c>
      <c r="CA220" s="6">
        <v>0</v>
      </c>
      <c r="CB220" s="6">
        <f t="shared" si="279"/>
        <v>0</v>
      </c>
      <c r="CC220" s="6">
        <f t="shared" si="280"/>
        <v>0</v>
      </c>
      <c r="CD220" s="6">
        <v>0</v>
      </c>
      <c r="CE220" s="6">
        <f t="shared" si="281"/>
        <v>0</v>
      </c>
      <c r="CF220" s="6">
        <f t="shared" si="282"/>
        <v>0</v>
      </c>
      <c r="CG220" s="6">
        <v>0</v>
      </c>
      <c r="CH220" s="6">
        <f t="shared" si="283"/>
        <v>0</v>
      </c>
      <c r="CI220" s="6">
        <f t="shared" si="284"/>
        <v>0</v>
      </c>
      <c r="CJ220" s="6">
        <v>0</v>
      </c>
      <c r="CK220" s="6">
        <f t="shared" si="285"/>
        <v>0</v>
      </c>
      <c r="CL220" s="6">
        <f t="shared" si="286"/>
        <v>0</v>
      </c>
      <c r="CM220" s="6">
        <v>0</v>
      </c>
      <c r="CN220" s="6">
        <f t="shared" si="287"/>
        <v>0</v>
      </c>
      <c r="CO220" s="6">
        <f t="shared" si="288"/>
        <v>0</v>
      </c>
      <c r="CP220" s="6">
        <v>0</v>
      </c>
      <c r="CQ220" s="6">
        <f t="shared" si="289"/>
        <v>0</v>
      </c>
      <c r="CR220" s="6">
        <f t="shared" si="290"/>
        <v>0</v>
      </c>
      <c r="CS220" s="6">
        <v>0</v>
      </c>
      <c r="CT220" s="6">
        <f t="shared" si="291"/>
        <v>0</v>
      </c>
      <c r="CU220" s="6">
        <f t="shared" si="292"/>
        <v>0</v>
      </c>
      <c r="CV220" s="6">
        <v>0</v>
      </c>
      <c r="CW220" s="6">
        <f t="shared" si="293"/>
        <v>0</v>
      </c>
      <c r="CX220" s="6">
        <f t="shared" si="294"/>
        <v>0</v>
      </c>
      <c r="CY220" s="6">
        <v>0</v>
      </c>
      <c r="CZ220" s="6">
        <f t="shared" si="295"/>
        <v>0</v>
      </c>
      <c r="DA220" s="6">
        <f t="shared" si="296"/>
        <v>0</v>
      </c>
      <c r="DB220" s="6">
        <v>0</v>
      </c>
      <c r="DC220" s="6">
        <f t="shared" si="297"/>
        <v>0</v>
      </c>
      <c r="DD220" s="6">
        <f t="shared" si="298"/>
        <v>0</v>
      </c>
      <c r="DE220" s="6">
        <v>0</v>
      </c>
      <c r="DF220" s="6">
        <f t="shared" si="299"/>
        <v>0</v>
      </c>
      <c r="DG220" s="6">
        <f t="shared" si="300"/>
        <v>0</v>
      </c>
      <c r="DH220" s="6">
        <v>0</v>
      </c>
      <c r="DI220" s="6">
        <f t="shared" si="301"/>
        <v>0</v>
      </c>
      <c r="DJ220" s="6">
        <f t="shared" si="302"/>
        <v>0</v>
      </c>
      <c r="DK220" s="6">
        <v>0</v>
      </c>
      <c r="DL220" s="6">
        <f t="shared" si="303"/>
        <v>0</v>
      </c>
      <c r="DM220" s="6">
        <f t="shared" si="304"/>
        <v>0</v>
      </c>
      <c r="DN220" s="6">
        <v>0</v>
      </c>
      <c r="DO220" s="6">
        <f t="shared" si="305"/>
        <v>0</v>
      </c>
      <c r="DP220" s="6">
        <f t="shared" si="306"/>
        <v>0</v>
      </c>
    </row>
    <row r="221" spans="1:120" x14ac:dyDescent="0.2">
      <c r="A221" s="21">
        <v>73</v>
      </c>
      <c r="B221" s="21" t="s">
        <v>582</v>
      </c>
      <c r="C221" s="21">
        <v>73678</v>
      </c>
      <c r="D221" s="21" t="s">
        <v>742</v>
      </c>
      <c r="E221" s="21" t="s">
        <v>575</v>
      </c>
      <c r="F221" s="22" t="s">
        <v>666</v>
      </c>
      <c r="G221" s="4" t="s">
        <v>333</v>
      </c>
      <c r="H221" s="6">
        <v>56367.75</v>
      </c>
      <c r="I221" s="6">
        <f t="shared" si="310"/>
        <v>154.43219178082191</v>
      </c>
      <c r="J221" s="6">
        <v>78850.107799999998</v>
      </c>
      <c r="K221" s="6">
        <v>34500.94</v>
      </c>
      <c r="L221" s="6">
        <f t="shared" si="311"/>
        <v>94.264863387978153</v>
      </c>
      <c r="M221" s="6">
        <v>63195.021800000002</v>
      </c>
      <c r="N221" s="6">
        <v>28663.78</v>
      </c>
      <c r="O221" s="6">
        <f t="shared" si="312"/>
        <v>78.530904109589045</v>
      </c>
      <c r="P221" s="6">
        <v>47868.063600000001</v>
      </c>
      <c r="Q221" s="6">
        <v>5971.64</v>
      </c>
      <c r="R221" s="6">
        <f t="shared" si="313"/>
        <v>32.992486187845309</v>
      </c>
      <c r="S221" s="6">
        <v>36308.0792</v>
      </c>
      <c r="T221" s="6">
        <f t="shared" si="239"/>
        <v>36308.0792</v>
      </c>
      <c r="U221" s="6">
        <f t="shared" si="240"/>
        <v>99.474189589041103</v>
      </c>
      <c r="V221" s="6">
        <v>27655.192999999999</v>
      </c>
      <c r="W221" s="6">
        <f t="shared" si="241"/>
        <v>27655.192999999999</v>
      </c>
      <c r="X221" s="6">
        <f t="shared" si="242"/>
        <v>75.767652054794524</v>
      </c>
      <c r="Y221" s="6">
        <v>20981.4319</v>
      </c>
      <c r="Z221" s="6">
        <f t="shared" si="243"/>
        <v>20981.4319</v>
      </c>
      <c r="AA221" s="6">
        <f t="shared" si="244"/>
        <v>57.483375068493153</v>
      </c>
      <c r="AB221" s="6">
        <v>0</v>
      </c>
      <c r="AC221" s="6">
        <f t="shared" si="245"/>
        <v>0</v>
      </c>
      <c r="AD221" s="6">
        <f t="shared" si="246"/>
        <v>0</v>
      </c>
      <c r="AE221" s="6">
        <v>0</v>
      </c>
      <c r="AF221" s="6">
        <f t="shared" si="247"/>
        <v>0</v>
      </c>
      <c r="AG221" s="6">
        <f t="shared" si="248"/>
        <v>0</v>
      </c>
      <c r="AH221" s="6">
        <v>0</v>
      </c>
      <c r="AI221" s="6">
        <f t="shared" si="249"/>
        <v>0</v>
      </c>
      <c r="AJ221" s="6">
        <f t="shared" si="250"/>
        <v>0</v>
      </c>
      <c r="AK221" s="6">
        <v>0</v>
      </c>
      <c r="AL221" s="6">
        <f t="shared" si="251"/>
        <v>0</v>
      </c>
      <c r="AM221" s="6">
        <f t="shared" si="252"/>
        <v>0</v>
      </c>
      <c r="AN221" s="6">
        <v>0</v>
      </c>
      <c r="AO221" s="6">
        <f t="shared" si="253"/>
        <v>0</v>
      </c>
      <c r="AP221" s="6">
        <f t="shared" si="254"/>
        <v>0</v>
      </c>
      <c r="AQ221" s="6">
        <v>0</v>
      </c>
      <c r="AR221" s="6">
        <f t="shared" si="255"/>
        <v>0</v>
      </c>
      <c r="AS221" s="6">
        <f t="shared" si="256"/>
        <v>0</v>
      </c>
      <c r="AT221" s="6">
        <v>0</v>
      </c>
      <c r="AU221" s="6">
        <f t="shared" si="257"/>
        <v>0</v>
      </c>
      <c r="AV221" s="6">
        <f t="shared" si="258"/>
        <v>0</v>
      </c>
      <c r="AW221" s="6">
        <v>0</v>
      </c>
      <c r="AX221" s="6">
        <f t="shared" si="259"/>
        <v>0</v>
      </c>
      <c r="AY221" s="6">
        <f t="shared" si="260"/>
        <v>0</v>
      </c>
      <c r="AZ221" s="6">
        <v>0</v>
      </c>
      <c r="BA221" s="6">
        <f t="shared" si="261"/>
        <v>0</v>
      </c>
      <c r="BB221" s="6">
        <f t="shared" si="262"/>
        <v>0</v>
      </c>
      <c r="BC221" s="6">
        <v>0</v>
      </c>
      <c r="BD221" s="6">
        <f t="shared" si="263"/>
        <v>0</v>
      </c>
      <c r="BE221" s="6">
        <f t="shared" si="264"/>
        <v>0</v>
      </c>
      <c r="BF221" s="6">
        <v>0</v>
      </c>
      <c r="BG221" s="6">
        <f t="shared" si="265"/>
        <v>0</v>
      </c>
      <c r="BH221" s="6">
        <f t="shared" si="266"/>
        <v>0</v>
      </c>
      <c r="BI221" s="6">
        <v>0</v>
      </c>
      <c r="BJ221" s="6">
        <f t="shared" si="267"/>
        <v>0</v>
      </c>
      <c r="BK221" s="6">
        <f t="shared" si="268"/>
        <v>0</v>
      </c>
      <c r="BL221" s="6">
        <v>0</v>
      </c>
      <c r="BM221" s="6">
        <f t="shared" si="269"/>
        <v>0</v>
      </c>
      <c r="BN221" s="6">
        <f t="shared" si="270"/>
        <v>0</v>
      </c>
      <c r="BO221" s="6">
        <v>0</v>
      </c>
      <c r="BP221" s="6">
        <f t="shared" si="271"/>
        <v>0</v>
      </c>
      <c r="BQ221" s="6">
        <f t="shared" si="272"/>
        <v>0</v>
      </c>
      <c r="BR221" s="6">
        <v>0</v>
      </c>
      <c r="BS221" s="6">
        <f t="shared" si="273"/>
        <v>0</v>
      </c>
      <c r="BT221" s="6">
        <f t="shared" si="274"/>
        <v>0</v>
      </c>
      <c r="BU221" s="6">
        <v>0</v>
      </c>
      <c r="BV221" s="6">
        <f t="shared" si="275"/>
        <v>0</v>
      </c>
      <c r="BW221" s="6">
        <f t="shared" si="276"/>
        <v>0</v>
      </c>
      <c r="BX221" s="6">
        <v>0</v>
      </c>
      <c r="BY221" s="6">
        <f t="shared" si="277"/>
        <v>0</v>
      </c>
      <c r="BZ221" s="6">
        <f t="shared" si="278"/>
        <v>0</v>
      </c>
      <c r="CA221" s="6">
        <v>0</v>
      </c>
      <c r="CB221" s="6">
        <f t="shared" si="279"/>
        <v>0</v>
      </c>
      <c r="CC221" s="6">
        <f t="shared" si="280"/>
        <v>0</v>
      </c>
      <c r="CD221" s="6">
        <v>0</v>
      </c>
      <c r="CE221" s="6">
        <f t="shared" si="281"/>
        <v>0</v>
      </c>
      <c r="CF221" s="6">
        <f t="shared" si="282"/>
        <v>0</v>
      </c>
      <c r="CG221" s="6">
        <v>0</v>
      </c>
      <c r="CH221" s="6">
        <f t="shared" si="283"/>
        <v>0</v>
      </c>
      <c r="CI221" s="6">
        <f t="shared" si="284"/>
        <v>0</v>
      </c>
      <c r="CJ221" s="6">
        <v>0</v>
      </c>
      <c r="CK221" s="6">
        <f t="shared" si="285"/>
        <v>0</v>
      </c>
      <c r="CL221" s="6">
        <f t="shared" si="286"/>
        <v>0</v>
      </c>
      <c r="CM221" s="6">
        <v>0</v>
      </c>
      <c r="CN221" s="6">
        <f t="shared" si="287"/>
        <v>0</v>
      </c>
      <c r="CO221" s="6">
        <f t="shared" si="288"/>
        <v>0</v>
      </c>
      <c r="CP221" s="6">
        <v>0</v>
      </c>
      <c r="CQ221" s="6">
        <f t="shared" si="289"/>
        <v>0</v>
      </c>
      <c r="CR221" s="6">
        <f t="shared" si="290"/>
        <v>0</v>
      </c>
      <c r="CS221" s="6">
        <v>0</v>
      </c>
      <c r="CT221" s="6">
        <f t="shared" si="291"/>
        <v>0</v>
      </c>
      <c r="CU221" s="6">
        <f t="shared" si="292"/>
        <v>0</v>
      </c>
      <c r="CV221" s="6">
        <v>0</v>
      </c>
      <c r="CW221" s="6">
        <f t="shared" si="293"/>
        <v>0</v>
      </c>
      <c r="CX221" s="6">
        <f t="shared" si="294"/>
        <v>0</v>
      </c>
      <c r="CY221" s="6">
        <v>0</v>
      </c>
      <c r="CZ221" s="6">
        <f t="shared" si="295"/>
        <v>0</v>
      </c>
      <c r="DA221" s="6">
        <f t="shared" si="296"/>
        <v>0</v>
      </c>
      <c r="DB221" s="6">
        <v>0</v>
      </c>
      <c r="DC221" s="6">
        <f t="shared" si="297"/>
        <v>0</v>
      </c>
      <c r="DD221" s="6">
        <f t="shared" si="298"/>
        <v>0</v>
      </c>
      <c r="DE221" s="6">
        <v>0</v>
      </c>
      <c r="DF221" s="6">
        <f t="shared" si="299"/>
        <v>0</v>
      </c>
      <c r="DG221" s="6">
        <f t="shared" si="300"/>
        <v>0</v>
      </c>
      <c r="DH221" s="6">
        <v>0</v>
      </c>
      <c r="DI221" s="6">
        <f t="shared" si="301"/>
        <v>0</v>
      </c>
      <c r="DJ221" s="6">
        <f t="shared" si="302"/>
        <v>0</v>
      </c>
      <c r="DK221" s="6">
        <v>0</v>
      </c>
      <c r="DL221" s="6">
        <f t="shared" si="303"/>
        <v>0</v>
      </c>
      <c r="DM221" s="6">
        <f t="shared" si="304"/>
        <v>0</v>
      </c>
      <c r="DN221" s="6">
        <v>0</v>
      </c>
      <c r="DO221" s="6">
        <f t="shared" si="305"/>
        <v>0</v>
      </c>
      <c r="DP221" s="6">
        <f t="shared" si="306"/>
        <v>0</v>
      </c>
    </row>
    <row r="222" spans="1:120" x14ac:dyDescent="0.2">
      <c r="A222" s="21">
        <v>50</v>
      </c>
      <c r="B222" s="21" t="s">
        <v>675</v>
      </c>
      <c r="C222" s="21">
        <v>50006</v>
      </c>
      <c r="D222" s="21" t="s">
        <v>676</v>
      </c>
      <c r="E222" s="21" t="s">
        <v>522</v>
      </c>
      <c r="F222" s="22" t="s">
        <v>666</v>
      </c>
      <c r="G222" s="4" t="s">
        <v>334</v>
      </c>
      <c r="H222" s="6">
        <v>112097.65</v>
      </c>
      <c r="I222" s="6">
        <f t="shared" si="310"/>
        <v>307.11684931506846</v>
      </c>
      <c r="J222" s="6">
        <v>148670.69</v>
      </c>
      <c r="K222" s="6">
        <v>247855.73</v>
      </c>
      <c r="L222" s="6">
        <f t="shared" si="311"/>
        <v>677.20144808743169</v>
      </c>
      <c r="M222" s="6">
        <v>7496.9</v>
      </c>
      <c r="N222" s="6">
        <v>227768.85</v>
      </c>
      <c r="O222" s="6">
        <f t="shared" si="312"/>
        <v>624.02424657534243</v>
      </c>
      <c r="P222" s="6">
        <v>0</v>
      </c>
      <c r="Q222" s="6">
        <v>135996.17000000001</v>
      </c>
      <c r="R222" s="6">
        <f t="shared" si="313"/>
        <v>751.36005524861889</v>
      </c>
      <c r="S222" s="6">
        <v>0</v>
      </c>
      <c r="T222" s="6">
        <f t="shared" si="239"/>
        <v>0</v>
      </c>
      <c r="U222" s="6">
        <f t="shared" si="240"/>
        <v>0</v>
      </c>
      <c r="V222" s="6">
        <v>0</v>
      </c>
      <c r="W222" s="6">
        <f t="shared" si="241"/>
        <v>0</v>
      </c>
      <c r="X222" s="6">
        <f t="shared" si="242"/>
        <v>0</v>
      </c>
      <c r="Y222" s="6">
        <v>0</v>
      </c>
      <c r="Z222" s="6">
        <f t="shared" si="243"/>
        <v>0</v>
      </c>
      <c r="AA222" s="6">
        <f t="shared" si="244"/>
        <v>0</v>
      </c>
      <c r="AB222" s="6">
        <v>0</v>
      </c>
      <c r="AC222" s="6">
        <f t="shared" si="245"/>
        <v>0</v>
      </c>
      <c r="AD222" s="6">
        <f t="shared" si="246"/>
        <v>0</v>
      </c>
      <c r="AE222" s="6">
        <v>0</v>
      </c>
      <c r="AF222" s="6">
        <f t="shared" si="247"/>
        <v>0</v>
      </c>
      <c r="AG222" s="6">
        <f t="shared" si="248"/>
        <v>0</v>
      </c>
      <c r="AH222" s="6">
        <v>0</v>
      </c>
      <c r="AI222" s="6">
        <f t="shared" si="249"/>
        <v>0</v>
      </c>
      <c r="AJ222" s="6">
        <f t="shared" si="250"/>
        <v>0</v>
      </c>
      <c r="AK222" s="6">
        <v>0</v>
      </c>
      <c r="AL222" s="6">
        <f t="shared" si="251"/>
        <v>0</v>
      </c>
      <c r="AM222" s="6">
        <f t="shared" si="252"/>
        <v>0</v>
      </c>
      <c r="AN222" s="6">
        <v>0</v>
      </c>
      <c r="AO222" s="6">
        <f t="shared" si="253"/>
        <v>0</v>
      </c>
      <c r="AP222" s="6">
        <f t="shared" si="254"/>
        <v>0</v>
      </c>
      <c r="AQ222" s="6">
        <v>0</v>
      </c>
      <c r="AR222" s="6">
        <f t="shared" si="255"/>
        <v>0</v>
      </c>
      <c r="AS222" s="6">
        <f t="shared" si="256"/>
        <v>0</v>
      </c>
      <c r="AT222" s="6">
        <v>0</v>
      </c>
      <c r="AU222" s="6">
        <f t="shared" si="257"/>
        <v>0</v>
      </c>
      <c r="AV222" s="6">
        <f t="shared" si="258"/>
        <v>0</v>
      </c>
      <c r="AW222" s="6">
        <v>0</v>
      </c>
      <c r="AX222" s="6">
        <f t="shared" si="259"/>
        <v>0</v>
      </c>
      <c r="AY222" s="6">
        <f t="shared" si="260"/>
        <v>0</v>
      </c>
      <c r="AZ222" s="6">
        <v>0</v>
      </c>
      <c r="BA222" s="6">
        <f t="shared" si="261"/>
        <v>0</v>
      </c>
      <c r="BB222" s="6">
        <f t="shared" si="262"/>
        <v>0</v>
      </c>
      <c r="BC222" s="6">
        <v>0</v>
      </c>
      <c r="BD222" s="6">
        <f t="shared" si="263"/>
        <v>0</v>
      </c>
      <c r="BE222" s="6">
        <f t="shared" si="264"/>
        <v>0</v>
      </c>
      <c r="BF222" s="6">
        <v>0</v>
      </c>
      <c r="BG222" s="6">
        <f t="shared" si="265"/>
        <v>0</v>
      </c>
      <c r="BH222" s="6">
        <f t="shared" si="266"/>
        <v>0</v>
      </c>
      <c r="BI222" s="6">
        <v>0</v>
      </c>
      <c r="BJ222" s="6">
        <f t="shared" si="267"/>
        <v>0</v>
      </c>
      <c r="BK222" s="6">
        <f t="shared" si="268"/>
        <v>0</v>
      </c>
      <c r="BL222" s="6">
        <v>0</v>
      </c>
      <c r="BM222" s="6">
        <f t="shared" si="269"/>
        <v>0</v>
      </c>
      <c r="BN222" s="6">
        <f t="shared" si="270"/>
        <v>0</v>
      </c>
      <c r="BO222" s="6">
        <v>0</v>
      </c>
      <c r="BP222" s="6">
        <f t="shared" si="271"/>
        <v>0</v>
      </c>
      <c r="BQ222" s="6">
        <f t="shared" si="272"/>
        <v>0</v>
      </c>
      <c r="BR222" s="6">
        <v>0</v>
      </c>
      <c r="BS222" s="6">
        <f t="shared" si="273"/>
        <v>0</v>
      </c>
      <c r="BT222" s="6">
        <f t="shared" si="274"/>
        <v>0</v>
      </c>
      <c r="BU222" s="6">
        <v>0</v>
      </c>
      <c r="BV222" s="6">
        <f t="shared" si="275"/>
        <v>0</v>
      </c>
      <c r="BW222" s="6">
        <f t="shared" si="276"/>
        <v>0</v>
      </c>
      <c r="BX222" s="6">
        <v>0</v>
      </c>
      <c r="BY222" s="6">
        <f t="shared" si="277"/>
        <v>0</v>
      </c>
      <c r="BZ222" s="6">
        <f t="shared" si="278"/>
        <v>0</v>
      </c>
      <c r="CA222" s="6">
        <v>0</v>
      </c>
      <c r="CB222" s="6">
        <f t="shared" si="279"/>
        <v>0</v>
      </c>
      <c r="CC222" s="6">
        <f t="shared" si="280"/>
        <v>0</v>
      </c>
      <c r="CD222" s="6">
        <v>0</v>
      </c>
      <c r="CE222" s="6">
        <f t="shared" si="281"/>
        <v>0</v>
      </c>
      <c r="CF222" s="6">
        <f t="shared" si="282"/>
        <v>0</v>
      </c>
      <c r="CG222" s="6">
        <v>0</v>
      </c>
      <c r="CH222" s="6">
        <f t="shared" si="283"/>
        <v>0</v>
      </c>
      <c r="CI222" s="6">
        <f t="shared" si="284"/>
        <v>0</v>
      </c>
      <c r="CJ222" s="6">
        <v>0</v>
      </c>
      <c r="CK222" s="6">
        <f t="shared" si="285"/>
        <v>0</v>
      </c>
      <c r="CL222" s="6">
        <f t="shared" si="286"/>
        <v>0</v>
      </c>
      <c r="CM222" s="6">
        <v>0</v>
      </c>
      <c r="CN222" s="6">
        <f t="shared" si="287"/>
        <v>0</v>
      </c>
      <c r="CO222" s="6">
        <f t="shared" si="288"/>
        <v>0</v>
      </c>
      <c r="CP222" s="6">
        <v>0</v>
      </c>
      <c r="CQ222" s="6">
        <f t="shared" si="289"/>
        <v>0</v>
      </c>
      <c r="CR222" s="6">
        <f t="shared" si="290"/>
        <v>0</v>
      </c>
      <c r="CS222" s="6">
        <v>0</v>
      </c>
      <c r="CT222" s="6">
        <f t="shared" si="291"/>
        <v>0</v>
      </c>
      <c r="CU222" s="6">
        <f t="shared" si="292"/>
        <v>0</v>
      </c>
      <c r="CV222" s="6">
        <v>0</v>
      </c>
      <c r="CW222" s="6">
        <f t="shared" si="293"/>
        <v>0</v>
      </c>
      <c r="CX222" s="6">
        <f t="shared" si="294"/>
        <v>0</v>
      </c>
      <c r="CY222" s="6">
        <v>0</v>
      </c>
      <c r="CZ222" s="6">
        <f t="shared" si="295"/>
        <v>0</v>
      </c>
      <c r="DA222" s="6">
        <f t="shared" si="296"/>
        <v>0</v>
      </c>
      <c r="DB222" s="6">
        <v>0</v>
      </c>
      <c r="DC222" s="6">
        <f t="shared" si="297"/>
        <v>0</v>
      </c>
      <c r="DD222" s="6">
        <f t="shared" si="298"/>
        <v>0</v>
      </c>
      <c r="DE222" s="6">
        <v>0</v>
      </c>
      <c r="DF222" s="6">
        <f t="shared" si="299"/>
        <v>0</v>
      </c>
      <c r="DG222" s="6">
        <f t="shared" si="300"/>
        <v>0</v>
      </c>
      <c r="DH222" s="6">
        <v>0</v>
      </c>
      <c r="DI222" s="6">
        <f t="shared" si="301"/>
        <v>0</v>
      </c>
      <c r="DJ222" s="6">
        <f t="shared" si="302"/>
        <v>0</v>
      </c>
      <c r="DK222" s="6">
        <v>0</v>
      </c>
      <c r="DL222" s="6">
        <f t="shared" si="303"/>
        <v>0</v>
      </c>
      <c r="DM222" s="6">
        <f t="shared" si="304"/>
        <v>0</v>
      </c>
      <c r="DN222" s="6">
        <v>0</v>
      </c>
      <c r="DO222" s="6">
        <f t="shared" si="305"/>
        <v>0</v>
      </c>
      <c r="DP222" s="6">
        <f t="shared" si="306"/>
        <v>0</v>
      </c>
    </row>
    <row r="223" spans="1:120" x14ac:dyDescent="0.2">
      <c r="A223" s="21">
        <v>15</v>
      </c>
      <c r="B223" s="21" t="s">
        <v>660</v>
      </c>
      <c r="C223" s="21">
        <v>15572</v>
      </c>
      <c r="D223" s="21" t="s">
        <v>661</v>
      </c>
      <c r="E223" s="21" t="s">
        <v>522</v>
      </c>
      <c r="F223" s="22" t="s">
        <v>666</v>
      </c>
      <c r="G223" s="4" t="s">
        <v>335</v>
      </c>
      <c r="H223" s="6">
        <v>2769519.08</v>
      </c>
      <c r="I223" s="6">
        <f t="shared" si="310"/>
        <v>7587.7235068493155</v>
      </c>
      <c r="J223" s="6">
        <v>2767943.1263000001</v>
      </c>
      <c r="K223" s="6">
        <v>2877591.41</v>
      </c>
      <c r="L223" s="6">
        <f t="shared" si="311"/>
        <v>7862.2716120218583</v>
      </c>
      <c r="M223" s="6">
        <v>2468348.8354000002</v>
      </c>
      <c r="N223" s="6">
        <v>2729617.33</v>
      </c>
      <c r="O223" s="6">
        <f t="shared" si="312"/>
        <v>7478.403643835617</v>
      </c>
      <c r="P223" s="6">
        <v>2250787.5084000002</v>
      </c>
      <c r="Q223" s="6">
        <v>1296484.47</v>
      </c>
      <c r="R223" s="6">
        <f t="shared" si="313"/>
        <v>7162.8976243093921</v>
      </c>
      <c r="S223" s="6">
        <v>2029890.2334</v>
      </c>
      <c r="T223" s="6">
        <f t="shared" si="239"/>
        <v>2029890.2334</v>
      </c>
      <c r="U223" s="6">
        <f t="shared" si="240"/>
        <v>5561.3431052054793</v>
      </c>
      <c r="V223" s="6">
        <v>1819377.4273000001</v>
      </c>
      <c r="W223" s="6">
        <f t="shared" si="241"/>
        <v>1819377.4273000001</v>
      </c>
      <c r="X223" s="6">
        <f t="shared" si="242"/>
        <v>4984.5956912328766</v>
      </c>
      <c r="Y223" s="6">
        <v>1598884.6673000001</v>
      </c>
      <c r="Z223" s="6">
        <f t="shared" si="243"/>
        <v>1598884.6673000001</v>
      </c>
      <c r="AA223" s="6">
        <f t="shared" si="244"/>
        <v>4380.5059378082196</v>
      </c>
      <c r="AB223" s="6">
        <v>1409652.2871000001</v>
      </c>
      <c r="AC223" s="6">
        <f t="shared" si="245"/>
        <v>1409652.2871000001</v>
      </c>
      <c r="AD223" s="6">
        <f t="shared" si="246"/>
        <v>3862.0610605479455</v>
      </c>
      <c r="AE223" s="6">
        <v>1244819.4005</v>
      </c>
      <c r="AF223" s="6">
        <f t="shared" si="247"/>
        <v>1244819.4005</v>
      </c>
      <c r="AG223" s="6">
        <f t="shared" si="248"/>
        <v>3410.4641109589043</v>
      </c>
      <c r="AH223" s="6">
        <v>1103970.6516</v>
      </c>
      <c r="AI223" s="6">
        <f t="shared" si="249"/>
        <v>1103970.6516</v>
      </c>
      <c r="AJ223" s="6">
        <f t="shared" si="250"/>
        <v>3024.577127671233</v>
      </c>
      <c r="AK223" s="6">
        <v>975684.80539999995</v>
      </c>
      <c r="AL223" s="6">
        <f t="shared" si="251"/>
        <v>975684.80539999995</v>
      </c>
      <c r="AM223" s="6">
        <f t="shared" si="252"/>
        <v>2673.1090558904107</v>
      </c>
      <c r="AN223" s="6">
        <v>866064.08849999995</v>
      </c>
      <c r="AO223" s="6">
        <f t="shared" si="253"/>
        <v>866064.08849999995</v>
      </c>
      <c r="AP223" s="6">
        <f t="shared" si="254"/>
        <v>2372.7783246575341</v>
      </c>
      <c r="AQ223" s="6">
        <v>769587.34310000006</v>
      </c>
      <c r="AR223" s="6">
        <f t="shared" si="255"/>
        <v>769587.34310000006</v>
      </c>
      <c r="AS223" s="6">
        <f t="shared" si="256"/>
        <v>2108.4584742465754</v>
      </c>
      <c r="AT223" s="6">
        <v>686516.52359999996</v>
      </c>
      <c r="AU223" s="6">
        <f t="shared" si="257"/>
        <v>686516.52359999996</v>
      </c>
      <c r="AV223" s="6">
        <f t="shared" si="258"/>
        <v>1880.8671879452054</v>
      </c>
      <c r="AW223" s="6">
        <v>605363.13589999999</v>
      </c>
      <c r="AX223" s="6">
        <f t="shared" si="259"/>
        <v>605363.13589999999</v>
      </c>
      <c r="AY223" s="6">
        <f t="shared" si="260"/>
        <v>1658.5291394520548</v>
      </c>
      <c r="AZ223" s="6">
        <v>537997.89939999999</v>
      </c>
      <c r="BA223" s="6">
        <f t="shared" si="261"/>
        <v>537997.89939999999</v>
      </c>
      <c r="BB223" s="6">
        <f t="shared" si="262"/>
        <v>1473.9668476712329</v>
      </c>
      <c r="BC223" s="6">
        <v>480247.44099999999</v>
      </c>
      <c r="BD223" s="6">
        <f t="shared" si="263"/>
        <v>480247.44099999999</v>
      </c>
      <c r="BE223" s="6">
        <f t="shared" si="264"/>
        <v>1315.74641369863</v>
      </c>
      <c r="BF223" s="6">
        <v>429674.11719999998</v>
      </c>
      <c r="BG223" s="6">
        <f t="shared" si="265"/>
        <v>429674.11719999998</v>
      </c>
      <c r="BH223" s="6">
        <f t="shared" si="266"/>
        <v>1177.1893621917807</v>
      </c>
      <c r="BI223" s="6">
        <v>383777.66009999998</v>
      </c>
      <c r="BJ223" s="6">
        <f t="shared" si="267"/>
        <v>383777.66009999998</v>
      </c>
      <c r="BK223" s="6">
        <f t="shared" si="268"/>
        <v>1051.445644109589</v>
      </c>
      <c r="BL223" s="6">
        <v>341502.67290000001</v>
      </c>
      <c r="BM223" s="6">
        <f t="shared" si="269"/>
        <v>341502.67290000001</v>
      </c>
      <c r="BN223" s="6">
        <f t="shared" si="270"/>
        <v>935.62376136986302</v>
      </c>
      <c r="BO223" s="6">
        <v>305124.3873</v>
      </c>
      <c r="BP223" s="6">
        <f t="shared" si="271"/>
        <v>305124.3873</v>
      </c>
      <c r="BQ223" s="6">
        <f t="shared" si="272"/>
        <v>835.95722547945206</v>
      </c>
      <c r="BR223" s="6">
        <v>272930.10470000003</v>
      </c>
      <c r="BS223" s="6">
        <f t="shared" si="273"/>
        <v>272930.10470000003</v>
      </c>
      <c r="BT223" s="6">
        <f t="shared" si="274"/>
        <v>747.75371150684941</v>
      </c>
      <c r="BU223" s="6">
        <v>244446.26010000001</v>
      </c>
      <c r="BV223" s="6">
        <f t="shared" si="275"/>
        <v>244446.26010000001</v>
      </c>
      <c r="BW223" s="6">
        <f t="shared" si="276"/>
        <v>669.71578109589041</v>
      </c>
      <c r="BX223" s="6">
        <v>214250.7107</v>
      </c>
      <c r="BY223" s="6">
        <f t="shared" si="277"/>
        <v>214250.7107</v>
      </c>
      <c r="BZ223" s="6">
        <f t="shared" si="278"/>
        <v>586.98824849315065</v>
      </c>
      <c r="CA223" s="6">
        <v>182305.5048</v>
      </c>
      <c r="CB223" s="6">
        <f t="shared" si="279"/>
        <v>182305.5048</v>
      </c>
      <c r="CC223" s="6">
        <f t="shared" si="280"/>
        <v>499.46713643835614</v>
      </c>
      <c r="CD223" s="6">
        <v>161966.34349999999</v>
      </c>
      <c r="CE223" s="6">
        <f t="shared" si="281"/>
        <v>161966.34349999999</v>
      </c>
      <c r="CF223" s="6">
        <f t="shared" si="282"/>
        <v>443.74340684931502</v>
      </c>
      <c r="CG223" s="6">
        <v>0</v>
      </c>
      <c r="CH223" s="6">
        <f t="shared" si="283"/>
        <v>0</v>
      </c>
      <c r="CI223" s="6">
        <f t="shared" si="284"/>
        <v>0</v>
      </c>
      <c r="CJ223" s="6">
        <v>0</v>
      </c>
      <c r="CK223" s="6">
        <f t="shared" si="285"/>
        <v>0</v>
      </c>
      <c r="CL223" s="6">
        <f t="shared" si="286"/>
        <v>0</v>
      </c>
      <c r="CM223" s="6">
        <v>0</v>
      </c>
      <c r="CN223" s="6">
        <f t="shared" si="287"/>
        <v>0</v>
      </c>
      <c r="CO223" s="6">
        <f t="shared" si="288"/>
        <v>0</v>
      </c>
      <c r="CP223" s="6">
        <v>0</v>
      </c>
      <c r="CQ223" s="6">
        <f t="shared" si="289"/>
        <v>0</v>
      </c>
      <c r="CR223" s="6">
        <f t="shared" si="290"/>
        <v>0</v>
      </c>
      <c r="CS223" s="6">
        <v>0</v>
      </c>
      <c r="CT223" s="6">
        <f t="shared" si="291"/>
        <v>0</v>
      </c>
      <c r="CU223" s="6">
        <f t="shared" si="292"/>
        <v>0</v>
      </c>
      <c r="CV223" s="6">
        <v>0</v>
      </c>
      <c r="CW223" s="6">
        <f t="shared" si="293"/>
        <v>0</v>
      </c>
      <c r="CX223" s="6">
        <f t="shared" si="294"/>
        <v>0</v>
      </c>
      <c r="CY223" s="6">
        <v>0</v>
      </c>
      <c r="CZ223" s="6">
        <f t="shared" si="295"/>
        <v>0</v>
      </c>
      <c r="DA223" s="6">
        <f t="shared" si="296"/>
        <v>0</v>
      </c>
      <c r="DB223" s="6">
        <v>0</v>
      </c>
      <c r="DC223" s="6">
        <f t="shared" si="297"/>
        <v>0</v>
      </c>
      <c r="DD223" s="6">
        <f t="shared" si="298"/>
        <v>0</v>
      </c>
      <c r="DE223" s="6">
        <v>0</v>
      </c>
      <c r="DF223" s="6">
        <f t="shared" si="299"/>
        <v>0</v>
      </c>
      <c r="DG223" s="6">
        <f t="shared" si="300"/>
        <v>0</v>
      </c>
      <c r="DH223" s="6">
        <v>0</v>
      </c>
      <c r="DI223" s="6">
        <f t="shared" si="301"/>
        <v>0</v>
      </c>
      <c r="DJ223" s="6">
        <f t="shared" si="302"/>
        <v>0</v>
      </c>
      <c r="DK223" s="6">
        <v>0</v>
      </c>
      <c r="DL223" s="6">
        <f t="shared" si="303"/>
        <v>0</v>
      </c>
      <c r="DM223" s="6">
        <f t="shared" si="304"/>
        <v>0</v>
      </c>
      <c r="DN223" s="6">
        <v>0</v>
      </c>
      <c r="DO223" s="6">
        <f t="shared" si="305"/>
        <v>0</v>
      </c>
      <c r="DP223" s="6">
        <f t="shared" si="306"/>
        <v>0</v>
      </c>
    </row>
    <row r="224" spans="1:120" x14ac:dyDescent="0.2">
      <c r="A224" s="21">
        <v>41</v>
      </c>
      <c r="B224" s="21" t="s">
        <v>687</v>
      </c>
      <c r="C224" s="21">
        <v>41524</v>
      </c>
      <c r="D224" s="21" t="s">
        <v>536</v>
      </c>
      <c r="E224" s="21" t="s">
        <v>522</v>
      </c>
      <c r="F224" s="22" t="s">
        <v>666</v>
      </c>
      <c r="G224" s="4" t="s">
        <v>336</v>
      </c>
      <c r="H224" s="6">
        <v>183116.08</v>
      </c>
      <c r="I224" s="6">
        <f t="shared" si="310"/>
        <v>501.68789041095886</v>
      </c>
      <c r="J224" s="6">
        <v>185357</v>
      </c>
      <c r="K224" s="6">
        <v>179413.59</v>
      </c>
      <c r="L224" s="6">
        <f t="shared" si="311"/>
        <v>490.20106557377051</v>
      </c>
      <c r="M224" s="6">
        <v>155648</v>
      </c>
      <c r="N224" s="6">
        <v>163034.70000000001</v>
      </c>
      <c r="O224" s="6">
        <f t="shared" si="312"/>
        <v>446.67041095890414</v>
      </c>
      <c r="P224" s="6">
        <v>131583</v>
      </c>
      <c r="Q224" s="6">
        <v>90771.14</v>
      </c>
      <c r="R224" s="6">
        <f t="shared" si="313"/>
        <v>501.49801104972374</v>
      </c>
      <c r="S224" s="6">
        <v>111356</v>
      </c>
      <c r="T224" s="6">
        <f t="shared" si="239"/>
        <v>111356</v>
      </c>
      <c r="U224" s="6">
        <f t="shared" si="240"/>
        <v>305.08493150684933</v>
      </c>
      <c r="V224" s="6">
        <v>94967</v>
      </c>
      <c r="W224" s="6">
        <f t="shared" si="241"/>
        <v>94967</v>
      </c>
      <c r="X224" s="6">
        <f t="shared" si="242"/>
        <v>260.18356164383562</v>
      </c>
      <c r="Y224" s="6">
        <v>80814</v>
      </c>
      <c r="Z224" s="6">
        <f t="shared" si="243"/>
        <v>80814</v>
      </c>
      <c r="AA224" s="6">
        <f t="shared" si="244"/>
        <v>221.40821917808219</v>
      </c>
      <c r="AB224" s="6">
        <v>68829</v>
      </c>
      <c r="AC224" s="6">
        <f t="shared" si="245"/>
        <v>68829</v>
      </c>
      <c r="AD224" s="6">
        <f t="shared" si="246"/>
        <v>188.57260273972602</v>
      </c>
      <c r="AE224" s="6">
        <v>59019</v>
      </c>
      <c r="AF224" s="6">
        <f t="shared" si="247"/>
        <v>59019</v>
      </c>
      <c r="AG224" s="6">
        <f t="shared" si="248"/>
        <v>161.6958904109589</v>
      </c>
      <c r="AH224" s="6">
        <v>0</v>
      </c>
      <c r="AI224" s="6">
        <f t="shared" si="249"/>
        <v>0</v>
      </c>
      <c r="AJ224" s="6">
        <f t="shared" si="250"/>
        <v>0</v>
      </c>
      <c r="AK224" s="6">
        <v>0</v>
      </c>
      <c r="AL224" s="6">
        <f t="shared" si="251"/>
        <v>0</v>
      </c>
      <c r="AM224" s="6">
        <f t="shared" si="252"/>
        <v>0</v>
      </c>
      <c r="AN224" s="6">
        <v>0</v>
      </c>
      <c r="AO224" s="6">
        <f t="shared" si="253"/>
        <v>0</v>
      </c>
      <c r="AP224" s="6">
        <f t="shared" si="254"/>
        <v>0</v>
      </c>
      <c r="AQ224" s="6">
        <v>0</v>
      </c>
      <c r="AR224" s="6">
        <f t="shared" si="255"/>
        <v>0</v>
      </c>
      <c r="AS224" s="6">
        <f t="shared" si="256"/>
        <v>0</v>
      </c>
      <c r="AT224" s="6">
        <v>0</v>
      </c>
      <c r="AU224" s="6">
        <f t="shared" si="257"/>
        <v>0</v>
      </c>
      <c r="AV224" s="6">
        <f t="shared" si="258"/>
        <v>0</v>
      </c>
      <c r="AW224" s="6">
        <v>0</v>
      </c>
      <c r="AX224" s="6">
        <f t="shared" si="259"/>
        <v>0</v>
      </c>
      <c r="AY224" s="6">
        <f t="shared" si="260"/>
        <v>0</v>
      </c>
      <c r="AZ224" s="6">
        <v>0</v>
      </c>
      <c r="BA224" s="6">
        <f t="shared" si="261"/>
        <v>0</v>
      </c>
      <c r="BB224" s="6">
        <f t="shared" si="262"/>
        <v>0</v>
      </c>
      <c r="BC224" s="6">
        <v>0</v>
      </c>
      <c r="BD224" s="6">
        <f t="shared" si="263"/>
        <v>0</v>
      </c>
      <c r="BE224" s="6">
        <f t="shared" si="264"/>
        <v>0</v>
      </c>
      <c r="BF224" s="6">
        <v>0</v>
      </c>
      <c r="BG224" s="6">
        <f t="shared" si="265"/>
        <v>0</v>
      </c>
      <c r="BH224" s="6">
        <f t="shared" si="266"/>
        <v>0</v>
      </c>
      <c r="BI224" s="6">
        <v>0</v>
      </c>
      <c r="BJ224" s="6">
        <f t="shared" si="267"/>
        <v>0</v>
      </c>
      <c r="BK224" s="6">
        <f t="shared" si="268"/>
        <v>0</v>
      </c>
      <c r="BL224" s="6">
        <v>0</v>
      </c>
      <c r="BM224" s="6">
        <f t="shared" si="269"/>
        <v>0</v>
      </c>
      <c r="BN224" s="6">
        <f t="shared" si="270"/>
        <v>0</v>
      </c>
      <c r="BO224" s="6">
        <v>0</v>
      </c>
      <c r="BP224" s="6">
        <f t="shared" si="271"/>
        <v>0</v>
      </c>
      <c r="BQ224" s="6">
        <f t="shared" si="272"/>
        <v>0</v>
      </c>
      <c r="BR224" s="6">
        <v>0</v>
      </c>
      <c r="BS224" s="6">
        <f t="shared" si="273"/>
        <v>0</v>
      </c>
      <c r="BT224" s="6">
        <f t="shared" si="274"/>
        <v>0</v>
      </c>
      <c r="BU224" s="6">
        <v>0</v>
      </c>
      <c r="BV224" s="6">
        <f t="shared" si="275"/>
        <v>0</v>
      </c>
      <c r="BW224" s="6">
        <f t="shared" si="276"/>
        <v>0</v>
      </c>
      <c r="BX224" s="6">
        <v>0</v>
      </c>
      <c r="BY224" s="6">
        <f t="shared" si="277"/>
        <v>0</v>
      </c>
      <c r="BZ224" s="6">
        <f t="shared" si="278"/>
        <v>0</v>
      </c>
      <c r="CA224" s="6">
        <v>0</v>
      </c>
      <c r="CB224" s="6">
        <f t="shared" si="279"/>
        <v>0</v>
      </c>
      <c r="CC224" s="6">
        <f t="shared" si="280"/>
        <v>0</v>
      </c>
      <c r="CD224" s="6">
        <v>0</v>
      </c>
      <c r="CE224" s="6">
        <f t="shared" si="281"/>
        <v>0</v>
      </c>
      <c r="CF224" s="6">
        <f t="shared" si="282"/>
        <v>0</v>
      </c>
      <c r="CG224" s="6">
        <v>0</v>
      </c>
      <c r="CH224" s="6">
        <f t="shared" si="283"/>
        <v>0</v>
      </c>
      <c r="CI224" s="6">
        <f t="shared" si="284"/>
        <v>0</v>
      </c>
      <c r="CJ224" s="6">
        <v>0</v>
      </c>
      <c r="CK224" s="6">
        <f t="shared" si="285"/>
        <v>0</v>
      </c>
      <c r="CL224" s="6">
        <f t="shared" si="286"/>
        <v>0</v>
      </c>
      <c r="CM224" s="6">
        <v>0</v>
      </c>
      <c r="CN224" s="6">
        <f t="shared" si="287"/>
        <v>0</v>
      </c>
      <c r="CO224" s="6">
        <f t="shared" si="288"/>
        <v>0</v>
      </c>
      <c r="CP224" s="6">
        <v>0</v>
      </c>
      <c r="CQ224" s="6">
        <f t="shared" si="289"/>
        <v>0</v>
      </c>
      <c r="CR224" s="6">
        <f t="shared" si="290"/>
        <v>0</v>
      </c>
      <c r="CS224" s="6">
        <v>0</v>
      </c>
      <c r="CT224" s="6">
        <f t="shared" si="291"/>
        <v>0</v>
      </c>
      <c r="CU224" s="6">
        <f t="shared" si="292"/>
        <v>0</v>
      </c>
      <c r="CV224" s="6">
        <v>0</v>
      </c>
      <c r="CW224" s="6">
        <f t="shared" si="293"/>
        <v>0</v>
      </c>
      <c r="CX224" s="6">
        <f t="shared" si="294"/>
        <v>0</v>
      </c>
      <c r="CY224" s="6">
        <v>0</v>
      </c>
      <c r="CZ224" s="6">
        <f t="shared" si="295"/>
        <v>0</v>
      </c>
      <c r="DA224" s="6">
        <f t="shared" si="296"/>
        <v>0</v>
      </c>
      <c r="DB224" s="6">
        <v>0</v>
      </c>
      <c r="DC224" s="6">
        <f t="shared" si="297"/>
        <v>0</v>
      </c>
      <c r="DD224" s="6">
        <f t="shared" si="298"/>
        <v>0</v>
      </c>
      <c r="DE224" s="6">
        <v>0</v>
      </c>
      <c r="DF224" s="6">
        <f t="shared" si="299"/>
        <v>0</v>
      </c>
      <c r="DG224" s="6">
        <f t="shared" si="300"/>
        <v>0</v>
      </c>
      <c r="DH224" s="6">
        <v>0</v>
      </c>
      <c r="DI224" s="6">
        <f t="shared" si="301"/>
        <v>0</v>
      </c>
      <c r="DJ224" s="6">
        <f t="shared" si="302"/>
        <v>0</v>
      </c>
      <c r="DK224" s="6">
        <v>0</v>
      </c>
      <c r="DL224" s="6">
        <f t="shared" si="303"/>
        <v>0</v>
      </c>
      <c r="DM224" s="6">
        <f t="shared" si="304"/>
        <v>0</v>
      </c>
      <c r="DN224" s="6">
        <v>0</v>
      </c>
      <c r="DO224" s="6">
        <f t="shared" si="305"/>
        <v>0</v>
      </c>
      <c r="DP224" s="6">
        <f t="shared" si="306"/>
        <v>0</v>
      </c>
    </row>
    <row r="225" spans="1:120" x14ac:dyDescent="0.2">
      <c r="A225" s="21">
        <v>85</v>
      </c>
      <c r="B225" s="21" t="s">
        <v>612</v>
      </c>
      <c r="C225" s="21">
        <v>85430</v>
      </c>
      <c r="D225" s="21" t="s">
        <v>672</v>
      </c>
      <c r="E225" s="21" t="s">
        <v>611</v>
      </c>
      <c r="F225" s="22" t="s">
        <v>662</v>
      </c>
      <c r="G225" s="4" t="s">
        <v>337</v>
      </c>
      <c r="H225" s="6">
        <v>58031.82</v>
      </c>
      <c r="I225" s="6">
        <f t="shared" si="310"/>
        <v>158.99128767123287</v>
      </c>
      <c r="J225" s="6">
        <v>37007.942499999997</v>
      </c>
      <c r="K225" s="6">
        <v>53750.67</v>
      </c>
      <c r="L225" s="6">
        <f t="shared" si="311"/>
        <v>146.85975409836064</v>
      </c>
      <c r="M225" s="6">
        <v>27816.7916</v>
      </c>
      <c r="N225" s="6">
        <v>49555.32</v>
      </c>
      <c r="O225" s="6">
        <f t="shared" si="312"/>
        <v>135.768</v>
      </c>
      <c r="P225" s="6">
        <v>20750.477599999998</v>
      </c>
      <c r="Q225" s="6">
        <v>24503.22</v>
      </c>
      <c r="R225" s="6">
        <f t="shared" si="313"/>
        <v>135.37690607734808</v>
      </c>
      <c r="S225" s="6">
        <v>18467.9251</v>
      </c>
      <c r="T225" s="6">
        <f t="shared" si="239"/>
        <v>18467.9251</v>
      </c>
      <c r="U225" s="6">
        <f t="shared" si="240"/>
        <v>50.597055068493155</v>
      </c>
      <c r="V225" s="6">
        <v>16436.453300000001</v>
      </c>
      <c r="W225" s="6">
        <f t="shared" si="241"/>
        <v>16436.453300000001</v>
      </c>
      <c r="X225" s="6">
        <f t="shared" si="242"/>
        <v>45.031378904109594</v>
      </c>
      <c r="Y225" s="6">
        <v>14628.4434</v>
      </c>
      <c r="Z225" s="6">
        <f t="shared" si="243"/>
        <v>14628.4434</v>
      </c>
      <c r="AA225" s="6">
        <f t="shared" si="244"/>
        <v>40.077927123287672</v>
      </c>
      <c r="AB225" s="6">
        <v>13019.314700000001</v>
      </c>
      <c r="AC225" s="6">
        <f t="shared" si="245"/>
        <v>13019.314700000001</v>
      </c>
      <c r="AD225" s="6">
        <f t="shared" si="246"/>
        <v>35.669355342465757</v>
      </c>
      <c r="AE225" s="6">
        <v>11587.1901</v>
      </c>
      <c r="AF225" s="6">
        <f t="shared" si="247"/>
        <v>11587.1901</v>
      </c>
      <c r="AG225" s="6">
        <f t="shared" si="248"/>
        <v>31.745726301369864</v>
      </c>
      <c r="AH225" s="6">
        <v>10312.599099999999</v>
      </c>
      <c r="AI225" s="6">
        <f t="shared" si="249"/>
        <v>10312.599099999999</v>
      </c>
      <c r="AJ225" s="6">
        <f t="shared" si="250"/>
        <v>28.253696164383559</v>
      </c>
      <c r="AK225" s="6">
        <v>9178.2132000000001</v>
      </c>
      <c r="AL225" s="6">
        <f t="shared" si="251"/>
        <v>9178.2132000000001</v>
      </c>
      <c r="AM225" s="6">
        <f t="shared" si="252"/>
        <v>25.145789589041097</v>
      </c>
      <c r="AN225" s="6">
        <v>717.66070000000002</v>
      </c>
      <c r="AO225" s="6">
        <f t="shared" si="253"/>
        <v>717.66070000000002</v>
      </c>
      <c r="AP225" s="6">
        <f t="shared" si="254"/>
        <v>1.9661936986301369</v>
      </c>
      <c r="AQ225" s="6">
        <v>0</v>
      </c>
      <c r="AR225" s="6">
        <f t="shared" si="255"/>
        <v>0</v>
      </c>
      <c r="AS225" s="6">
        <f t="shared" si="256"/>
        <v>0</v>
      </c>
      <c r="AT225" s="6">
        <v>0</v>
      </c>
      <c r="AU225" s="6">
        <f t="shared" si="257"/>
        <v>0</v>
      </c>
      <c r="AV225" s="6">
        <f t="shared" si="258"/>
        <v>0</v>
      </c>
      <c r="AW225" s="6">
        <v>0</v>
      </c>
      <c r="AX225" s="6">
        <f t="shared" si="259"/>
        <v>0</v>
      </c>
      <c r="AY225" s="6">
        <f t="shared" si="260"/>
        <v>0</v>
      </c>
      <c r="AZ225" s="6">
        <v>0</v>
      </c>
      <c r="BA225" s="6">
        <f t="shared" si="261"/>
        <v>0</v>
      </c>
      <c r="BB225" s="6">
        <f t="shared" si="262"/>
        <v>0</v>
      </c>
      <c r="BC225" s="6">
        <v>0</v>
      </c>
      <c r="BD225" s="6">
        <f t="shared" si="263"/>
        <v>0</v>
      </c>
      <c r="BE225" s="6">
        <f t="shared" si="264"/>
        <v>0</v>
      </c>
      <c r="BF225" s="6">
        <v>0</v>
      </c>
      <c r="BG225" s="6">
        <f t="shared" si="265"/>
        <v>0</v>
      </c>
      <c r="BH225" s="6">
        <f t="shared" si="266"/>
        <v>0</v>
      </c>
      <c r="BI225" s="6">
        <v>0</v>
      </c>
      <c r="BJ225" s="6">
        <f t="shared" si="267"/>
        <v>0</v>
      </c>
      <c r="BK225" s="6">
        <f t="shared" si="268"/>
        <v>0</v>
      </c>
      <c r="BL225" s="6">
        <v>0</v>
      </c>
      <c r="BM225" s="6">
        <f t="shared" si="269"/>
        <v>0</v>
      </c>
      <c r="BN225" s="6">
        <f t="shared" si="270"/>
        <v>0</v>
      </c>
      <c r="BO225" s="6">
        <v>0</v>
      </c>
      <c r="BP225" s="6">
        <f t="shared" si="271"/>
        <v>0</v>
      </c>
      <c r="BQ225" s="6">
        <f t="shared" si="272"/>
        <v>0</v>
      </c>
      <c r="BR225" s="6">
        <v>0</v>
      </c>
      <c r="BS225" s="6">
        <f t="shared" si="273"/>
        <v>0</v>
      </c>
      <c r="BT225" s="6">
        <f t="shared" si="274"/>
        <v>0</v>
      </c>
      <c r="BU225" s="6">
        <v>0</v>
      </c>
      <c r="BV225" s="6">
        <f t="shared" si="275"/>
        <v>0</v>
      </c>
      <c r="BW225" s="6">
        <f t="shared" si="276"/>
        <v>0</v>
      </c>
      <c r="BX225" s="6">
        <v>0</v>
      </c>
      <c r="BY225" s="6">
        <f t="shared" si="277"/>
        <v>0</v>
      </c>
      <c r="BZ225" s="6">
        <f t="shared" si="278"/>
        <v>0</v>
      </c>
      <c r="CA225" s="6">
        <v>0</v>
      </c>
      <c r="CB225" s="6">
        <f t="shared" si="279"/>
        <v>0</v>
      </c>
      <c r="CC225" s="6">
        <f t="shared" si="280"/>
        <v>0</v>
      </c>
      <c r="CD225" s="6">
        <v>0</v>
      </c>
      <c r="CE225" s="6">
        <f t="shared" si="281"/>
        <v>0</v>
      </c>
      <c r="CF225" s="6">
        <f t="shared" si="282"/>
        <v>0</v>
      </c>
      <c r="CG225" s="6">
        <v>0</v>
      </c>
      <c r="CH225" s="6">
        <f t="shared" si="283"/>
        <v>0</v>
      </c>
      <c r="CI225" s="6">
        <f t="shared" si="284"/>
        <v>0</v>
      </c>
      <c r="CJ225" s="6">
        <v>0</v>
      </c>
      <c r="CK225" s="6">
        <f t="shared" si="285"/>
        <v>0</v>
      </c>
      <c r="CL225" s="6">
        <f t="shared" si="286"/>
        <v>0</v>
      </c>
      <c r="CM225" s="6">
        <v>0</v>
      </c>
      <c r="CN225" s="6">
        <f t="shared" si="287"/>
        <v>0</v>
      </c>
      <c r="CO225" s="6">
        <f t="shared" si="288"/>
        <v>0</v>
      </c>
      <c r="CP225" s="6">
        <v>0</v>
      </c>
      <c r="CQ225" s="6">
        <f t="shared" si="289"/>
        <v>0</v>
      </c>
      <c r="CR225" s="6">
        <f t="shared" si="290"/>
        <v>0</v>
      </c>
      <c r="CS225" s="6">
        <v>0</v>
      </c>
      <c r="CT225" s="6">
        <f t="shared" si="291"/>
        <v>0</v>
      </c>
      <c r="CU225" s="6">
        <f t="shared" si="292"/>
        <v>0</v>
      </c>
      <c r="CV225" s="6">
        <v>0</v>
      </c>
      <c r="CW225" s="6">
        <f t="shared" si="293"/>
        <v>0</v>
      </c>
      <c r="CX225" s="6">
        <f t="shared" si="294"/>
        <v>0</v>
      </c>
      <c r="CY225" s="6">
        <v>0</v>
      </c>
      <c r="CZ225" s="6">
        <f t="shared" si="295"/>
        <v>0</v>
      </c>
      <c r="DA225" s="6">
        <f t="shared" si="296"/>
        <v>0</v>
      </c>
      <c r="DB225" s="6">
        <v>0</v>
      </c>
      <c r="DC225" s="6">
        <f t="shared" si="297"/>
        <v>0</v>
      </c>
      <c r="DD225" s="6">
        <f t="shared" si="298"/>
        <v>0</v>
      </c>
      <c r="DE225" s="6">
        <v>0</v>
      </c>
      <c r="DF225" s="6">
        <f t="shared" si="299"/>
        <v>0</v>
      </c>
      <c r="DG225" s="6">
        <f t="shared" si="300"/>
        <v>0</v>
      </c>
      <c r="DH225" s="6">
        <v>0</v>
      </c>
      <c r="DI225" s="6">
        <f t="shared" si="301"/>
        <v>0</v>
      </c>
      <c r="DJ225" s="6">
        <f t="shared" si="302"/>
        <v>0</v>
      </c>
      <c r="DK225" s="6">
        <v>0</v>
      </c>
      <c r="DL225" s="6">
        <f t="shared" si="303"/>
        <v>0</v>
      </c>
      <c r="DM225" s="6">
        <f t="shared" si="304"/>
        <v>0</v>
      </c>
      <c r="DN225" s="6">
        <v>0</v>
      </c>
      <c r="DO225" s="6">
        <f t="shared" si="305"/>
        <v>0</v>
      </c>
      <c r="DP225" s="6">
        <f t="shared" si="306"/>
        <v>0</v>
      </c>
    </row>
    <row r="226" spans="1:120" x14ac:dyDescent="0.2">
      <c r="A226" s="21">
        <v>41</v>
      </c>
      <c r="B226" s="21" t="s">
        <v>687</v>
      </c>
      <c r="C226" s="21">
        <v>41001</v>
      </c>
      <c r="D226" s="21" t="s">
        <v>721</v>
      </c>
      <c r="E226" s="21" t="s">
        <v>522</v>
      </c>
      <c r="F226" s="22" t="s">
        <v>666</v>
      </c>
      <c r="G226" s="4" t="s">
        <v>338</v>
      </c>
      <c r="H226" s="6">
        <v>612880.86</v>
      </c>
      <c r="I226" s="6">
        <f t="shared" si="310"/>
        <v>1679.1256438356163</v>
      </c>
      <c r="J226" s="6">
        <v>795296</v>
      </c>
      <c r="K226" s="6">
        <v>753524.97</v>
      </c>
      <c r="L226" s="6">
        <f t="shared" si="311"/>
        <v>2058.8113934426228</v>
      </c>
      <c r="M226" s="6">
        <v>695902</v>
      </c>
      <c r="N226" s="6">
        <v>713778.44</v>
      </c>
      <c r="O226" s="6">
        <f t="shared" si="312"/>
        <v>1955.5573698630135</v>
      </c>
      <c r="P226" s="6">
        <v>580939</v>
      </c>
      <c r="Q226" s="6">
        <v>433318.18</v>
      </c>
      <c r="R226" s="6">
        <f t="shared" si="313"/>
        <v>2394.0230939226517</v>
      </c>
      <c r="S226" s="6">
        <v>488659</v>
      </c>
      <c r="T226" s="6">
        <f t="shared" si="239"/>
        <v>488659</v>
      </c>
      <c r="U226" s="6">
        <f t="shared" si="240"/>
        <v>1338.7917808219179</v>
      </c>
      <c r="V226" s="6">
        <v>414916</v>
      </c>
      <c r="W226" s="6">
        <f t="shared" si="241"/>
        <v>414916</v>
      </c>
      <c r="X226" s="6">
        <f t="shared" si="242"/>
        <v>1136.7561643835616</v>
      </c>
      <c r="Y226" s="6">
        <v>352529</v>
      </c>
      <c r="Z226" s="6">
        <f t="shared" si="243"/>
        <v>352529</v>
      </c>
      <c r="AA226" s="6">
        <f t="shared" si="244"/>
        <v>965.83287671232881</v>
      </c>
      <c r="AB226" s="6">
        <v>301903</v>
      </c>
      <c r="AC226" s="6">
        <f t="shared" si="245"/>
        <v>301903</v>
      </c>
      <c r="AD226" s="6">
        <f t="shared" si="246"/>
        <v>827.13150684931509</v>
      </c>
      <c r="AE226" s="6">
        <v>259525</v>
      </c>
      <c r="AF226" s="6">
        <f t="shared" si="247"/>
        <v>259525</v>
      </c>
      <c r="AG226" s="6">
        <f t="shared" si="248"/>
        <v>711.02739726027403</v>
      </c>
      <c r="AH226" s="6">
        <v>224681</v>
      </c>
      <c r="AI226" s="6">
        <f t="shared" si="249"/>
        <v>224681</v>
      </c>
      <c r="AJ226" s="6">
        <f t="shared" si="250"/>
        <v>615.56438356164381</v>
      </c>
      <c r="AK226" s="6">
        <v>0</v>
      </c>
      <c r="AL226" s="6">
        <f t="shared" si="251"/>
        <v>0</v>
      </c>
      <c r="AM226" s="6">
        <f t="shared" si="252"/>
        <v>0</v>
      </c>
      <c r="AN226" s="6">
        <v>0</v>
      </c>
      <c r="AO226" s="6">
        <f t="shared" si="253"/>
        <v>0</v>
      </c>
      <c r="AP226" s="6">
        <f t="shared" si="254"/>
        <v>0</v>
      </c>
      <c r="AQ226" s="6">
        <v>0</v>
      </c>
      <c r="AR226" s="6">
        <f t="shared" si="255"/>
        <v>0</v>
      </c>
      <c r="AS226" s="6">
        <f t="shared" si="256"/>
        <v>0</v>
      </c>
      <c r="AT226" s="6">
        <v>0</v>
      </c>
      <c r="AU226" s="6">
        <f t="shared" si="257"/>
        <v>0</v>
      </c>
      <c r="AV226" s="6">
        <f t="shared" si="258"/>
        <v>0</v>
      </c>
      <c r="AW226" s="6">
        <v>0</v>
      </c>
      <c r="AX226" s="6">
        <f t="shared" si="259"/>
        <v>0</v>
      </c>
      <c r="AY226" s="6">
        <f t="shared" si="260"/>
        <v>0</v>
      </c>
      <c r="AZ226" s="6">
        <v>0</v>
      </c>
      <c r="BA226" s="6">
        <f t="shared" si="261"/>
        <v>0</v>
      </c>
      <c r="BB226" s="6">
        <f t="shared" si="262"/>
        <v>0</v>
      </c>
      <c r="BC226" s="6">
        <v>0</v>
      </c>
      <c r="BD226" s="6">
        <f t="shared" si="263"/>
        <v>0</v>
      </c>
      <c r="BE226" s="6">
        <f t="shared" si="264"/>
        <v>0</v>
      </c>
      <c r="BF226" s="6">
        <v>0</v>
      </c>
      <c r="BG226" s="6">
        <f t="shared" si="265"/>
        <v>0</v>
      </c>
      <c r="BH226" s="6">
        <f t="shared" si="266"/>
        <v>0</v>
      </c>
      <c r="BI226" s="6">
        <v>0</v>
      </c>
      <c r="BJ226" s="6">
        <f t="shared" si="267"/>
        <v>0</v>
      </c>
      <c r="BK226" s="6">
        <f t="shared" si="268"/>
        <v>0</v>
      </c>
      <c r="BL226" s="6">
        <v>0</v>
      </c>
      <c r="BM226" s="6">
        <f t="shared" si="269"/>
        <v>0</v>
      </c>
      <c r="BN226" s="6">
        <f t="shared" si="270"/>
        <v>0</v>
      </c>
      <c r="BO226" s="6">
        <v>0</v>
      </c>
      <c r="BP226" s="6">
        <f t="shared" si="271"/>
        <v>0</v>
      </c>
      <c r="BQ226" s="6">
        <f t="shared" si="272"/>
        <v>0</v>
      </c>
      <c r="BR226" s="6">
        <v>0</v>
      </c>
      <c r="BS226" s="6">
        <f t="shared" si="273"/>
        <v>0</v>
      </c>
      <c r="BT226" s="6">
        <f t="shared" si="274"/>
        <v>0</v>
      </c>
      <c r="BU226" s="6">
        <v>0</v>
      </c>
      <c r="BV226" s="6">
        <f t="shared" si="275"/>
        <v>0</v>
      </c>
      <c r="BW226" s="6">
        <f t="shared" si="276"/>
        <v>0</v>
      </c>
      <c r="BX226" s="6">
        <v>0</v>
      </c>
      <c r="BY226" s="6">
        <f t="shared" si="277"/>
        <v>0</v>
      </c>
      <c r="BZ226" s="6">
        <f t="shared" si="278"/>
        <v>0</v>
      </c>
      <c r="CA226" s="6">
        <v>0</v>
      </c>
      <c r="CB226" s="6">
        <f t="shared" si="279"/>
        <v>0</v>
      </c>
      <c r="CC226" s="6">
        <f t="shared" si="280"/>
        <v>0</v>
      </c>
      <c r="CD226" s="6">
        <v>0</v>
      </c>
      <c r="CE226" s="6">
        <f t="shared" si="281"/>
        <v>0</v>
      </c>
      <c r="CF226" s="6">
        <f t="shared" si="282"/>
        <v>0</v>
      </c>
      <c r="CG226" s="6">
        <v>0</v>
      </c>
      <c r="CH226" s="6">
        <f t="shared" si="283"/>
        <v>0</v>
      </c>
      <c r="CI226" s="6">
        <f t="shared" si="284"/>
        <v>0</v>
      </c>
      <c r="CJ226" s="6">
        <v>0</v>
      </c>
      <c r="CK226" s="6">
        <f t="shared" si="285"/>
        <v>0</v>
      </c>
      <c r="CL226" s="6">
        <f t="shared" si="286"/>
        <v>0</v>
      </c>
      <c r="CM226" s="6">
        <v>0</v>
      </c>
      <c r="CN226" s="6">
        <f t="shared" si="287"/>
        <v>0</v>
      </c>
      <c r="CO226" s="6">
        <f t="shared" si="288"/>
        <v>0</v>
      </c>
      <c r="CP226" s="6">
        <v>0</v>
      </c>
      <c r="CQ226" s="6">
        <f t="shared" si="289"/>
        <v>0</v>
      </c>
      <c r="CR226" s="6">
        <f t="shared" si="290"/>
        <v>0</v>
      </c>
      <c r="CS226" s="6">
        <v>0</v>
      </c>
      <c r="CT226" s="6">
        <f t="shared" si="291"/>
        <v>0</v>
      </c>
      <c r="CU226" s="6">
        <f t="shared" si="292"/>
        <v>0</v>
      </c>
      <c r="CV226" s="6">
        <v>0</v>
      </c>
      <c r="CW226" s="6">
        <f t="shared" si="293"/>
        <v>0</v>
      </c>
      <c r="CX226" s="6">
        <f t="shared" si="294"/>
        <v>0</v>
      </c>
      <c r="CY226" s="6">
        <v>0</v>
      </c>
      <c r="CZ226" s="6">
        <f t="shared" si="295"/>
        <v>0</v>
      </c>
      <c r="DA226" s="6">
        <f t="shared" si="296"/>
        <v>0</v>
      </c>
      <c r="DB226" s="6">
        <v>0</v>
      </c>
      <c r="DC226" s="6">
        <f t="shared" si="297"/>
        <v>0</v>
      </c>
      <c r="DD226" s="6">
        <f t="shared" si="298"/>
        <v>0</v>
      </c>
      <c r="DE226" s="6">
        <v>0</v>
      </c>
      <c r="DF226" s="6">
        <f t="shared" si="299"/>
        <v>0</v>
      </c>
      <c r="DG226" s="6">
        <f t="shared" si="300"/>
        <v>0</v>
      </c>
      <c r="DH226" s="6">
        <v>0</v>
      </c>
      <c r="DI226" s="6">
        <f t="shared" si="301"/>
        <v>0</v>
      </c>
      <c r="DJ226" s="6">
        <f t="shared" si="302"/>
        <v>0</v>
      </c>
      <c r="DK226" s="6">
        <v>0</v>
      </c>
      <c r="DL226" s="6">
        <f t="shared" si="303"/>
        <v>0</v>
      </c>
      <c r="DM226" s="6">
        <f t="shared" si="304"/>
        <v>0</v>
      </c>
      <c r="DN226" s="6">
        <v>0</v>
      </c>
      <c r="DO226" s="6">
        <f t="shared" si="305"/>
        <v>0</v>
      </c>
      <c r="DP226" s="6">
        <f t="shared" si="306"/>
        <v>0</v>
      </c>
    </row>
    <row r="227" spans="1:120" x14ac:dyDescent="0.2">
      <c r="A227" s="21">
        <v>85</v>
      </c>
      <c r="B227" s="21" t="s">
        <v>612</v>
      </c>
      <c r="C227" s="21">
        <v>85230</v>
      </c>
      <c r="D227" s="21" t="s">
        <v>614</v>
      </c>
      <c r="E227" s="21" t="s">
        <v>611</v>
      </c>
      <c r="F227" s="22" t="s">
        <v>662</v>
      </c>
      <c r="G227" s="4" t="s">
        <v>339</v>
      </c>
      <c r="H227" s="6">
        <v>78302.52</v>
      </c>
      <c r="I227" s="6">
        <f t="shared" si="310"/>
        <v>214.52745205479454</v>
      </c>
      <c r="J227" s="6">
        <v>81637.857900000003</v>
      </c>
      <c r="K227" s="6">
        <v>199494.92</v>
      </c>
      <c r="L227" s="6">
        <f t="shared" si="311"/>
        <v>545.06808743169404</v>
      </c>
      <c r="M227" s="6">
        <v>64493.907800000001</v>
      </c>
      <c r="N227" s="6">
        <v>149134.29</v>
      </c>
      <c r="O227" s="6">
        <f t="shared" si="312"/>
        <v>408.58709589041098</v>
      </c>
      <c r="P227" s="6">
        <v>50950.187100000003</v>
      </c>
      <c r="Q227" s="6">
        <v>60905.120000000003</v>
      </c>
      <c r="R227" s="6">
        <f t="shared" si="313"/>
        <v>336.49237569060773</v>
      </c>
      <c r="S227" s="6">
        <v>40250.647799999999</v>
      </c>
      <c r="T227" s="6">
        <f t="shared" si="239"/>
        <v>40250.647799999999</v>
      </c>
      <c r="U227" s="6">
        <f t="shared" si="240"/>
        <v>110.27574739726028</v>
      </c>
      <c r="V227" s="6">
        <v>31798.0118</v>
      </c>
      <c r="W227" s="6">
        <f t="shared" si="241"/>
        <v>31798.0118</v>
      </c>
      <c r="X227" s="6">
        <f t="shared" si="242"/>
        <v>87.117840547945207</v>
      </c>
      <c r="Y227" s="6">
        <v>25120.4293</v>
      </c>
      <c r="Z227" s="6">
        <f t="shared" si="243"/>
        <v>25120.4293</v>
      </c>
      <c r="AA227" s="6">
        <f t="shared" si="244"/>
        <v>68.823093972602734</v>
      </c>
      <c r="AB227" s="6">
        <v>19845.139200000001</v>
      </c>
      <c r="AC227" s="6">
        <f t="shared" si="245"/>
        <v>19845.139200000001</v>
      </c>
      <c r="AD227" s="6">
        <f t="shared" si="246"/>
        <v>54.370244383561648</v>
      </c>
      <c r="AE227" s="6">
        <v>15677.659900000001</v>
      </c>
      <c r="AF227" s="6">
        <f t="shared" si="247"/>
        <v>15677.659900000001</v>
      </c>
      <c r="AG227" s="6">
        <f t="shared" si="248"/>
        <v>42.952492876712327</v>
      </c>
      <c r="AH227" s="6">
        <v>12385.3514</v>
      </c>
      <c r="AI227" s="6">
        <f t="shared" si="249"/>
        <v>12385.3514</v>
      </c>
      <c r="AJ227" s="6">
        <f t="shared" si="250"/>
        <v>33.932469589041098</v>
      </c>
      <c r="AK227" s="6">
        <v>9784.4276000000009</v>
      </c>
      <c r="AL227" s="6">
        <f t="shared" si="251"/>
        <v>9784.4276000000009</v>
      </c>
      <c r="AM227" s="6">
        <f t="shared" si="252"/>
        <v>26.806650958904111</v>
      </c>
      <c r="AN227" s="6">
        <v>715.98540000000003</v>
      </c>
      <c r="AO227" s="6">
        <f t="shared" si="253"/>
        <v>715.98540000000003</v>
      </c>
      <c r="AP227" s="6">
        <f t="shared" si="254"/>
        <v>1.9616038356164385</v>
      </c>
      <c r="AQ227" s="6">
        <v>0</v>
      </c>
      <c r="AR227" s="6">
        <f t="shared" si="255"/>
        <v>0</v>
      </c>
      <c r="AS227" s="6">
        <f t="shared" si="256"/>
        <v>0</v>
      </c>
      <c r="AT227" s="6">
        <v>0</v>
      </c>
      <c r="AU227" s="6">
        <f t="shared" si="257"/>
        <v>0</v>
      </c>
      <c r="AV227" s="6">
        <f t="shared" si="258"/>
        <v>0</v>
      </c>
      <c r="AW227" s="6">
        <v>0</v>
      </c>
      <c r="AX227" s="6">
        <f t="shared" si="259"/>
        <v>0</v>
      </c>
      <c r="AY227" s="6">
        <f t="shared" si="260"/>
        <v>0</v>
      </c>
      <c r="AZ227" s="6">
        <v>0</v>
      </c>
      <c r="BA227" s="6">
        <f t="shared" si="261"/>
        <v>0</v>
      </c>
      <c r="BB227" s="6">
        <f t="shared" si="262"/>
        <v>0</v>
      </c>
      <c r="BC227" s="6">
        <v>0</v>
      </c>
      <c r="BD227" s="6">
        <f t="shared" si="263"/>
        <v>0</v>
      </c>
      <c r="BE227" s="6">
        <f t="shared" si="264"/>
        <v>0</v>
      </c>
      <c r="BF227" s="6">
        <v>0</v>
      </c>
      <c r="BG227" s="6">
        <f t="shared" si="265"/>
        <v>0</v>
      </c>
      <c r="BH227" s="6">
        <f t="shared" si="266"/>
        <v>0</v>
      </c>
      <c r="BI227" s="6">
        <v>0</v>
      </c>
      <c r="BJ227" s="6">
        <f t="shared" si="267"/>
        <v>0</v>
      </c>
      <c r="BK227" s="6">
        <f t="shared" si="268"/>
        <v>0</v>
      </c>
      <c r="BL227" s="6">
        <v>0</v>
      </c>
      <c r="BM227" s="6">
        <f t="shared" si="269"/>
        <v>0</v>
      </c>
      <c r="BN227" s="6">
        <f t="shared" si="270"/>
        <v>0</v>
      </c>
      <c r="BO227" s="6">
        <v>0</v>
      </c>
      <c r="BP227" s="6">
        <f t="shared" si="271"/>
        <v>0</v>
      </c>
      <c r="BQ227" s="6">
        <f t="shared" si="272"/>
        <v>0</v>
      </c>
      <c r="BR227" s="6">
        <v>0</v>
      </c>
      <c r="BS227" s="6">
        <f t="shared" si="273"/>
        <v>0</v>
      </c>
      <c r="BT227" s="6">
        <f t="shared" si="274"/>
        <v>0</v>
      </c>
      <c r="BU227" s="6">
        <v>0</v>
      </c>
      <c r="BV227" s="6">
        <f t="shared" si="275"/>
        <v>0</v>
      </c>
      <c r="BW227" s="6">
        <f t="shared" si="276"/>
        <v>0</v>
      </c>
      <c r="BX227" s="6">
        <v>0</v>
      </c>
      <c r="BY227" s="6">
        <f t="shared" si="277"/>
        <v>0</v>
      </c>
      <c r="BZ227" s="6">
        <f t="shared" si="278"/>
        <v>0</v>
      </c>
      <c r="CA227" s="6">
        <v>0</v>
      </c>
      <c r="CB227" s="6">
        <f t="shared" si="279"/>
        <v>0</v>
      </c>
      <c r="CC227" s="6">
        <f t="shared" si="280"/>
        <v>0</v>
      </c>
      <c r="CD227" s="6">
        <v>0</v>
      </c>
      <c r="CE227" s="6">
        <f t="shared" si="281"/>
        <v>0</v>
      </c>
      <c r="CF227" s="6">
        <f t="shared" si="282"/>
        <v>0</v>
      </c>
      <c r="CG227" s="6">
        <v>0</v>
      </c>
      <c r="CH227" s="6">
        <f t="shared" si="283"/>
        <v>0</v>
      </c>
      <c r="CI227" s="6">
        <f t="shared" si="284"/>
        <v>0</v>
      </c>
      <c r="CJ227" s="6">
        <v>0</v>
      </c>
      <c r="CK227" s="6">
        <f t="shared" si="285"/>
        <v>0</v>
      </c>
      <c r="CL227" s="6">
        <f t="shared" si="286"/>
        <v>0</v>
      </c>
      <c r="CM227" s="6">
        <v>0</v>
      </c>
      <c r="CN227" s="6">
        <f t="shared" si="287"/>
        <v>0</v>
      </c>
      <c r="CO227" s="6">
        <f t="shared" si="288"/>
        <v>0</v>
      </c>
      <c r="CP227" s="6">
        <v>0</v>
      </c>
      <c r="CQ227" s="6">
        <f t="shared" si="289"/>
        <v>0</v>
      </c>
      <c r="CR227" s="6">
        <f t="shared" si="290"/>
        <v>0</v>
      </c>
      <c r="CS227" s="6">
        <v>0</v>
      </c>
      <c r="CT227" s="6">
        <f t="shared" si="291"/>
        <v>0</v>
      </c>
      <c r="CU227" s="6">
        <f t="shared" si="292"/>
        <v>0</v>
      </c>
      <c r="CV227" s="6">
        <v>0</v>
      </c>
      <c r="CW227" s="6">
        <f t="shared" si="293"/>
        <v>0</v>
      </c>
      <c r="CX227" s="6">
        <f t="shared" si="294"/>
        <v>0</v>
      </c>
      <c r="CY227" s="6">
        <v>0</v>
      </c>
      <c r="CZ227" s="6">
        <f t="shared" si="295"/>
        <v>0</v>
      </c>
      <c r="DA227" s="6">
        <f t="shared" si="296"/>
        <v>0</v>
      </c>
      <c r="DB227" s="6">
        <v>0</v>
      </c>
      <c r="DC227" s="6">
        <f t="shared" si="297"/>
        <v>0</v>
      </c>
      <c r="DD227" s="6">
        <f t="shared" si="298"/>
        <v>0</v>
      </c>
      <c r="DE227" s="6">
        <v>0</v>
      </c>
      <c r="DF227" s="6">
        <f t="shared" si="299"/>
        <v>0</v>
      </c>
      <c r="DG227" s="6">
        <f t="shared" si="300"/>
        <v>0</v>
      </c>
      <c r="DH227" s="6">
        <v>0</v>
      </c>
      <c r="DI227" s="6">
        <f t="shared" si="301"/>
        <v>0</v>
      </c>
      <c r="DJ227" s="6">
        <f t="shared" si="302"/>
        <v>0</v>
      </c>
      <c r="DK227" s="6">
        <v>0</v>
      </c>
      <c r="DL227" s="6">
        <f t="shared" si="303"/>
        <v>0</v>
      </c>
      <c r="DM227" s="6">
        <f t="shared" si="304"/>
        <v>0</v>
      </c>
      <c r="DN227" s="6">
        <v>0</v>
      </c>
      <c r="DO227" s="6">
        <f t="shared" si="305"/>
        <v>0</v>
      </c>
      <c r="DP227" s="6">
        <f t="shared" si="306"/>
        <v>0</v>
      </c>
    </row>
    <row r="228" spans="1:120" x14ac:dyDescent="0.2">
      <c r="A228" s="21">
        <v>85</v>
      </c>
      <c r="B228" s="21" t="s">
        <v>612</v>
      </c>
      <c r="C228" s="21">
        <v>85001</v>
      </c>
      <c r="D228" s="21" t="s">
        <v>698</v>
      </c>
      <c r="E228" s="21" t="s">
        <v>522</v>
      </c>
      <c r="F228" s="22" t="s">
        <v>662</v>
      </c>
      <c r="G228" s="4" t="s">
        <v>340</v>
      </c>
      <c r="H228" s="6">
        <v>4885779.4800000004</v>
      </c>
      <c r="I228" s="6">
        <f t="shared" si="310"/>
        <v>13385.697205479453</v>
      </c>
      <c r="J228" s="6">
        <v>4882193.3305000002</v>
      </c>
      <c r="K228" s="6">
        <v>5155876.83</v>
      </c>
      <c r="L228" s="6">
        <f t="shared" si="311"/>
        <v>14087.095163934426</v>
      </c>
      <c r="M228" s="6">
        <v>4327272.0195000004</v>
      </c>
      <c r="N228" s="6">
        <v>4606486.72</v>
      </c>
      <c r="O228" s="6">
        <f t="shared" si="312"/>
        <v>12620.511561643834</v>
      </c>
      <c r="P228" s="6">
        <v>3173938.8084999998</v>
      </c>
      <c r="Q228" s="6">
        <v>1968945.81</v>
      </c>
      <c r="R228" s="6">
        <f t="shared" si="313"/>
        <v>10878.15364640884</v>
      </c>
      <c r="S228" s="6">
        <v>2377792.7796999998</v>
      </c>
      <c r="T228" s="6">
        <f t="shared" si="239"/>
        <v>2377792.7796999998</v>
      </c>
      <c r="U228" s="6">
        <f t="shared" si="240"/>
        <v>6514.5007663013694</v>
      </c>
      <c r="V228" s="6">
        <v>1849234.9897</v>
      </c>
      <c r="W228" s="6">
        <f t="shared" si="241"/>
        <v>1849234.9897</v>
      </c>
      <c r="X228" s="6">
        <f t="shared" si="242"/>
        <v>5066.3972320547946</v>
      </c>
      <c r="Y228" s="6">
        <v>1279596.5286000001</v>
      </c>
      <c r="Z228" s="6">
        <f t="shared" si="243"/>
        <v>1279596.5286000001</v>
      </c>
      <c r="AA228" s="6">
        <f t="shared" si="244"/>
        <v>3505.743913972603</v>
      </c>
      <c r="AB228" s="6">
        <v>890084.63690000004</v>
      </c>
      <c r="AC228" s="6">
        <f t="shared" si="245"/>
        <v>890084.63690000004</v>
      </c>
      <c r="AD228" s="6">
        <f t="shared" si="246"/>
        <v>2438.58804630137</v>
      </c>
      <c r="AE228" s="6">
        <v>607239.97360000003</v>
      </c>
      <c r="AF228" s="6">
        <f t="shared" si="247"/>
        <v>607239.97360000003</v>
      </c>
      <c r="AG228" s="6">
        <f t="shared" si="248"/>
        <v>1663.6711605479452</v>
      </c>
      <c r="AH228" s="6">
        <v>433994.3113</v>
      </c>
      <c r="AI228" s="6">
        <f t="shared" si="249"/>
        <v>433994.3113</v>
      </c>
      <c r="AJ228" s="6">
        <f t="shared" si="250"/>
        <v>1189.025510410959</v>
      </c>
      <c r="AK228" s="6">
        <v>294326.49570000003</v>
      </c>
      <c r="AL228" s="6">
        <f t="shared" si="251"/>
        <v>294326.49570000003</v>
      </c>
      <c r="AM228" s="6">
        <f t="shared" si="252"/>
        <v>806.37396082191788</v>
      </c>
      <c r="AN228" s="6">
        <v>209040.166</v>
      </c>
      <c r="AO228" s="6">
        <f t="shared" si="253"/>
        <v>209040.166</v>
      </c>
      <c r="AP228" s="6">
        <f t="shared" si="254"/>
        <v>572.71278356164385</v>
      </c>
      <c r="AQ228" s="6">
        <v>148626.7279</v>
      </c>
      <c r="AR228" s="6">
        <f t="shared" si="255"/>
        <v>148626.7279</v>
      </c>
      <c r="AS228" s="6">
        <f t="shared" si="256"/>
        <v>407.19651479452057</v>
      </c>
      <c r="AT228" s="6">
        <v>0</v>
      </c>
      <c r="AU228" s="6">
        <f t="shared" si="257"/>
        <v>0</v>
      </c>
      <c r="AV228" s="6">
        <f t="shared" si="258"/>
        <v>0</v>
      </c>
      <c r="AW228" s="6">
        <v>0</v>
      </c>
      <c r="AX228" s="6">
        <f t="shared" si="259"/>
        <v>0</v>
      </c>
      <c r="AY228" s="6">
        <f t="shared" si="260"/>
        <v>0</v>
      </c>
      <c r="AZ228" s="6">
        <v>0</v>
      </c>
      <c r="BA228" s="6">
        <f t="shared" si="261"/>
        <v>0</v>
      </c>
      <c r="BB228" s="6">
        <f t="shared" si="262"/>
        <v>0</v>
      </c>
      <c r="BC228" s="6">
        <v>0</v>
      </c>
      <c r="BD228" s="6">
        <f t="shared" si="263"/>
        <v>0</v>
      </c>
      <c r="BE228" s="6">
        <f t="shared" si="264"/>
        <v>0</v>
      </c>
      <c r="BF228" s="6">
        <v>0</v>
      </c>
      <c r="BG228" s="6">
        <f t="shared" si="265"/>
        <v>0</v>
      </c>
      <c r="BH228" s="6">
        <f t="shared" si="266"/>
        <v>0</v>
      </c>
      <c r="BI228" s="6">
        <v>0</v>
      </c>
      <c r="BJ228" s="6">
        <f t="shared" si="267"/>
        <v>0</v>
      </c>
      <c r="BK228" s="6">
        <f t="shared" si="268"/>
        <v>0</v>
      </c>
      <c r="BL228" s="6">
        <v>0</v>
      </c>
      <c r="BM228" s="6">
        <f t="shared" si="269"/>
        <v>0</v>
      </c>
      <c r="BN228" s="6">
        <f t="shared" si="270"/>
        <v>0</v>
      </c>
      <c r="BO228" s="6">
        <v>0</v>
      </c>
      <c r="BP228" s="6">
        <f t="shared" si="271"/>
        <v>0</v>
      </c>
      <c r="BQ228" s="6">
        <f t="shared" si="272"/>
        <v>0</v>
      </c>
      <c r="BR228" s="6">
        <v>0</v>
      </c>
      <c r="BS228" s="6">
        <f t="shared" si="273"/>
        <v>0</v>
      </c>
      <c r="BT228" s="6">
        <f t="shared" si="274"/>
        <v>0</v>
      </c>
      <c r="BU228" s="6">
        <v>0</v>
      </c>
      <c r="BV228" s="6">
        <f t="shared" si="275"/>
        <v>0</v>
      </c>
      <c r="BW228" s="6">
        <f t="shared" si="276"/>
        <v>0</v>
      </c>
      <c r="BX228" s="6">
        <v>0</v>
      </c>
      <c r="BY228" s="6">
        <f t="shared" si="277"/>
        <v>0</v>
      </c>
      <c r="BZ228" s="6">
        <f t="shared" si="278"/>
        <v>0</v>
      </c>
      <c r="CA228" s="6">
        <v>0</v>
      </c>
      <c r="CB228" s="6">
        <f t="shared" si="279"/>
        <v>0</v>
      </c>
      <c r="CC228" s="6">
        <f t="shared" si="280"/>
        <v>0</v>
      </c>
      <c r="CD228" s="6">
        <v>0</v>
      </c>
      <c r="CE228" s="6">
        <f t="shared" si="281"/>
        <v>0</v>
      </c>
      <c r="CF228" s="6">
        <f t="shared" si="282"/>
        <v>0</v>
      </c>
      <c r="CG228" s="6">
        <v>0</v>
      </c>
      <c r="CH228" s="6">
        <f t="shared" si="283"/>
        <v>0</v>
      </c>
      <c r="CI228" s="6">
        <f t="shared" si="284"/>
        <v>0</v>
      </c>
      <c r="CJ228" s="6">
        <v>0</v>
      </c>
      <c r="CK228" s="6">
        <f t="shared" si="285"/>
        <v>0</v>
      </c>
      <c r="CL228" s="6">
        <f t="shared" si="286"/>
        <v>0</v>
      </c>
      <c r="CM228" s="6">
        <v>0</v>
      </c>
      <c r="CN228" s="6">
        <f t="shared" si="287"/>
        <v>0</v>
      </c>
      <c r="CO228" s="6">
        <f t="shared" si="288"/>
        <v>0</v>
      </c>
      <c r="CP228" s="6">
        <v>0</v>
      </c>
      <c r="CQ228" s="6">
        <f t="shared" si="289"/>
        <v>0</v>
      </c>
      <c r="CR228" s="6">
        <f t="shared" si="290"/>
        <v>0</v>
      </c>
      <c r="CS228" s="6">
        <v>0</v>
      </c>
      <c r="CT228" s="6">
        <f t="shared" si="291"/>
        <v>0</v>
      </c>
      <c r="CU228" s="6">
        <f t="shared" si="292"/>
        <v>0</v>
      </c>
      <c r="CV228" s="6">
        <v>0</v>
      </c>
      <c r="CW228" s="6">
        <f t="shared" si="293"/>
        <v>0</v>
      </c>
      <c r="CX228" s="6">
        <f t="shared" si="294"/>
        <v>0</v>
      </c>
      <c r="CY228" s="6">
        <v>0</v>
      </c>
      <c r="CZ228" s="6">
        <f t="shared" si="295"/>
        <v>0</v>
      </c>
      <c r="DA228" s="6">
        <f t="shared" si="296"/>
        <v>0</v>
      </c>
      <c r="DB228" s="6">
        <v>0</v>
      </c>
      <c r="DC228" s="6">
        <f t="shared" si="297"/>
        <v>0</v>
      </c>
      <c r="DD228" s="6">
        <f t="shared" si="298"/>
        <v>0</v>
      </c>
      <c r="DE228" s="6">
        <v>0</v>
      </c>
      <c r="DF228" s="6">
        <f t="shared" si="299"/>
        <v>0</v>
      </c>
      <c r="DG228" s="6">
        <f t="shared" si="300"/>
        <v>0</v>
      </c>
      <c r="DH228" s="6">
        <v>0</v>
      </c>
      <c r="DI228" s="6">
        <f t="shared" si="301"/>
        <v>0</v>
      </c>
      <c r="DJ228" s="6">
        <f t="shared" si="302"/>
        <v>0</v>
      </c>
      <c r="DK228" s="6">
        <v>0</v>
      </c>
      <c r="DL228" s="6">
        <f t="shared" si="303"/>
        <v>0</v>
      </c>
      <c r="DM228" s="6">
        <f t="shared" si="304"/>
        <v>0</v>
      </c>
      <c r="DN228" s="6">
        <v>0</v>
      </c>
      <c r="DO228" s="6">
        <f t="shared" si="305"/>
        <v>0</v>
      </c>
      <c r="DP228" s="6">
        <f t="shared" si="306"/>
        <v>0</v>
      </c>
    </row>
    <row r="229" spans="1:120" x14ac:dyDescent="0.2">
      <c r="A229" s="21">
        <v>85</v>
      </c>
      <c r="B229" s="21" t="s">
        <v>612</v>
      </c>
      <c r="C229" s="21">
        <v>85010</v>
      </c>
      <c r="D229" s="21" t="s">
        <v>716</v>
      </c>
      <c r="E229" s="21" t="s">
        <v>522</v>
      </c>
      <c r="F229" s="22" t="s">
        <v>662</v>
      </c>
      <c r="G229" s="4" t="s">
        <v>341</v>
      </c>
      <c r="H229" s="6">
        <v>108145.41</v>
      </c>
      <c r="I229" s="6">
        <f t="shared" si="310"/>
        <v>296.28879452054798</v>
      </c>
      <c r="J229" s="6">
        <v>88275.225300000006</v>
      </c>
      <c r="K229" s="6">
        <v>95693.34</v>
      </c>
      <c r="L229" s="6">
        <f t="shared" si="311"/>
        <v>261.4572131147541</v>
      </c>
      <c r="M229" s="6">
        <v>84860.1734</v>
      </c>
      <c r="N229" s="6">
        <v>113312.91</v>
      </c>
      <c r="O229" s="6">
        <f t="shared" si="312"/>
        <v>310.4463287671233</v>
      </c>
      <c r="P229" s="6">
        <v>71244.450700000001</v>
      </c>
      <c r="Q229" s="6">
        <v>42022.46</v>
      </c>
      <c r="R229" s="6">
        <f t="shared" si="313"/>
        <v>232.16828729281767</v>
      </c>
      <c r="S229" s="6">
        <v>59813.356399999997</v>
      </c>
      <c r="T229" s="6">
        <f t="shared" si="239"/>
        <v>59813.356399999997</v>
      </c>
      <c r="U229" s="6">
        <f t="shared" si="240"/>
        <v>163.87220931506849</v>
      </c>
      <c r="V229" s="6">
        <v>50343.512699999999</v>
      </c>
      <c r="W229" s="6">
        <f t="shared" si="241"/>
        <v>50343.512699999999</v>
      </c>
      <c r="X229" s="6">
        <f t="shared" si="242"/>
        <v>137.92743205479451</v>
      </c>
      <c r="Y229" s="6">
        <v>42140.243900000001</v>
      </c>
      <c r="Z229" s="6">
        <f t="shared" si="243"/>
        <v>42140.243900000001</v>
      </c>
      <c r="AA229" s="6">
        <f t="shared" si="244"/>
        <v>115.45272301369863</v>
      </c>
      <c r="AB229" s="6">
        <v>35378.889300000003</v>
      </c>
      <c r="AC229" s="6">
        <f t="shared" si="245"/>
        <v>35378.889300000003</v>
      </c>
      <c r="AD229" s="6">
        <f t="shared" si="246"/>
        <v>96.928463835616441</v>
      </c>
      <c r="AE229" s="6">
        <v>27177.343099999998</v>
      </c>
      <c r="AF229" s="6">
        <f t="shared" si="247"/>
        <v>27177.343099999998</v>
      </c>
      <c r="AG229" s="6">
        <f t="shared" si="248"/>
        <v>74.458474246575335</v>
      </c>
      <c r="AH229" s="6">
        <v>0</v>
      </c>
      <c r="AI229" s="6">
        <f t="shared" si="249"/>
        <v>0</v>
      </c>
      <c r="AJ229" s="6">
        <f t="shared" si="250"/>
        <v>0</v>
      </c>
      <c r="AK229" s="6">
        <v>0</v>
      </c>
      <c r="AL229" s="6">
        <f t="shared" si="251"/>
        <v>0</v>
      </c>
      <c r="AM229" s="6">
        <f t="shared" si="252"/>
        <v>0</v>
      </c>
      <c r="AN229" s="6">
        <v>0</v>
      </c>
      <c r="AO229" s="6">
        <f t="shared" si="253"/>
        <v>0</v>
      </c>
      <c r="AP229" s="6">
        <f t="shared" si="254"/>
        <v>0</v>
      </c>
      <c r="AQ229" s="6">
        <v>0</v>
      </c>
      <c r="AR229" s="6">
        <f t="shared" si="255"/>
        <v>0</v>
      </c>
      <c r="AS229" s="6">
        <f t="shared" si="256"/>
        <v>0</v>
      </c>
      <c r="AT229" s="6">
        <v>0</v>
      </c>
      <c r="AU229" s="6">
        <f t="shared" si="257"/>
        <v>0</v>
      </c>
      <c r="AV229" s="6">
        <f t="shared" si="258"/>
        <v>0</v>
      </c>
      <c r="AW229" s="6">
        <v>0</v>
      </c>
      <c r="AX229" s="6">
        <f t="shared" si="259"/>
        <v>0</v>
      </c>
      <c r="AY229" s="6">
        <f t="shared" si="260"/>
        <v>0</v>
      </c>
      <c r="AZ229" s="6">
        <v>0</v>
      </c>
      <c r="BA229" s="6">
        <f t="shared" si="261"/>
        <v>0</v>
      </c>
      <c r="BB229" s="6">
        <f t="shared" si="262"/>
        <v>0</v>
      </c>
      <c r="BC229" s="6">
        <v>0</v>
      </c>
      <c r="BD229" s="6">
        <f t="shared" si="263"/>
        <v>0</v>
      </c>
      <c r="BE229" s="6">
        <f t="shared" si="264"/>
        <v>0</v>
      </c>
      <c r="BF229" s="6">
        <v>0</v>
      </c>
      <c r="BG229" s="6">
        <f t="shared" si="265"/>
        <v>0</v>
      </c>
      <c r="BH229" s="6">
        <f t="shared" si="266"/>
        <v>0</v>
      </c>
      <c r="BI229" s="6">
        <v>0</v>
      </c>
      <c r="BJ229" s="6">
        <f t="shared" si="267"/>
        <v>0</v>
      </c>
      <c r="BK229" s="6">
        <f t="shared" si="268"/>
        <v>0</v>
      </c>
      <c r="BL229" s="6">
        <v>0</v>
      </c>
      <c r="BM229" s="6">
        <f t="shared" si="269"/>
        <v>0</v>
      </c>
      <c r="BN229" s="6">
        <f t="shared" si="270"/>
        <v>0</v>
      </c>
      <c r="BO229" s="6">
        <v>0</v>
      </c>
      <c r="BP229" s="6">
        <f t="shared" si="271"/>
        <v>0</v>
      </c>
      <c r="BQ229" s="6">
        <f t="shared" si="272"/>
        <v>0</v>
      </c>
      <c r="BR229" s="6">
        <v>0</v>
      </c>
      <c r="BS229" s="6">
        <f t="shared" si="273"/>
        <v>0</v>
      </c>
      <c r="BT229" s="6">
        <f t="shared" si="274"/>
        <v>0</v>
      </c>
      <c r="BU229" s="6">
        <v>0</v>
      </c>
      <c r="BV229" s="6">
        <f t="shared" si="275"/>
        <v>0</v>
      </c>
      <c r="BW229" s="6">
        <f t="shared" si="276"/>
        <v>0</v>
      </c>
      <c r="BX229" s="6">
        <v>0</v>
      </c>
      <c r="BY229" s="6">
        <f t="shared" si="277"/>
        <v>0</v>
      </c>
      <c r="BZ229" s="6">
        <f t="shared" si="278"/>
        <v>0</v>
      </c>
      <c r="CA229" s="6">
        <v>0</v>
      </c>
      <c r="CB229" s="6">
        <f t="shared" si="279"/>
        <v>0</v>
      </c>
      <c r="CC229" s="6">
        <f t="shared" si="280"/>
        <v>0</v>
      </c>
      <c r="CD229" s="6">
        <v>0</v>
      </c>
      <c r="CE229" s="6">
        <f t="shared" si="281"/>
        <v>0</v>
      </c>
      <c r="CF229" s="6">
        <f t="shared" si="282"/>
        <v>0</v>
      </c>
      <c r="CG229" s="6">
        <v>0</v>
      </c>
      <c r="CH229" s="6">
        <f t="shared" si="283"/>
        <v>0</v>
      </c>
      <c r="CI229" s="6">
        <f t="shared" si="284"/>
        <v>0</v>
      </c>
      <c r="CJ229" s="6">
        <v>0</v>
      </c>
      <c r="CK229" s="6">
        <f t="shared" si="285"/>
        <v>0</v>
      </c>
      <c r="CL229" s="6">
        <f t="shared" si="286"/>
        <v>0</v>
      </c>
      <c r="CM229" s="6">
        <v>0</v>
      </c>
      <c r="CN229" s="6">
        <f t="shared" si="287"/>
        <v>0</v>
      </c>
      <c r="CO229" s="6">
        <f t="shared" si="288"/>
        <v>0</v>
      </c>
      <c r="CP229" s="6">
        <v>0</v>
      </c>
      <c r="CQ229" s="6">
        <f t="shared" si="289"/>
        <v>0</v>
      </c>
      <c r="CR229" s="6">
        <f t="shared" si="290"/>
        <v>0</v>
      </c>
      <c r="CS229" s="6">
        <v>0</v>
      </c>
      <c r="CT229" s="6">
        <f t="shared" si="291"/>
        <v>0</v>
      </c>
      <c r="CU229" s="6">
        <f t="shared" si="292"/>
        <v>0</v>
      </c>
      <c r="CV229" s="6">
        <v>0</v>
      </c>
      <c r="CW229" s="6">
        <f t="shared" si="293"/>
        <v>0</v>
      </c>
      <c r="CX229" s="6">
        <f t="shared" si="294"/>
        <v>0</v>
      </c>
      <c r="CY229" s="6">
        <v>0</v>
      </c>
      <c r="CZ229" s="6">
        <f t="shared" si="295"/>
        <v>0</v>
      </c>
      <c r="DA229" s="6">
        <f t="shared" si="296"/>
        <v>0</v>
      </c>
      <c r="DB229" s="6">
        <v>0</v>
      </c>
      <c r="DC229" s="6">
        <f t="shared" si="297"/>
        <v>0</v>
      </c>
      <c r="DD229" s="6">
        <f t="shared" si="298"/>
        <v>0</v>
      </c>
      <c r="DE229" s="6">
        <v>0</v>
      </c>
      <c r="DF229" s="6">
        <f t="shared" si="299"/>
        <v>0</v>
      </c>
      <c r="DG229" s="6">
        <f t="shared" si="300"/>
        <v>0</v>
      </c>
      <c r="DH229" s="6">
        <v>0</v>
      </c>
      <c r="DI229" s="6">
        <f t="shared" si="301"/>
        <v>0</v>
      </c>
      <c r="DJ229" s="6">
        <f t="shared" si="302"/>
        <v>0</v>
      </c>
      <c r="DK229" s="6">
        <v>0</v>
      </c>
      <c r="DL229" s="6">
        <f t="shared" si="303"/>
        <v>0</v>
      </c>
      <c r="DM229" s="6">
        <f t="shared" si="304"/>
        <v>0</v>
      </c>
      <c r="DN229" s="6">
        <v>0</v>
      </c>
      <c r="DO229" s="6">
        <f t="shared" si="305"/>
        <v>0</v>
      </c>
      <c r="DP229" s="6">
        <f t="shared" si="306"/>
        <v>0</v>
      </c>
    </row>
    <row r="230" spans="1:120" x14ac:dyDescent="0.2">
      <c r="A230" s="21">
        <v>68</v>
      </c>
      <c r="B230" s="21" t="s">
        <v>673</v>
      </c>
      <c r="C230" s="21">
        <v>68655</v>
      </c>
      <c r="D230" s="21" t="s">
        <v>689</v>
      </c>
      <c r="E230" s="21" t="s">
        <v>713</v>
      </c>
      <c r="F230" s="22" t="s">
        <v>662</v>
      </c>
      <c r="G230" s="4" t="s">
        <v>342</v>
      </c>
      <c r="H230" s="6">
        <v>173014.67</v>
      </c>
      <c r="I230" s="6">
        <f t="shared" si="310"/>
        <v>474.01279452054797</v>
      </c>
      <c r="J230" s="6">
        <v>182600</v>
      </c>
      <c r="K230" s="6">
        <v>175619.92</v>
      </c>
      <c r="L230" s="6">
        <f t="shared" si="311"/>
        <v>479.83584699453553</v>
      </c>
      <c r="M230" s="6">
        <v>241100</v>
      </c>
      <c r="N230" s="6">
        <v>150176.17000000001</v>
      </c>
      <c r="O230" s="6">
        <f t="shared" si="312"/>
        <v>411.44156164383566</v>
      </c>
      <c r="P230" s="6">
        <v>304800</v>
      </c>
      <c r="Q230" s="6">
        <v>83237.31</v>
      </c>
      <c r="R230" s="6">
        <f t="shared" si="313"/>
        <v>459.87464088397786</v>
      </c>
      <c r="S230" s="6">
        <v>355100</v>
      </c>
      <c r="T230" s="6">
        <f t="shared" si="239"/>
        <v>355100</v>
      </c>
      <c r="U230" s="6">
        <f t="shared" si="240"/>
        <v>972.8767123287671</v>
      </c>
      <c r="V230" s="6">
        <v>339700</v>
      </c>
      <c r="W230" s="6">
        <f t="shared" si="241"/>
        <v>339700</v>
      </c>
      <c r="X230" s="6">
        <f t="shared" si="242"/>
        <v>930.68493150684935</v>
      </c>
      <c r="Y230" s="6">
        <v>308900</v>
      </c>
      <c r="Z230" s="6">
        <f t="shared" si="243"/>
        <v>308900</v>
      </c>
      <c r="AA230" s="6">
        <f t="shared" si="244"/>
        <v>846.30136986301375</v>
      </c>
      <c r="AB230" s="6">
        <v>281400</v>
      </c>
      <c r="AC230" s="6">
        <f t="shared" si="245"/>
        <v>281400</v>
      </c>
      <c r="AD230" s="6">
        <f t="shared" si="246"/>
        <v>770.95890410958907</v>
      </c>
      <c r="AE230" s="6">
        <v>257000</v>
      </c>
      <c r="AF230" s="6">
        <f t="shared" si="247"/>
        <v>257000</v>
      </c>
      <c r="AG230" s="6">
        <f t="shared" si="248"/>
        <v>704.10958904109589</v>
      </c>
      <c r="AH230" s="6">
        <v>235300</v>
      </c>
      <c r="AI230" s="6">
        <f t="shared" si="249"/>
        <v>235300</v>
      </c>
      <c r="AJ230" s="6">
        <f t="shared" si="250"/>
        <v>644.65753424657532</v>
      </c>
      <c r="AK230" s="6">
        <v>215700</v>
      </c>
      <c r="AL230" s="6">
        <f t="shared" si="251"/>
        <v>215700</v>
      </c>
      <c r="AM230" s="6">
        <f t="shared" si="252"/>
        <v>590.95890410958907</v>
      </c>
      <c r="AN230" s="6">
        <v>198200</v>
      </c>
      <c r="AO230" s="6">
        <f t="shared" si="253"/>
        <v>198200</v>
      </c>
      <c r="AP230" s="6">
        <f t="shared" si="254"/>
        <v>543.01369863013701</v>
      </c>
      <c r="AQ230" s="6">
        <v>182300</v>
      </c>
      <c r="AR230" s="6">
        <f t="shared" si="255"/>
        <v>182300</v>
      </c>
      <c r="AS230" s="6">
        <f t="shared" si="256"/>
        <v>499.45205479452056</v>
      </c>
      <c r="AT230" s="6">
        <v>167200</v>
      </c>
      <c r="AU230" s="6">
        <f t="shared" si="257"/>
        <v>167200</v>
      </c>
      <c r="AV230" s="6">
        <f t="shared" si="258"/>
        <v>458.08219178082192</v>
      </c>
      <c r="AW230" s="6">
        <v>153900</v>
      </c>
      <c r="AX230" s="6">
        <f t="shared" si="259"/>
        <v>153900</v>
      </c>
      <c r="AY230" s="6">
        <f t="shared" si="260"/>
        <v>421.64383561643837</v>
      </c>
      <c r="AZ230" s="6">
        <v>140500</v>
      </c>
      <c r="BA230" s="6">
        <f t="shared" si="261"/>
        <v>140500</v>
      </c>
      <c r="BB230" s="6">
        <f t="shared" si="262"/>
        <v>384.93150684931504</v>
      </c>
      <c r="BC230" s="6">
        <v>130300</v>
      </c>
      <c r="BD230" s="6">
        <f t="shared" si="263"/>
        <v>130300</v>
      </c>
      <c r="BE230" s="6">
        <f t="shared" si="264"/>
        <v>356.98630136986299</v>
      </c>
      <c r="BF230" s="6">
        <v>121000</v>
      </c>
      <c r="BG230" s="6">
        <f t="shared" si="265"/>
        <v>121000</v>
      </c>
      <c r="BH230" s="6">
        <f t="shared" si="266"/>
        <v>331.50684931506851</v>
      </c>
      <c r="BI230" s="6">
        <v>112600</v>
      </c>
      <c r="BJ230" s="6">
        <f t="shared" si="267"/>
        <v>112600</v>
      </c>
      <c r="BK230" s="6">
        <f t="shared" si="268"/>
        <v>308.49315068493149</v>
      </c>
      <c r="BL230" s="6">
        <v>103800</v>
      </c>
      <c r="BM230" s="6">
        <f t="shared" si="269"/>
        <v>103800</v>
      </c>
      <c r="BN230" s="6">
        <f t="shared" si="270"/>
        <v>284.38356164383561</v>
      </c>
      <c r="BO230" s="6">
        <v>94900</v>
      </c>
      <c r="BP230" s="6">
        <f t="shared" si="271"/>
        <v>94900</v>
      </c>
      <c r="BQ230" s="6">
        <f t="shared" si="272"/>
        <v>260</v>
      </c>
      <c r="BR230" s="6">
        <v>88700</v>
      </c>
      <c r="BS230" s="6">
        <f t="shared" si="273"/>
        <v>88700</v>
      </c>
      <c r="BT230" s="6">
        <f t="shared" si="274"/>
        <v>243.01369863013699</v>
      </c>
      <c r="BU230" s="6">
        <v>82300</v>
      </c>
      <c r="BV230" s="6">
        <f t="shared" si="275"/>
        <v>82300</v>
      </c>
      <c r="BW230" s="6">
        <f t="shared" si="276"/>
        <v>225.47945205479451</v>
      </c>
      <c r="BX230" s="6">
        <v>75800</v>
      </c>
      <c r="BY230" s="6">
        <f t="shared" si="277"/>
        <v>75800</v>
      </c>
      <c r="BZ230" s="6">
        <f t="shared" si="278"/>
        <v>207.67123287671234</v>
      </c>
      <c r="CA230" s="6">
        <v>70200</v>
      </c>
      <c r="CB230" s="6">
        <f t="shared" si="279"/>
        <v>70200</v>
      </c>
      <c r="CC230" s="6">
        <f t="shared" si="280"/>
        <v>192.32876712328766</v>
      </c>
      <c r="CD230" s="6">
        <v>64300</v>
      </c>
      <c r="CE230" s="6">
        <f t="shared" si="281"/>
        <v>64300</v>
      </c>
      <c r="CF230" s="6">
        <f t="shared" si="282"/>
        <v>176.16438356164383</v>
      </c>
      <c r="CG230" s="6">
        <v>56600</v>
      </c>
      <c r="CH230" s="6">
        <f t="shared" si="283"/>
        <v>56600</v>
      </c>
      <c r="CI230" s="6">
        <f t="shared" si="284"/>
        <v>155.06849315068493</v>
      </c>
      <c r="CJ230" s="6">
        <v>53000</v>
      </c>
      <c r="CK230" s="6">
        <f t="shared" si="285"/>
        <v>53000</v>
      </c>
      <c r="CL230" s="6">
        <f t="shared" si="286"/>
        <v>145.20547945205479</v>
      </c>
      <c r="CM230" s="6">
        <v>50100</v>
      </c>
      <c r="CN230" s="6">
        <f t="shared" si="287"/>
        <v>50100</v>
      </c>
      <c r="CO230" s="6">
        <f t="shared" si="288"/>
        <v>137.26027397260273</v>
      </c>
      <c r="CP230" s="6">
        <v>46500</v>
      </c>
      <c r="CQ230" s="6">
        <f t="shared" si="289"/>
        <v>46500</v>
      </c>
      <c r="CR230" s="6">
        <f t="shared" si="290"/>
        <v>127.39726027397261</v>
      </c>
      <c r="CS230" s="6">
        <v>43400</v>
      </c>
      <c r="CT230" s="6">
        <f t="shared" si="291"/>
        <v>43400</v>
      </c>
      <c r="CU230" s="6">
        <f t="shared" si="292"/>
        <v>118.9041095890411</v>
      </c>
      <c r="CV230" s="6">
        <v>41400</v>
      </c>
      <c r="CW230" s="6">
        <f t="shared" si="293"/>
        <v>41400</v>
      </c>
      <c r="CX230" s="6">
        <f t="shared" si="294"/>
        <v>113.42465753424658</v>
      </c>
      <c r="CY230" s="6">
        <v>38800</v>
      </c>
      <c r="CZ230" s="6">
        <f t="shared" si="295"/>
        <v>38800</v>
      </c>
      <c r="DA230" s="6">
        <f t="shared" si="296"/>
        <v>106.3013698630137</v>
      </c>
      <c r="DB230" s="6">
        <v>18400</v>
      </c>
      <c r="DC230" s="6">
        <f t="shared" si="297"/>
        <v>18400</v>
      </c>
      <c r="DD230" s="6">
        <f t="shared" si="298"/>
        <v>50.410958904109592</v>
      </c>
      <c r="DE230" s="6">
        <v>0</v>
      </c>
      <c r="DF230" s="6">
        <f t="shared" si="299"/>
        <v>0</v>
      </c>
      <c r="DG230" s="6">
        <f t="shared" si="300"/>
        <v>0</v>
      </c>
      <c r="DH230" s="6">
        <v>0</v>
      </c>
      <c r="DI230" s="6">
        <f t="shared" si="301"/>
        <v>0</v>
      </c>
      <c r="DJ230" s="6">
        <f t="shared" si="302"/>
        <v>0</v>
      </c>
      <c r="DK230" s="6">
        <v>0</v>
      </c>
      <c r="DL230" s="6">
        <f t="shared" si="303"/>
        <v>0</v>
      </c>
      <c r="DM230" s="6">
        <f t="shared" si="304"/>
        <v>0</v>
      </c>
      <c r="DN230" s="6">
        <v>0</v>
      </c>
      <c r="DO230" s="6">
        <f t="shared" si="305"/>
        <v>0</v>
      </c>
      <c r="DP230" s="6">
        <f t="shared" si="306"/>
        <v>0</v>
      </c>
    </row>
    <row r="231" spans="1:120" x14ac:dyDescent="0.2">
      <c r="A231" s="21">
        <v>68</v>
      </c>
      <c r="B231" s="21" t="s">
        <v>673</v>
      </c>
      <c r="C231" s="21">
        <v>68655</v>
      </c>
      <c r="D231" s="21" t="s">
        <v>689</v>
      </c>
      <c r="E231" s="21" t="s">
        <v>713</v>
      </c>
      <c r="F231" s="22" t="s">
        <v>662</v>
      </c>
      <c r="G231" s="4" t="s">
        <v>343</v>
      </c>
      <c r="H231" s="6">
        <v>2040.65</v>
      </c>
      <c r="I231" s="6">
        <f t="shared" si="310"/>
        <v>5.5908219178082197</v>
      </c>
      <c r="J231" s="6">
        <v>2400</v>
      </c>
      <c r="K231" s="6">
        <v>1918.78</v>
      </c>
      <c r="L231" s="6">
        <f t="shared" si="311"/>
        <v>5.2425683060109289</v>
      </c>
      <c r="M231" s="6">
        <v>2400</v>
      </c>
      <c r="N231" s="6">
        <v>1771.54</v>
      </c>
      <c r="O231" s="6">
        <f t="shared" si="312"/>
        <v>4.8535342465753422</v>
      </c>
      <c r="P231" s="6">
        <v>1800</v>
      </c>
      <c r="Q231" s="6">
        <v>998.82</v>
      </c>
      <c r="R231" s="6">
        <f t="shared" si="313"/>
        <v>5.5183425414364642</v>
      </c>
      <c r="S231" s="6">
        <v>1700</v>
      </c>
      <c r="T231" s="6">
        <f t="shared" si="239"/>
        <v>1700</v>
      </c>
      <c r="U231" s="6">
        <f t="shared" si="240"/>
        <v>4.6575342465753424</v>
      </c>
      <c r="V231" s="6">
        <v>1600</v>
      </c>
      <c r="W231" s="6">
        <f t="shared" si="241"/>
        <v>1600</v>
      </c>
      <c r="X231" s="6">
        <f t="shared" si="242"/>
        <v>4.3835616438356162</v>
      </c>
      <c r="Y231" s="6">
        <v>1500</v>
      </c>
      <c r="Z231" s="6">
        <f t="shared" si="243"/>
        <v>1500</v>
      </c>
      <c r="AA231" s="6">
        <f t="shared" si="244"/>
        <v>4.1095890410958908</v>
      </c>
      <c r="AB231" s="6">
        <v>1400</v>
      </c>
      <c r="AC231" s="6">
        <f t="shared" si="245"/>
        <v>1400</v>
      </c>
      <c r="AD231" s="6">
        <f t="shared" si="246"/>
        <v>3.8356164383561642</v>
      </c>
      <c r="AE231" s="6">
        <v>1400</v>
      </c>
      <c r="AF231" s="6">
        <f t="shared" si="247"/>
        <v>1400</v>
      </c>
      <c r="AG231" s="6">
        <f t="shared" si="248"/>
        <v>3.8356164383561642</v>
      </c>
      <c r="AH231" s="6">
        <v>1300</v>
      </c>
      <c r="AI231" s="6">
        <f t="shared" si="249"/>
        <v>1300</v>
      </c>
      <c r="AJ231" s="6">
        <f t="shared" si="250"/>
        <v>3.5616438356164384</v>
      </c>
      <c r="AK231" s="6">
        <v>1200</v>
      </c>
      <c r="AL231" s="6">
        <f t="shared" si="251"/>
        <v>1200</v>
      </c>
      <c r="AM231" s="6">
        <f t="shared" si="252"/>
        <v>3.2876712328767121</v>
      </c>
      <c r="AN231" s="6">
        <v>1200</v>
      </c>
      <c r="AO231" s="6">
        <f t="shared" si="253"/>
        <v>1200</v>
      </c>
      <c r="AP231" s="6">
        <f t="shared" si="254"/>
        <v>3.2876712328767121</v>
      </c>
      <c r="AQ231" s="6">
        <v>1100</v>
      </c>
      <c r="AR231" s="6">
        <f t="shared" si="255"/>
        <v>1100</v>
      </c>
      <c r="AS231" s="6">
        <f t="shared" si="256"/>
        <v>3.0136986301369864</v>
      </c>
      <c r="AT231" s="6">
        <v>1100</v>
      </c>
      <c r="AU231" s="6">
        <f t="shared" si="257"/>
        <v>1100</v>
      </c>
      <c r="AV231" s="6">
        <f t="shared" si="258"/>
        <v>3.0136986301369864</v>
      </c>
      <c r="AW231" s="6">
        <v>1000</v>
      </c>
      <c r="AX231" s="6">
        <f t="shared" si="259"/>
        <v>1000</v>
      </c>
      <c r="AY231" s="6">
        <f t="shared" si="260"/>
        <v>2.7397260273972601</v>
      </c>
      <c r="AZ231" s="6">
        <v>1000</v>
      </c>
      <c r="BA231" s="6">
        <f t="shared" si="261"/>
        <v>1000</v>
      </c>
      <c r="BB231" s="6">
        <f t="shared" si="262"/>
        <v>2.7397260273972601</v>
      </c>
      <c r="BC231" s="6">
        <v>900</v>
      </c>
      <c r="BD231" s="6">
        <f t="shared" si="263"/>
        <v>900</v>
      </c>
      <c r="BE231" s="6">
        <f t="shared" si="264"/>
        <v>2.4657534246575343</v>
      </c>
      <c r="BF231" s="6">
        <v>400</v>
      </c>
      <c r="BG231" s="6">
        <f t="shared" si="265"/>
        <v>400</v>
      </c>
      <c r="BH231" s="6">
        <f t="shared" si="266"/>
        <v>1.095890410958904</v>
      </c>
      <c r="BI231" s="6">
        <v>0</v>
      </c>
      <c r="BJ231" s="6">
        <f t="shared" si="267"/>
        <v>0</v>
      </c>
      <c r="BK231" s="6">
        <f t="shared" si="268"/>
        <v>0</v>
      </c>
      <c r="BL231" s="6">
        <v>0</v>
      </c>
      <c r="BM231" s="6">
        <f t="shared" si="269"/>
        <v>0</v>
      </c>
      <c r="BN231" s="6">
        <f t="shared" si="270"/>
        <v>0</v>
      </c>
      <c r="BO231" s="6">
        <v>0</v>
      </c>
      <c r="BP231" s="6">
        <f t="shared" si="271"/>
        <v>0</v>
      </c>
      <c r="BQ231" s="6">
        <f t="shared" si="272"/>
        <v>0</v>
      </c>
      <c r="BR231" s="6">
        <v>0</v>
      </c>
      <c r="BS231" s="6">
        <f t="shared" si="273"/>
        <v>0</v>
      </c>
      <c r="BT231" s="6">
        <f t="shared" si="274"/>
        <v>0</v>
      </c>
      <c r="BU231" s="6">
        <v>0</v>
      </c>
      <c r="BV231" s="6">
        <f t="shared" si="275"/>
        <v>0</v>
      </c>
      <c r="BW231" s="6">
        <f t="shared" si="276"/>
        <v>0</v>
      </c>
      <c r="BX231" s="6">
        <v>0</v>
      </c>
      <c r="BY231" s="6">
        <f t="shared" si="277"/>
        <v>0</v>
      </c>
      <c r="BZ231" s="6">
        <f t="shared" si="278"/>
        <v>0</v>
      </c>
      <c r="CA231" s="6">
        <v>0</v>
      </c>
      <c r="CB231" s="6">
        <f t="shared" si="279"/>
        <v>0</v>
      </c>
      <c r="CC231" s="6">
        <f t="shared" si="280"/>
        <v>0</v>
      </c>
      <c r="CD231" s="6">
        <v>0</v>
      </c>
      <c r="CE231" s="6">
        <f t="shared" si="281"/>
        <v>0</v>
      </c>
      <c r="CF231" s="6">
        <f t="shared" si="282"/>
        <v>0</v>
      </c>
      <c r="CG231" s="6">
        <v>0</v>
      </c>
      <c r="CH231" s="6">
        <f t="shared" si="283"/>
        <v>0</v>
      </c>
      <c r="CI231" s="6">
        <f t="shared" si="284"/>
        <v>0</v>
      </c>
      <c r="CJ231" s="6">
        <v>0</v>
      </c>
      <c r="CK231" s="6">
        <f t="shared" si="285"/>
        <v>0</v>
      </c>
      <c r="CL231" s="6">
        <f t="shared" si="286"/>
        <v>0</v>
      </c>
      <c r="CM231" s="6">
        <v>0</v>
      </c>
      <c r="CN231" s="6">
        <f t="shared" si="287"/>
        <v>0</v>
      </c>
      <c r="CO231" s="6">
        <f t="shared" si="288"/>
        <v>0</v>
      </c>
      <c r="CP231" s="6">
        <v>0</v>
      </c>
      <c r="CQ231" s="6">
        <f t="shared" si="289"/>
        <v>0</v>
      </c>
      <c r="CR231" s="6">
        <f t="shared" si="290"/>
        <v>0</v>
      </c>
      <c r="CS231" s="6">
        <v>0</v>
      </c>
      <c r="CT231" s="6">
        <f t="shared" si="291"/>
        <v>0</v>
      </c>
      <c r="CU231" s="6">
        <f t="shared" si="292"/>
        <v>0</v>
      </c>
      <c r="CV231" s="6">
        <v>0</v>
      </c>
      <c r="CW231" s="6">
        <f t="shared" si="293"/>
        <v>0</v>
      </c>
      <c r="CX231" s="6">
        <f t="shared" si="294"/>
        <v>0</v>
      </c>
      <c r="CY231" s="6">
        <v>0</v>
      </c>
      <c r="CZ231" s="6">
        <f t="shared" si="295"/>
        <v>0</v>
      </c>
      <c r="DA231" s="6">
        <f t="shared" si="296"/>
        <v>0</v>
      </c>
      <c r="DB231" s="6">
        <v>0</v>
      </c>
      <c r="DC231" s="6">
        <f t="shared" si="297"/>
        <v>0</v>
      </c>
      <c r="DD231" s="6">
        <f t="shared" si="298"/>
        <v>0</v>
      </c>
      <c r="DE231" s="6">
        <v>0</v>
      </c>
      <c r="DF231" s="6">
        <f t="shared" si="299"/>
        <v>0</v>
      </c>
      <c r="DG231" s="6">
        <f t="shared" si="300"/>
        <v>0</v>
      </c>
      <c r="DH231" s="6">
        <v>0</v>
      </c>
      <c r="DI231" s="6">
        <f t="shared" si="301"/>
        <v>0</v>
      </c>
      <c r="DJ231" s="6">
        <f t="shared" si="302"/>
        <v>0</v>
      </c>
      <c r="DK231" s="6">
        <v>0</v>
      </c>
      <c r="DL231" s="6">
        <f t="shared" si="303"/>
        <v>0</v>
      </c>
      <c r="DM231" s="6">
        <f t="shared" si="304"/>
        <v>0</v>
      </c>
      <c r="DN231" s="6">
        <v>0</v>
      </c>
      <c r="DO231" s="6">
        <f t="shared" si="305"/>
        <v>0</v>
      </c>
      <c r="DP231" s="6">
        <f t="shared" si="306"/>
        <v>0</v>
      </c>
    </row>
    <row r="232" spans="1:120" x14ac:dyDescent="0.2">
      <c r="A232" s="21">
        <v>50</v>
      </c>
      <c r="B232" s="21" t="s">
        <v>675</v>
      </c>
      <c r="C232" s="21">
        <v>50568</v>
      </c>
      <c r="D232" s="21" t="s">
        <v>700</v>
      </c>
      <c r="E232" s="21" t="s">
        <v>699</v>
      </c>
      <c r="F232" s="22" t="s">
        <v>659</v>
      </c>
      <c r="G232" s="4" t="s">
        <v>344</v>
      </c>
      <c r="H232" s="6">
        <v>503871.74</v>
      </c>
      <c r="I232" s="6">
        <f t="shared" si="310"/>
        <v>1380.4705205479452</v>
      </c>
      <c r="J232" s="6">
        <v>475203.3088</v>
      </c>
      <c r="K232" s="6">
        <v>450377.63</v>
      </c>
      <c r="L232" s="6">
        <f t="shared" si="311"/>
        <v>1230.5399726775956</v>
      </c>
      <c r="M232" s="6">
        <v>428898.36580000003</v>
      </c>
      <c r="N232" s="6">
        <v>464758.33</v>
      </c>
      <c r="O232" s="6">
        <f t="shared" si="312"/>
        <v>1273.310493150685</v>
      </c>
      <c r="P232" s="6">
        <v>367260.87089999998</v>
      </c>
      <c r="Q232" s="6">
        <v>218632.94</v>
      </c>
      <c r="R232" s="6">
        <f t="shared" si="313"/>
        <v>1207.9167955801106</v>
      </c>
      <c r="S232" s="6">
        <v>328419.56890000001</v>
      </c>
      <c r="T232" s="6">
        <f t="shared" si="239"/>
        <v>328419.56890000001</v>
      </c>
      <c r="U232" s="6">
        <f t="shared" si="240"/>
        <v>899.77964082191784</v>
      </c>
      <c r="V232" s="6">
        <v>287346.22590000002</v>
      </c>
      <c r="W232" s="6">
        <f t="shared" si="241"/>
        <v>287346.22590000002</v>
      </c>
      <c r="X232" s="6">
        <f t="shared" si="242"/>
        <v>787.24993397260278</v>
      </c>
      <c r="Y232" s="6">
        <v>64510.417699999998</v>
      </c>
      <c r="Z232" s="6">
        <f t="shared" si="243"/>
        <v>64510.417699999998</v>
      </c>
      <c r="AA232" s="6">
        <f t="shared" si="244"/>
        <v>176.74087041095891</v>
      </c>
      <c r="AB232" s="6">
        <v>0</v>
      </c>
      <c r="AC232" s="6">
        <f t="shared" si="245"/>
        <v>0</v>
      </c>
      <c r="AD232" s="6">
        <f t="shared" si="246"/>
        <v>0</v>
      </c>
      <c r="AE232" s="6">
        <v>0</v>
      </c>
      <c r="AF232" s="6">
        <f t="shared" si="247"/>
        <v>0</v>
      </c>
      <c r="AG232" s="6">
        <f t="shared" si="248"/>
        <v>0</v>
      </c>
      <c r="AH232" s="6">
        <v>0</v>
      </c>
      <c r="AI232" s="6">
        <f t="shared" si="249"/>
        <v>0</v>
      </c>
      <c r="AJ232" s="6">
        <f t="shared" si="250"/>
        <v>0</v>
      </c>
      <c r="AK232" s="6">
        <v>0</v>
      </c>
      <c r="AL232" s="6">
        <f t="shared" si="251"/>
        <v>0</v>
      </c>
      <c r="AM232" s="6">
        <f t="shared" si="252"/>
        <v>0</v>
      </c>
      <c r="AN232" s="6">
        <v>0</v>
      </c>
      <c r="AO232" s="6">
        <f t="shared" si="253"/>
        <v>0</v>
      </c>
      <c r="AP232" s="6">
        <f t="shared" si="254"/>
        <v>0</v>
      </c>
      <c r="AQ232" s="6">
        <v>0</v>
      </c>
      <c r="AR232" s="6">
        <f t="shared" si="255"/>
        <v>0</v>
      </c>
      <c r="AS232" s="6">
        <f t="shared" si="256"/>
        <v>0</v>
      </c>
      <c r="AT232" s="6">
        <v>0</v>
      </c>
      <c r="AU232" s="6">
        <f t="shared" si="257"/>
        <v>0</v>
      </c>
      <c r="AV232" s="6">
        <f t="shared" si="258"/>
        <v>0</v>
      </c>
      <c r="AW232" s="6">
        <v>0</v>
      </c>
      <c r="AX232" s="6">
        <f t="shared" si="259"/>
        <v>0</v>
      </c>
      <c r="AY232" s="6">
        <f t="shared" si="260"/>
        <v>0</v>
      </c>
      <c r="AZ232" s="6">
        <v>0</v>
      </c>
      <c r="BA232" s="6">
        <f t="shared" si="261"/>
        <v>0</v>
      </c>
      <c r="BB232" s="6">
        <f t="shared" si="262"/>
        <v>0</v>
      </c>
      <c r="BC232" s="6">
        <v>0</v>
      </c>
      <c r="BD232" s="6">
        <f t="shared" si="263"/>
        <v>0</v>
      </c>
      <c r="BE232" s="6">
        <f t="shared" si="264"/>
        <v>0</v>
      </c>
      <c r="BF232" s="6">
        <v>0</v>
      </c>
      <c r="BG232" s="6">
        <f t="shared" si="265"/>
        <v>0</v>
      </c>
      <c r="BH232" s="6">
        <f t="shared" si="266"/>
        <v>0</v>
      </c>
      <c r="BI232" s="6">
        <v>0</v>
      </c>
      <c r="BJ232" s="6">
        <f t="shared" si="267"/>
        <v>0</v>
      </c>
      <c r="BK232" s="6">
        <f t="shared" si="268"/>
        <v>0</v>
      </c>
      <c r="BL232" s="6">
        <v>0</v>
      </c>
      <c r="BM232" s="6">
        <f t="shared" si="269"/>
        <v>0</v>
      </c>
      <c r="BN232" s="6">
        <f t="shared" si="270"/>
        <v>0</v>
      </c>
      <c r="BO232" s="6">
        <v>0</v>
      </c>
      <c r="BP232" s="6">
        <f t="shared" si="271"/>
        <v>0</v>
      </c>
      <c r="BQ232" s="6">
        <f t="shared" si="272"/>
        <v>0</v>
      </c>
      <c r="BR232" s="6">
        <v>0</v>
      </c>
      <c r="BS232" s="6">
        <f t="shared" si="273"/>
        <v>0</v>
      </c>
      <c r="BT232" s="6">
        <f t="shared" si="274"/>
        <v>0</v>
      </c>
      <c r="BU232" s="6">
        <v>0</v>
      </c>
      <c r="BV232" s="6">
        <f t="shared" si="275"/>
        <v>0</v>
      </c>
      <c r="BW232" s="6">
        <f t="shared" si="276"/>
        <v>0</v>
      </c>
      <c r="BX232" s="6">
        <v>0</v>
      </c>
      <c r="BY232" s="6">
        <f t="shared" si="277"/>
        <v>0</v>
      </c>
      <c r="BZ232" s="6">
        <f t="shared" si="278"/>
        <v>0</v>
      </c>
      <c r="CA232" s="6">
        <v>0</v>
      </c>
      <c r="CB232" s="6">
        <f t="shared" si="279"/>
        <v>0</v>
      </c>
      <c r="CC232" s="6">
        <f t="shared" si="280"/>
        <v>0</v>
      </c>
      <c r="CD232" s="6">
        <v>0</v>
      </c>
      <c r="CE232" s="6">
        <f t="shared" si="281"/>
        <v>0</v>
      </c>
      <c r="CF232" s="6">
        <f t="shared" si="282"/>
        <v>0</v>
      </c>
      <c r="CG232" s="6">
        <v>0</v>
      </c>
      <c r="CH232" s="6">
        <f t="shared" si="283"/>
        <v>0</v>
      </c>
      <c r="CI232" s="6">
        <f t="shared" si="284"/>
        <v>0</v>
      </c>
      <c r="CJ232" s="6">
        <v>0</v>
      </c>
      <c r="CK232" s="6">
        <f t="shared" si="285"/>
        <v>0</v>
      </c>
      <c r="CL232" s="6">
        <f t="shared" si="286"/>
        <v>0</v>
      </c>
      <c r="CM232" s="6">
        <v>0</v>
      </c>
      <c r="CN232" s="6">
        <f t="shared" si="287"/>
        <v>0</v>
      </c>
      <c r="CO232" s="6">
        <f t="shared" si="288"/>
        <v>0</v>
      </c>
      <c r="CP232" s="6">
        <v>0</v>
      </c>
      <c r="CQ232" s="6">
        <f t="shared" si="289"/>
        <v>0</v>
      </c>
      <c r="CR232" s="6">
        <f t="shared" si="290"/>
        <v>0</v>
      </c>
      <c r="CS232" s="6">
        <v>0</v>
      </c>
      <c r="CT232" s="6">
        <f t="shared" si="291"/>
        <v>0</v>
      </c>
      <c r="CU232" s="6">
        <f t="shared" si="292"/>
        <v>0</v>
      </c>
      <c r="CV232" s="6">
        <v>0</v>
      </c>
      <c r="CW232" s="6">
        <f t="shared" si="293"/>
        <v>0</v>
      </c>
      <c r="CX232" s="6">
        <f t="shared" si="294"/>
        <v>0</v>
      </c>
      <c r="CY232" s="6">
        <v>0</v>
      </c>
      <c r="CZ232" s="6">
        <f t="shared" si="295"/>
        <v>0</v>
      </c>
      <c r="DA232" s="6">
        <f t="shared" si="296"/>
        <v>0</v>
      </c>
      <c r="DB232" s="6">
        <v>0</v>
      </c>
      <c r="DC232" s="6">
        <f t="shared" si="297"/>
        <v>0</v>
      </c>
      <c r="DD232" s="6">
        <f t="shared" si="298"/>
        <v>0</v>
      </c>
      <c r="DE232" s="6">
        <v>0</v>
      </c>
      <c r="DF232" s="6">
        <f t="shared" si="299"/>
        <v>0</v>
      </c>
      <c r="DG232" s="6">
        <f t="shared" si="300"/>
        <v>0</v>
      </c>
      <c r="DH232" s="6">
        <v>0</v>
      </c>
      <c r="DI232" s="6">
        <f t="shared" si="301"/>
        <v>0</v>
      </c>
      <c r="DJ232" s="6">
        <f t="shared" si="302"/>
        <v>0</v>
      </c>
      <c r="DK232" s="6">
        <v>0</v>
      </c>
      <c r="DL232" s="6">
        <f t="shared" si="303"/>
        <v>0</v>
      </c>
      <c r="DM232" s="6">
        <f t="shared" si="304"/>
        <v>0</v>
      </c>
      <c r="DN232" s="6">
        <v>0</v>
      </c>
      <c r="DO232" s="6">
        <f t="shared" si="305"/>
        <v>0</v>
      </c>
      <c r="DP232" s="6">
        <f t="shared" si="306"/>
        <v>0</v>
      </c>
    </row>
    <row r="233" spans="1:120" x14ac:dyDescent="0.2">
      <c r="A233" s="21">
        <v>50</v>
      </c>
      <c r="B233" s="21" t="s">
        <v>675</v>
      </c>
      <c r="C233" s="21">
        <v>50568</v>
      </c>
      <c r="D233" s="21" t="s">
        <v>700</v>
      </c>
      <c r="E233" s="21" t="s">
        <v>699</v>
      </c>
      <c r="F233" s="22" t="s">
        <v>659</v>
      </c>
      <c r="G233" s="4" t="s">
        <v>345</v>
      </c>
      <c r="H233" s="6">
        <v>193629.68</v>
      </c>
      <c r="I233" s="6">
        <f t="shared" si="310"/>
        <v>530.49227397260267</v>
      </c>
      <c r="J233" s="6">
        <v>195164.0257</v>
      </c>
      <c r="K233" s="6">
        <v>187990.66</v>
      </c>
      <c r="L233" s="6">
        <f t="shared" si="311"/>
        <v>513.63568306010927</v>
      </c>
      <c r="M233" s="6">
        <v>169165.99290000001</v>
      </c>
      <c r="N233" s="6">
        <v>153100.20000000001</v>
      </c>
      <c r="O233" s="6">
        <f t="shared" si="312"/>
        <v>419.45260273972605</v>
      </c>
      <c r="P233" s="6">
        <v>144852.06460000001</v>
      </c>
      <c r="Q233" s="6">
        <v>90192.99</v>
      </c>
      <c r="R233" s="6">
        <f t="shared" si="313"/>
        <v>498.30381215469617</v>
      </c>
      <c r="S233" s="6">
        <v>123447.3887</v>
      </c>
      <c r="T233" s="6">
        <f t="shared" si="239"/>
        <v>123447.3887</v>
      </c>
      <c r="U233" s="6">
        <f t="shared" si="240"/>
        <v>338.21202383561644</v>
      </c>
      <c r="V233" s="6">
        <v>108622.4813</v>
      </c>
      <c r="W233" s="6">
        <f t="shared" si="241"/>
        <v>108622.4813</v>
      </c>
      <c r="X233" s="6">
        <f t="shared" si="242"/>
        <v>297.5958391780822</v>
      </c>
      <c r="Y233" s="6">
        <v>24624.9133</v>
      </c>
      <c r="Z233" s="6">
        <f t="shared" si="243"/>
        <v>24624.9133</v>
      </c>
      <c r="AA233" s="6">
        <f t="shared" si="244"/>
        <v>67.465515890410956</v>
      </c>
      <c r="AB233" s="6">
        <v>0</v>
      </c>
      <c r="AC233" s="6">
        <f t="shared" si="245"/>
        <v>0</v>
      </c>
      <c r="AD233" s="6">
        <f t="shared" si="246"/>
        <v>0</v>
      </c>
      <c r="AE233" s="6">
        <v>0</v>
      </c>
      <c r="AF233" s="6">
        <f t="shared" si="247"/>
        <v>0</v>
      </c>
      <c r="AG233" s="6">
        <f t="shared" si="248"/>
        <v>0</v>
      </c>
      <c r="AH233" s="6">
        <v>0</v>
      </c>
      <c r="AI233" s="6">
        <f t="shared" si="249"/>
        <v>0</v>
      </c>
      <c r="AJ233" s="6">
        <f t="shared" si="250"/>
        <v>0</v>
      </c>
      <c r="AK233" s="6">
        <v>0</v>
      </c>
      <c r="AL233" s="6">
        <f t="shared" si="251"/>
        <v>0</v>
      </c>
      <c r="AM233" s="6">
        <f t="shared" si="252"/>
        <v>0</v>
      </c>
      <c r="AN233" s="6">
        <v>0</v>
      </c>
      <c r="AO233" s="6">
        <f t="shared" si="253"/>
        <v>0</v>
      </c>
      <c r="AP233" s="6">
        <f t="shared" si="254"/>
        <v>0</v>
      </c>
      <c r="AQ233" s="6">
        <v>0</v>
      </c>
      <c r="AR233" s="6">
        <f t="shared" si="255"/>
        <v>0</v>
      </c>
      <c r="AS233" s="6">
        <f t="shared" si="256"/>
        <v>0</v>
      </c>
      <c r="AT233" s="6">
        <v>0</v>
      </c>
      <c r="AU233" s="6">
        <f t="shared" si="257"/>
        <v>0</v>
      </c>
      <c r="AV233" s="6">
        <f t="shared" si="258"/>
        <v>0</v>
      </c>
      <c r="AW233" s="6">
        <v>0</v>
      </c>
      <c r="AX233" s="6">
        <f t="shared" si="259"/>
        <v>0</v>
      </c>
      <c r="AY233" s="6">
        <f t="shared" si="260"/>
        <v>0</v>
      </c>
      <c r="AZ233" s="6">
        <v>0</v>
      </c>
      <c r="BA233" s="6">
        <f t="shared" si="261"/>
        <v>0</v>
      </c>
      <c r="BB233" s="6">
        <f t="shared" si="262"/>
        <v>0</v>
      </c>
      <c r="BC233" s="6">
        <v>0</v>
      </c>
      <c r="BD233" s="6">
        <f t="shared" si="263"/>
        <v>0</v>
      </c>
      <c r="BE233" s="6">
        <f t="shared" si="264"/>
        <v>0</v>
      </c>
      <c r="BF233" s="6">
        <v>0</v>
      </c>
      <c r="BG233" s="6">
        <f t="shared" si="265"/>
        <v>0</v>
      </c>
      <c r="BH233" s="6">
        <f t="shared" si="266"/>
        <v>0</v>
      </c>
      <c r="BI233" s="6">
        <v>0</v>
      </c>
      <c r="BJ233" s="6">
        <f t="shared" si="267"/>
        <v>0</v>
      </c>
      <c r="BK233" s="6">
        <f t="shared" si="268"/>
        <v>0</v>
      </c>
      <c r="BL233" s="6">
        <v>0</v>
      </c>
      <c r="BM233" s="6">
        <f t="shared" si="269"/>
        <v>0</v>
      </c>
      <c r="BN233" s="6">
        <f t="shared" si="270"/>
        <v>0</v>
      </c>
      <c r="BO233" s="6">
        <v>0</v>
      </c>
      <c r="BP233" s="6">
        <f t="shared" si="271"/>
        <v>0</v>
      </c>
      <c r="BQ233" s="6">
        <f t="shared" si="272"/>
        <v>0</v>
      </c>
      <c r="BR233" s="6">
        <v>0</v>
      </c>
      <c r="BS233" s="6">
        <f t="shared" si="273"/>
        <v>0</v>
      </c>
      <c r="BT233" s="6">
        <f t="shared" si="274"/>
        <v>0</v>
      </c>
      <c r="BU233" s="6">
        <v>0</v>
      </c>
      <c r="BV233" s="6">
        <f t="shared" si="275"/>
        <v>0</v>
      </c>
      <c r="BW233" s="6">
        <f t="shared" si="276"/>
        <v>0</v>
      </c>
      <c r="BX233" s="6">
        <v>0</v>
      </c>
      <c r="BY233" s="6">
        <f t="shared" si="277"/>
        <v>0</v>
      </c>
      <c r="BZ233" s="6">
        <f t="shared" si="278"/>
        <v>0</v>
      </c>
      <c r="CA233" s="6">
        <v>0</v>
      </c>
      <c r="CB233" s="6">
        <f t="shared" si="279"/>
        <v>0</v>
      </c>
      <c r="CC233" s="6">
        <f t="shared" si="280"/>
        <v>0</v>
      </c>
      <c r="CD233" s="6">
        <v>0</v>
      </c>
      <c r="CE233" s="6">
        <f t="shared" si="281"/>
        <v>0</v>
      </c>
      <c r="CF233" s="6">
        <f t="shared" si="282"/>
        <v>0</v>
      </c>
      <c r="CG233" s="6">
        <v>0</v>
      </c>
      <c r="CH233" s="6">
        <f t="shared" si="283"/>
        <v>0</v>
      </c>
      <c r="CI233" s="6">
        <f t="shared" si="284"/>
        <v>0</v>
      </c>
      <c r="CJ233" s="6">
        <v>0</v>
      </c>
      <c r="CK233" s="6">
        <f t="shared" si="285"/>
        <v>0</v>
      </c>
      <c r="CL233" s="6">
        <f t="shared" si="286"/>
        <v>0</v>
      </c>
      <c r="CM233" s="6">
        <v>0</v>
      </c>
      <c r="CN233" s="6">
        <f t="shared" si="287"/>
        <v>0</v>
      </c>
      <c r="CO233" s="6">
        <f t="shared" si="288"/>
        <v>0</v>
      </c>
      <c r="CP233" s="6">
        <v>0</v>
      </c>
      <c r="CQ233" s="6">
        <f t="shared" si="289"/>
        <v>0</v>
      </c>
      <c r="CR233" s="6">
        <f t="shared" si="290"/>
        <v>0</v>
      </c>
      <c r="CS233" s="6">
        <v>0</v>
      </c>
      <c r="CT233" s="6">
        <f t="shared" si="291"/>
        <v>0</v>
      </c>
      <c r="CU233" s="6">
        <f t="shared" si="292"/>
        <v>0</v>
      </c>
      <c r="CV233" s="6">
        <v>0</v>
      </c>
      <c r="CW233" s="6">
        <f t="shared" si="293"/>
        <v>0</v>
      </c>
      <c r="CX233" s="6">
        <f t="shared" si="294"/>
        <v>0</v>
      </c>
      <c r="CY233" s="6">
        <v>0</v>
      </c>
      <c r="CZ233" s="6">
        <f t="shared" si="295"/>
        <v>0</v>
      </c>
      <c r="DA233" s="6">
        <f t="shared" si="296"/>
        <v>0</v>
      </c>
      <c r="DB233" s="6">
        <v>0</v>
      </c>
      <c r="DC233" s="6">
        <f t="shared" si="297"/>
        <v>0</v>
      </c>
      <c r="DD233" s="6">
        <f t="shared" si="298"/>
        <v>0</v>
      </c>
      <c r="DE233" s="6">
        <v>0</v>
      </c>
      <c r="DF233" s="6">
        <f t="shared" si="299"/>
        <v>0</v>
      </c>
      <c r="DG233" s="6">
        <f t="shared" si="300"/>
        <v>0</v>
      </c>
      <c r="DH233" s="6">
        <v>0</v>
      </c>
      <c r="DI233" s="6">
        <f t="shared" si="301"/>
        <v>0</v>
      </c>
      <c r="DJ233" s="6">
        <f t="shared" si="302"/>
        <v>0</v>
      </c>
      <c r="DK233" s="6">
        <v>0</v>
      </c>
      <c r="DL233" s="6">
        <f t="shared" si="303"/>
        <v>0</v>
      </c>
      <c r="DM233" s="6">
        <f t="shared" si="304"/>
        <v>0</v>
      </c>
      <c r="DN233" s="6">
        <v>0</v>
      </c>
      <c r="DO233" s="6">
        <f t="shared" si="305"/>
        <v>0</v>
      </c>
      <c r="DP233" s="6">
        <f t="shared" si="306"/>
        <v>0</v>
      </c>
    </row>
    <row r="234" spans="1:120" x14ac:dyDescent="0.2">
      <c r="A234" s="21">
        <v>50</v>
      </c>
      <c r="B234" s="21" t="s">
        <v>675</v>
      </c>
      <c r="C234" s="21">
        <v>50568</v>
      </c>
      <c r="D234" s="21" t="s">
        <v>700</v>
      </c>
      <c r="E234" s="21" t="s">
        <v>699</v>
      </c>
      <c r="F234" s="22" t="s">
        <v>659</v>
      </c>
      <c r="G234" s="4" t="s">
        <v>346</v>
      </c>
      <c r="H234" s="6">
        <v>185880.45</v>
      </c>
      <c r="I234" s="6">
        <f t="shared" si="310"/>
        <v>509.26150684931508</v>
      </c>
      <c r="J234" s="6">
        <v>204987.3046</v>
      </c>
      <c r="K234" s="6">
        <v>166981.31</v>
      </c>
      <c r="L234" s="6">
        <f t="shared" si="311"/>
        <v>456.233087431694</v>
      </c>
      <c r="M234" s="6">
        <v>177182.23490000001</v>
      </c>
      <c r="N234" s="6">
        <v>133436.26</v>
      </c>
      <c r="O234" s="6">
        <f t="shared" si="312"/>
        <v>365.57879452054794</v>
      </c>
      <c r="P234" s="6">
        <v>148844.97990000001</v>
      </c>
      <c r="Q234" s="6">
        <v>56411.56</v>
      </c>
      <c r="R234" s="6">
        <f t="shared" si="313"/>
        <v>311.66607734806627</v>
      </c>
      <c r="S234" s="6">
        <v>125627.20050000001</v>
      </c>
      <c r="T234" s="6">
        <f t="shared" si="239"/>
        <v>125627.20050000001</v>
      </c>
      <c r="U234" s="6">
        <f t="shared" si="240"/>
        <v>344.18411095890411</v>
      </c>
      <c r="V234" s="6">
        <v>101782.8285</v>
      </c>
      <c r="W234" s="6">
        <f t="shared" si="241"/>
        <v>101782.8285</v>
      </c>
      <c r="X234" s="6">
        <f t="shared" si="242"/>
        <v>278.85706438356164</v>
      </c>
      <c r="Y234" s="6">
        <v>21739.209200000001</v>
      </c>
      <c r="Z234" s="6">
        <f t="shared" si="243"/>
        <v>21739.209200000001</v>
      </c>
      <c r="AA234" s="6">
        <f t="shared" si="244"/>
        <v>59.559477260273972</v>
      </c>
      <c r="AB234" s="6">
        <v>0</v>
      </c>
      <c r="AC234" s="6">
        <f t="shared" si="245"/>
        <v>0</v>
      </c>
      <c r="AD234" s="6">
        <f t="shared" si="246"/>
        <v>0</v>
      </c>
      <c r="AE234" s="6">
        <v>0</v>
      </c>
      <c r="AF234" s="6">
        <f t="shared" si="247"/>
        <v>0</v>
      </c>
      <c r="AG234" s="6">
        <f t="shared" si="248"/>
        <v>0</v>
      </c>
      <c r="AH234" s="6">
        <v>0</v>
      </c>
      <c r="AI234" s="6">
        <f t="shared" si="249"/>
        <v>0</v>
      </c>
      <c r="AJ234" s="6">
        <f t="shared" si="250"/>
        <v>0</v>
      </c>
      <c r="AK234" s="6">
        <v>0</v>
      </c>
      <c r="AL234" s="6">
        <f t="shared" si="251"/>
        <v>0</v>
      </c>
      <c r="AM234" s="6">
        <f t="shared" si="252"/>
        <v>0</v>
      </c>
      <c r="AN234" s="6">
        <v>0</v>
      </c>
      <c r="AO234" s="6">
        <f t="shared" si="253"/>
        <v>0</v>
      </c>
      <c r="AP234" s="6">
        <f t="shared" si="254"/>
        <v>0</v>
      </c>
      <c r="AQ234" s="6">
        <v>0</v>
      </c>
      <c r="AR234" s="6">
        <f t="shared" si="255"/>
        <v>0</v>
      </c>
      <c r="AS234" s="6">
        <f t="shared" si="256"/>
        <v>0</v>
      </c>
      <c r="AT234" s="6">
        <v>0</v>
      </c>
      <c r="AU234" s="6">
        <f t="shared" si="257"/>
        <v>0</v>
      </c>
      <c r="AV234" s="6">
        <f t="shared" si="258"/>
        <v>0</v>
      </c>
      <c r="AW234" s="6">
        <v>0</v>
      </c>
      <c r="AX234" s="6">
        <f t="shared" si="259"/>
        <v>0</v>
      </c>
      <c r="AY234" s="6">
        <f t="shared" si="260"/>
        <v>0</v>
      </c>
      <c r="AZ234" s="6">
        <v>0</v>
      </c>
      <c r="BA234" s="6">
        <f t="shared" si="261"/>
        <v>0</v>
      </c>
      <c r="BB234" s="6">
        <f t="shared" si="262"/>
        <v>0</v>
      </c>
      <c r="BC234" s="6">
        <v>0</v>
      </c>
      <c r="BD234" s="6">
        <f t="shared" si="263"/>
        <v>0</v>
      </c>
      <c r="BE234" s="6">
        <f t="shared" si="264"/>
        <v>0</v>
      </c>
      <c r="BF234" s="6">
        <v>0</v>
      </c>
      <c r="BG234" s="6">
        <f t="shared" si="265"/>
        <v>0</v>
      </c>
      <c r="BH234" s="6">
        <f t="shared" si="266"/>
        <v>0</v>
      </c>
      <c r="BI234" s="6">
        <v>0</v>
      </c>
      <c r="BJ234" s="6">
        <f t="shared" si="267"/>
        <v>0</v>
      </c>
      <c r="BK234" s="6">
        <f t="shared" si="268"/>
        <v>0</v>
      </c>
      <c r="BL234" s="6">
        <v>0</v>
      </c>
      <c r="BM234" s="6">
        <f t="shared" si="269"/>
        <v>0</v>
      </c>
      <c r="BN234" s="6">
        <f t="shared" si="270"/>
        <v>0</v>
      </c>
      <c r="BO234" s="6">
        <v>0</v>
      </c>
      <c r="BP234" s="6">
        <f t="shared" si="271"/>
        <v>0</v>
      </c>
      <c r="BQ234" s="6">
        <f t="shared" si="272"/>
        <v>0</v>
      </c>
      <c r="BR234" s="6">
        <v>0</v>
      </c>
      <c r="BS234" s="6">
        <f t="shared" si="273"/>
        <v>0</v>
      </c>
      <c r="BT234" s="6">
        <f t="shared" si="274"/>
        <v>0</v>
      </c>
      <c r="BU234" s="6">
        <v>0</v>
      </c>
      <c r="BV234" s="6">
        <f t="shared" si="275"/>
        <v>0</v>
      </c>
      <c r="BW234" s="6">
        <f t="shared" si="276"/>
        <v>0</v>
      </c>
      <c r="BX234" s="6">
        <v>0</v>
      </c>
      <c r="BY234" s="6">
        <f t="shared" si="277"/>
        <v>0</v>
      </c>
      <c r="BZ234" s="6">
        <f t="shared" si="278"/>
        <v>0</v>
      </c>
      <c r="CA234" s="6">
        <v>0</v>
      </c>
      <c r="CB234" s="6">
        <f t="shared" si="279"/>
        <v>0</v>
      </c>
      <c r="CC234" s="6">
        <f t="shared" si="280"/>
        <v>0</v>
      </c>
      <c r="CD234" s="6">
        <v>0</v>
      </c>
      <c r="CE234" s="6">
        <f t="shared" si="281"/>
        <v>0</v>
      </c>
      <c r="CF234" s="6">
        <f t="shared" si="282"/>
        <v>0</v>
      </c>
      <c r="CG234" s="6">
        <v>0</v>
      </c>
      <c r="CH234" s="6">
        <f t="shared" si="283"/>
        <v>0</v>
      </c>
      <c r="CI234" s="6">
        <f t="shared" si="284"/>
        <v>0</v>
      </c>
      <c r="CJ234" s="6">
        <v>0</v>
      </c>
      <c r="CK234" s="6">
        <f t="shared" si="285"/>
        <v>0</v>
      </c>
      <c r="CL234" s="6">
        <f t="shared" si="286"/>
        <v>0</v>
      </c>
      <c r="CM234" s="6">
        <v>0</v>
      </c>
      <c r="CN234" s="6">
        <f t="shared" si="287"/>
        <v>0</v>
      </c>
      <c r="CO234" s="6">
        <f t="shared" si="288"/>
        <v>0</v>
      </c>
      <c r="CP234" s="6">
        <v>0</v>
      </c>
      <c r="CQ234" s="6">
        <f t="shared" si="289"/>
        <v>0</v>
      </c>
      <c r="CR234" s="6">
        <f t="shared" si="290"/>
        <v>0</v>
      </c>
      <c r="CS234" s="6">
        <v>0</v>
      </c>
      <c r="CT234" s="6">
        <f t="shared" si="291"/>
        <v>0</v>
      </c>
      <c r="CU234" s="6">
        <f t="shared" si="292"/>
        <v>0</v>
      </c>
      <c r="CV234" s="6">
        <v>0</v>
      </c>
      <c r="CW234" s="6">
        <f t="shared" si="293"/>
        <v>0</v>
      </c>
      <c r="CX234" s="6">
        <f t="shared" si="294"/>
        <v>0</v>
      </c>
      <c r="CY234" s="6">
        <v>0</v>
      </c>
      <c r="CZ234" s="6">
        <f t="shared" si="295"/>
        <v>0</v>
      </c>
      <c r="DA234" s="6">
        <f t="shared" si="296"/>
        <v>0</v>
      </c>
      <c r="DB234" s="6">
        <v>0</v>
      </c>
      <c r="DC234" s="6">
        <f t="shared" si="297"/>
        <v>0</v>
      </c>
      <c r="DD234" s="6">
        <f t="shared" si="298"/>
        <v>0</v>
      </c>
      <c r="DE234" s="6">
        <v>0</v>
      </c>
      <c r="DF234" s="6">
        <f t="shared" si="299"/>
        <v>0</v>
      </c>
      <c r="DG234" s="6">
        <f t="shared" si="300"/>
        <v>0</v>
      </c>
      <c r="DH234" s="6">
        <v>0</v>
      </c>
      <c r="DI234" s="6">
        <f t="shared" si="301"/>
        <v>0</v>
      </c>
      <c r="DJ234" s="6">
        <f t="shared" si="302"/>
        <v>0</v>
      </c>
      <c r="DK234" s="6">
        <v>0</v>
      </c>
      <c r="DL234" s="6">
        <f t="shared" si="303"/>
        <v>0</v>
      </c>
      <c r="DM234" s="6">
        <f t="shared" si="304"/>
        <v>0</v>
      </c>
      <c r="DN234" s="6">
        <v>0</v>
      </c>
      <c r="DO234" s="6">
        <f t="shared" si="305"/>
        <v>0</v>
      </c>
      <c r="DP234" s="6">
        <f t="shared" si="306"/>
        <v>0</v>
      </c>
    </row>
    <row r="235" spans="1:120" x14ac:dyDescent="0.2">
      <c r="A235" s="21">
        <v>50</v>
      </c>
      <c r="B235" s="21" t="s">
        <v>675</v>
      </c>
      <c r="C235" s="21">
        <v>50568</v>
      </c>
      <c r="D235" s="21" t="s">
        <v>700</v>
      </c>
      <c r="E235" s="21" t="s">
        <v>699</v>
      </c>
      <c r="F235" s="22" t="s">
        <v>659</v>
      </c>
      <c r="G235" s="4" t="s">
        <v>347</v>
      </c>
      <c r="H235" s="6">
        <v>206803.02</v>
      </c>
      <c r="I235" s="6">
        <f t="shared" si="310"/>
        <v>566.5836164383561</v>
      </c>
      <c r="J235" s="6">
        <v>184240.58369999999</v>
      </c>
      <c r="K235" s="6">
        <v>207449.96</v>
      </c>
      <c r="L235" s="6">
        <f t="shared" si="311"/>
        <v>566.80316939890713</v>
      </c>
      <c r="M235" s="6">
        <v>150025.5699</v>
      </c>
      <c r="N235" s="6">
        <v>183053.83</v>
      </c>
      <c r="O235" s="6">
        <f t="shared" si="312"/>
        <v>501.51734246575342</v>
      </c>
      <c r="P235" s="6">
        <v>124671.4342</v>
      </c>
      <c r="Q235" s="6">
        <v>101761.12</v>
      </c>
      <c r="R235" s="6">
        <f t="shared" si="313"/>
        <v>562.21613259668504</v>
      </c>
      <c r="S235" s="6">
        <v>104264.079</v>
      </c>
      <c r="T235" s="6">
        <f t="shared" si="239"/>
        <v>104264.079</v>
      </c>
      <c r="U235" s="6">
        <f t="shared" si="240"/>
        <v>285.65501095890409</v>
      </c>
      <c r="V235" s="6">
        <v>82270.815499999997</v>
      </c>
      <c r="W235" s="6">
        <f t="shared" si="241"/>
        <v>82270.815499999997</v>
      </c>
      <c r="X235" s="6">
        <f t="shared" si="242"/>
        <v>225.39949452054793</v>
      </c>
      <c r="Y235" s="6">
        <v>18022.675800000001</v>
      </c>
      <c r="Z235" s="6">
        <f t="shared" si="243"/>
        <v>18022.675800000001</v>
      </c>
      <c r="AA235" s="6">
        <f t="shared" si="244"/>
        <v>49.37719397260274</v>
      </c>
      <c r="AB235" s="6">
        <v>0</v>
      </c>
      <c r="AC235" s="6">
        <f t="shared" si="245"/>
        <v>0</v>
      </c>
      <c r="AD235" s="6">
        <f t="shared" si="246"/>
        <v>0</v>
      </c>
      <c r="AE235" s="6">
        <v>0</v>
      </c>
      <c r="AF235" s="6">
        <f t="shared" si="247"/>
        <v>0</v>
      </c>
      <c r="AG235" s="6">
        <f t="shared" si="248"/>
        <v>0</v>
      </c>
      <c r="AH235" s="6">
        <v>0</v>
      </c>
      <c r="AI235" s="6">
        <f t="shared" si="249"/>
        <v>0</v>
      </c>
      <c r="AJ235" s="6">
        <f t="shared" si="250"/>
        <v>0</v>
      </c>
      <c r="AK235" s="6">
        <v>0</v>
      </c>
      <c r="AL235" s="6">
        <f t="shared" si="251"/>
        <v>0</v>
      </c>
      <c r="AM235" s="6">
        <f t="shared" si="252"/>
        <v>0</v>
      </c>
      <c r="AN235" s="6">
        <v>0</v>
      </c>
      <c r="AO235" s="6">
        <f t="shared" si="253"/>
        <v>0</v>
      </c>
      <c r="AP235" s="6">
        <f t="shared" si="254"/>
        <v>0</v>
      </c>
      <c r="AQ235" s="6">
        <v>0</v>
      </c>
      <c r="AR235" s="6">
        <f t="shared" si="255"/>
        <v>0</v>
      </c>
      <c r="AS235" s="6">
        <f t="shared" si="256"/>
        <v>0</v>
      </c>
      <c r="AT235" s="6">
        <v>0</v>
      </c>
      <c r="AU235" s="6">
        <f t="shared" si="257"/>
        <v>0</v>
      </c>
      <c r="AV235" s="6">
        <f t="shared" si="258"/>
        <v>0</v>
      </c>
      <c r="AW235" s="6">
        <v>0</v>
      </c>
      <c r="AX235" s="6">
        <f t="shared" si="259"/>
        <v>0</v>
      </c>
      <c r="AY235" s="6">
        <f t="shared" si="260"/>
        <v>0</v>
      </c>
      <c r="AZ235" s="6">
        <v>0</v>
      </c>
      <c r="BA235" s="6">
        <f t="shared" si="261"/>
        <v>0</v>
      </c>
      <c r="BB235" s="6">
        <f t="shared" si="262"/>
        <v>0</v>
      </c>
      <c r="BC235" s="6">
        <v>0</v>
      </c>
      <c r="BD235" s="6">
        <f t="shared" si="263"/>
        <v>0</v>
      </c>
      <c r="BE235" s="6">
        <f t="shared" si="264"/>
        <v>0</v>
      </c>
      <c r="BF235" s="6">
        <v>0</v>
      </c>
      <c r="BG235" s="6">
        <f t="shared" si="265"/>
        <v>0</v>
      </c>
      <c r="BH235" s="6">
        <f t="shared" si="266"/>
        <v>0</v>
      </c>
      <c r="BI235" s="6">
        <v>0</v>
      </c>
      <c r="BJ235" s="6">
        <f t="shared" si="267"/>
        <v>0</v>
      </c>
      <c r="BK235" s="6">
        <f t="shared" si="268"/>
        <v>0</v>
      </c>
      <c r="BL235" s="6">
        <v>0</v>
      </c>
      <c r="BM235" s="6">
        <f t="shared" si="269"/>
        <v>0</v>
      </c>
      <c r="BN235" s="6">
        <f t="shared" si="270"/>
        <v>0</v>
      </c>
      <c r="BO235" s="6">
        <v>0</v>
      </c>
      <c r="BP235" s="6">
        <f t="shared" si="271"/>
        <v>0</v>
      </c>
      <c r="BQ235" s="6">
        <f t="shared" si="272"/>
        <v>0</v>
      </c>
      <c r="BR235" s="6">
        <v>0</v>
      </c>
      <c r="BS235" s="6">
        <f t="shared" si="273"/>
        <v>0</v>
      </c>
      <c r="BT235" s="6">
        <f t="shared" si="274"/>
        <v>0</v>
      </c>
      <c r="BU235" s="6">
        <v>0</v>
      </c>
      <c r="BV235" s="6">
        <f t="shared" si="275"/>
        <v>0</v>
      </c>
      <c r="BW235" s="6">
        <f t="shared" si="276"/>
        <v>0</v>
      </c>
      <c r="BX235" s="6">
        <v>0</v>
      </c>
      <c r="BY235" s="6">
        <f t="shared" si="277"/>
        <v>0</v>
      </c>
      <c r="BZ235" s="6">
        <f t="shared" si="278"/>
        <v>0</v>
      </c>
      <c r="CA235" s="6">
        <v>0</v>
      </c>
      <c r="CB235" s="6">
        <f t="shared" si="279"/>
        <v>0</v>
      </c>
      <c r="CC235" s="6">
        <f t="shared" si="280"/>
        <v>0</v>
      </c>
      <c r="CD235" s="6">
        <v>0</v>
      </c>
      <c r="CE235" s="6">
        <f t="shared" si="281"/>
        <v>0</v>
      </c>
      <c r="CF235" s="6">
        <f t="shared" si="282"/>
        <v>0</v>
      </c>
      <c r="CG235" s="6">
        <v>0</v>
      </c>
      <c r="CH235" s="6">
        <f t="shared" si="283"/>
        <v>0</v>
      </c>
      <c r="CI235" s="6">
        <f t="shared" si="284"/>
        <v>0</v>
      </c>
      <c r="CJ235" s="6">
        <v>0</v>
      </c>
      <c r="CK235" s="6">
        <f t="shared" si="285"/>
        <v>0</v>
      </c>
      <c r="CL235" s="6">
        <f t="shared" si="286"/>
        <v>0</v>
      </c>
      <c r="CM235" s="6">
        <v>0</v>
      </c>
      <c r="CN235" s="6">
        <f t="shared" si="287"/>
        <v>0</v>
      </c>
      <c r="CO235" s="6">
        <f t="shared" si="288"/>
        <v>0</v>
      </c>
      <c r="CP235" s="6">
        <v>0</v>
      </c>
      <c r="CQ235" s="6">
        <f t="shared" si="289"/>
        <v>0</v>
      </c>
      <c r="CR235" s="6">
        <f t="shared" si="290"/>
        <v>0</v>
      </c>
      <c r="CS235" s="6">
        <v>0</v>
      </c>
      <c r="CT235" s="6">
        <f t="shared" si="291"/>
        <v>0</v>
      </c>
      <c r="CU235" s="6">
        <f t="shared" si="292"/>
        <v>0</v>
      </c>
      <c r="CV235" s="6">
        <v>0</v>
      </c>
      <c r="CW235" s="6">
        <f t="shared" si="293"/>
        <v>0</v>
      </c>
      <c r="CX235" s="6">
        <f t="shared" si="294"/>
        <v>0</v>
      </c>
      <c r="CY235" s="6">
        <v>0</v>
      </c>
      <c r="CZ235" s="6">
        <f t="shared" si="295"/>
        <v>0</v>
      </c>
      <c r="DA235" s="6">
        <f t="shared" si="296"/>
        <v>0</v>
      </c>
      <c r="DB235" s="6">
        <v>0</v>
      </c>
      <c r="DC235" s="6">
        <f t="shared" si="297"/>
        <v>0</v>
      </c>
      <c r="DD235" s="6">
        <f t="shared" si="298"/>
        <v>0</v>
      </c>
      <c r="DE235" s="6">
        <v>0</v>
      </c>
      <c r="DF235" s="6">
        <f t="shared" si="299"/>
        <v>0</v>
      </c>
      <c r="DG235" s="6">
        <f t="shared" si="300"/>
        <v>0</v>
      </c>
      <c r="DH235" s="6">
        <v>0</v>
      </c>
      <c r="DI235" s="6">
        <f t="shared" si="301"/>
        <v>0</v>
      </c>
      <c r="DJ235" s="6">
        <f t="shared" si="302"/>
        <v>0</v>
      </c>
      <c r="DK235" s="6">
        <v>0</v>
      </c>
      <c r="DL235" s="6">
        <f t="shared" si="303"/>
        <v>0</v>
      </c>
      <c r="DM235" s="6">
        <f t="shared" si="304"/>
        <v>0</v>
      </c>
      <c r="DN235" s="6">
        <v>0</v>
      </c>
      <c r="DO235" s="6">
        <f t="shared" si="305"/>
        <v>0</v>
      </c>
      <c r="DP235" s="6">
        <f t="shared" si="306"/>
        <v>0</v>
      </c>
    </row>
    <row r="236" spans="1:120" x14ac:dyDescent="0.2">
      <c r="A236" s="21">
        <v>50</v>
      </c>
      <c r="B236" s="21" t="s">
        <v>675</v>
      </c>
      <c r="C236" s="21">
        <v>50568</v>
      </c>
      <c r="D236" s="21" t="s">
        <v>700</v>
      </c>
      <c r="E236" s="21" t="s">
        <v>631</v>
      </c>
      <c r="F236" s="22" t="s">
        <v>669</v>
      </c>
      <c r="G236" s="4" t="s">
        <v>348</v>
      </c>
      <c r="H236" s="6">
        <v>2074365.96</v>
      </c>
      <c r="I236" s="6">
        <f t="shared" si="310"/>
        <v>5683.194410958904</v>
      </c>
      <c r="J236" s="6">
        <v>1993525.6244999999</v>
      </c>
      <c r="K236" s="6">
        <v>1966842.47</v>
      </c>
      <c r="L236" s="6">
        <f t="shared" si="311"/>
        <v>5373.8865300546449</v>
      </c>
      <c r="M236" s="6">
        <v>1787772.2385</v>
      </c>
      <c r="N236" s="6">
        <v>1644472.9</v>
      </c>
      <c r="O236" s="6">
        <f t="shared" si="312"/>
        <v>4505.405205479452</v>
      </c>
      <c r="P236" s="6">
        <v>1313411.94</v>
      </c>
      <c r="Q236" s="6">
        <v>754629.42</v>
      </c>
      <c r="R236" s="6">
        <f t="shared" si="313"/>
        <v>4169.223314917127</v>
      </c>
      <c r="S236" s="6">
        <v>1093590.7757999999</v>
      </c>
      <c r="T236" s="6">
        <f t="shared" si="239"/>
        <v>1093590.7757999999</v>
      </c>
      <c r="U236" s="6">
        <f t="shared" si="240"/>
        <v>2996.1391117808216</v>
      </c>
      <c r="V236" s="6">
        <v>943708.16949999996</v>
      </c>
      <c r="W236" s="6">
        <f t="shared" si="241"/>
        <v>943708.16949999996</v>
      </c>
      <c r="X236" s="6">
        <f t="shared" si="242"/>
        <v>2585.5018342465751</v>
      </c>
      <c r="Y236" s="6">
        <v>831459.57149999996</v>
      </c>
      <c r="Z236" s="6">
        <f t="shared" si="243"/>
        <v>831459.57149999996</v>
      </c>
      <c r="AA236" s="6">
        <f t="shared" si="244"/>
        <v>2277.9714287671231</v>
      </c>
      <c r="AB236" s="6">
        <v>743955.46790000005</v>
      </c>
      <c r="AC236" s="6">
        <f t="shared" si="245"/>
        <v>743955.46790000005</v>
      </c>
      <c r="AD236" s="6">
        <f t="shared" si="246"/>
        <v>2038.234158630137</v>
      </c>
      <c r="AE236" s="6">
        <v>714506.27540000004</v>
      </c>
      <c r="AF236" s="6">
        <f t="shared" si="247"/>
        <v>714506.27540000004</v>
      </c>
      <c r="AG236" s="6">
        <f t="shared" si="248"/>
        <v>1957.5514394520549</v>
      </c>
      <c r="AH236" s="6">
        <v>682032.77469999995</v>
      </c>
      <c r="AI236" s="6">
        <f t="shared" si="249"/>
        <v>682032.77469999995</v>
      </c>
      <c r="AJ236" s="6">
        <f t="shared" si="250"/>
        <v>1868.5829443835614</v>
      </c>
      <c r="AK236" s="6">
        <v>592577.54429999995</v>
      </c>
      <c r="AL236" s="6">
        <f t="shared" si="251"/>
        <v>592577.54429999995</v>
      </c>
      <c r="AM236" s="6">
        <f t="shared" si="252"/>
        <v>1623.5001213698629</v>
      </c>
      <c r="AN236" s="6">
        <v>604193.52040000004</v>
      </c>
      <c r="AO236" s="6">
        <f t="shared" si="253"/>
        <v>604193.52040000004</v>
      </c>
      <c r="AP236" s="6">
        <f t="shared" si="254"/>
        <v>1655.3247134246576</v>
      </c>
      <c r="AQ236" s="6">
        <v>679735.16280000005</v>
      </c>
      <c r="AR236" s="6">
        <f t="shared" si="255"/>
        <v>679735.16280000005</v>
      </c>
      <c r="AS236" s="6">
        <f t="shared" si="256"/>
        <v>1862.288117260274</v>
      </c>
      <c r="AT236" s="6">
        <v>602549.16720000003</v>
      </c>
      <c r="AU236" s="6">
        <f t="shared" si="257"/>
        <v>602549.16720000003</v>
      </c>
      <c r="AV236" s="6">
        <f t="shared" si="258"/>
        <v>1650.8196361643836</v>
      </c>
      <c r="AW236" s="6">
        <v>589092.22270000004</v>
      </c>
      <c r="AX236" s="6">
        <f t="shared" si="259"/>
        <v>589092.22270000004</v>
      </c>
      <c r="AY236" s="6">
        <f t="shared" si="260"/>
        <v>1613.9512950684932</v>
      </c>
      <c r="AZ236" s="6">
        <v>0</v>
      </c>
      <c r="BA236" s="6">
        <f t="shared" si="261"/>
        <v>0</v>
      </c>
      <c r="BB236" s="6">
        <f t="shared" si="262"/>
        <v>0</v>
      </c>
      <c r="BC236" s="6">
        <v>0</v>
      </c>
      <c r="BD236" s="6">
        <f t="shared" si="263"/>
        <v>0</v>
      </c>
      <c r="BE236" s="6">
        <f t="shared" si="264"/>
        <v>0</v>
      </c>
      <c r="BF236" s="6">
        <v>0</v>
      </c>
      <c r="BG236" s="6">
        <f t="shared" si="265"/>
        <v>0</v>
      </c>
      <c r="BH236" s="6">
        <f t="shared" si="266"/>
        <v>0</v>
      </c>
      <c r="BI236" s="6">
        <v>0</v>
      </c>
      <c r="BJ236" s="6">
        <f t="shared" si="267"/>
        <v>0</v>
      </c>
      <c r="BK236" s="6">
        <f t="shared" si="268"/>
        <v>0</v>
      </c>
      <c r="BL236" s="6">
        <v>0</v>
      </c>
      <c r="BM236" s="6">
        <f t="shared" si="269"/>
        <v>0</v>
      </c>
      <c r="BN236" s="6">
        <f t="shared" si="270"/>
        <v>0</v>
      </c>
      <c r="BO236" s="6">
        <v>0</v>
      </c>
      <c r="BP236" s="6">
        <f t="shared" si="271"/>
        <v>0</v>
      </c>
      <c r="BQ236" s="6">
        <f t="shared" si="272"/>
        <v>0</v>
      </c>
      <c r="BR236" s="6">
        <v>0</v>
      </c>
      <c r="BS236" s="6">
        <f t="shared" si="273"/>
        <v>0</v>
      </c>
      <c r="BT236" s="6">
        <f t="shared" si="274"/>
        <v>0</v>
      </c>
      <c r="BU236" s="6">
        <v>0</v>
      </c>
      <c r="BV236" s="6">
        <f t="shared" si="275"/>
        <v>0</v>
      </c>
      <c r="BW236" s="6">
        <f t="shared" si="276"/>
        <v>0</v>
      </c>
      <c r="BX236" s="6">
        <v>0</v>
      </c>
      <c r="BY236" s="6">
        <f t="shared" si="277"/>
        <v>0</v>
      </c>
      <c r="BZ236" s="6">
        <f t="shared" si="278"/>
        <v>0</v>
      </c>
      <c r="CA236" s="6">
        <v>0</v>
      </c>
      <c r="CB236" s="6">
        <f t="shared" si="279"/>
        <v>0</v>
      </c>
      <c r="CC236" s="6">
        <f t="shared" si="280"/>
        <v>0</v>
      </c>
      <c r="CD236" s="6">
        <v>0</v>
      </c>
      <c r="CE236" s="6">
        <f t="shared" si="281"/>
        <v>0</v>
      </c>
      <c r="CF236" s="6">
        <f t="shared" si="282"/>
        <v>0</v>
      </c>
      <c r="CG236" s="6">
        <v>0</v>
      </c>
      <c r="CH236" s="6">
        <f t="shared" si="283"/>
        <v>0</v>
      </c>
      <c r="CI236" s="6">
        <f t="shared" si="284"/>
        <v>0</v>
      </c>
      <c r="CJ236" s="6">
        <v>0</v>
      </c>
      <c r="CK236" s="6">
        <f t="shared" si="285"/>
        <v>0</v>
      </c>
      <c r="CL236" s="6">
        <f t="shared" si="286"/>
        <v>0</v>
      </c>
      <c r="CM236" s="6">
        <v>0</v>
      </c>
      <c r="CN236" s="6">
        <f t="shared" si="287"/>
        <v>0</v>
      </c>
      <c r="CO236" s="6">
        <f t="shared" si="288"/>
        <v>0</v>
      </c>
      <c r="CP236" s="6">
        <v>0</v>
      </c>
      <c r="CQ236" s="6">
        <f t="shared" si="289"/>
        <v>0</v>
      </c>
      <c r="CR236" s="6">
        <f t="shared" si="290"/>
        <v>0</v>
      </c>
      <c r="CS236" s="6">
        <v>0</v>
      </c>
      <c r="CT236" s="6">
        <f t="shared" si="291"/>
        <v>0</v>
      </c>
      <c r="CU236" s="6">
        <f t="shared" si="292"/>
        <v>0</v>
      </c>
      <c r="CV236" s="6">
        <v>0</v>
      </c>
      <c r="CW236" s="6">
        <f t="shared" si="293"/>
        <v>0</v>
      </c>
      <c r="CX236" s="6">
        <f t="shared" si="294"/>
        <v>0</v>
      </c>
      <c r="CY236" s="6">
        <v>0</v>
      </c>
      <c r="CZ236" s="6">
        <f t="shared" si="295"/>
        <v>0</v>
      </c>
      <c r="DA236" s="6">
        <f t="shared" si="296"/>
        <v>0</v>
      </c>
      <c r="DB236" s="6">
        <v>0</v>
      </c>
      <c r="DC236" s="6">
        <f t="shared" si="297"/>
        <v>0</v>
      </c>
      <c r="DD236" s="6">
        <f t="shared" si="298"/>
        <v>0</v>
      </c>
      <c r="DE236" s="6">
        <v>0</v>
      </c>
      <c r="DF236" s="6">
        <f t="shared" si="299"/>
        <v>0</v>
      </c>
      <c r="DG236" s="6">
        <f t="shared" si="300"/>
        <v>0</v>
      </c>
      <c r="DH236" s="6">
        <v>0</v>
      </c>
      <c r="DI236" s="6">
        <f t="shared" si="301"/>
        <v>0</v>
      </c>
      <c r="DJ236" s="6">
        <f t="shared" si="302"/>
        <v>0</v>
      </c>
      <c r="DK236" s="6">
        <v>0</v>
      </c>
      <c r="DL236" s="6">
        <f t="shared" si="303"/>
        <v>0</v>
      </c>
      <c r="DM236" s="6">
        <f t="shared" si="304"/>
        <v>0</v>
      </c>
      <c r="DN236" s="6">
        <v>0</v>
      </c>
      <c r="DO236" s="6">
        <f t="shared" si="305"/>
        <v>0</v>
      </c>
      <c r="DP236" s="6">
        <f t="shared" si="306"/>
        <v>0</v>
      </c>
    </row>
    <row r="237" spans="1:120" x14ac:dyDescent="0.2">
      <c r="A237" s="21">
        <v>50</v>
      </c>
      <c r="B237" s="21" t="s">
        <v>675</v>
      </c>
      <c r="C237" s="21">
        <v>50568</v>
      </c>
      <c r="D237" s="21" t="s">
        <v>700</v>
      </c>
      <c r="E237" s="21" t="s">
        <v>631</v>
      </c>
      <c r="F237" s="22" t="s">
        <v>669</v>
      </c>
      <c r="G237" s="4" t="s">
        <v>349</v>
      </c>
      <c r="H237" s="6">
        <v>1334479.67</v>
      </c>
      <c r="I237" s="6">
        <f t="shared" si="310"/>
        <v>3656.1086849315066</v>
      </c>
      <c r="J237" s="6">
        <v>1677404.3514</v>
      </c>
      <c r="K237" s="6">
        <v>1822943.34</v>
      </c>
      <c r="L237" s="6">
        <f t="shared" si="311"/>
        <v>4980.7195081967211</v>
      </c>
      <c r="M237" s="6">
        <v>931631.54920000001</v>
      </c>
      <c r="N237" s="6">
        <v>1384285.47</v>
      </c>
      <c r="O237" s="6">
        <f t="shared" si="312"/>
        <v>3792.5629315068491</v>
      </c>
      <c r="P237" s="6">
        <v>637318.37569999998</v>
      </c>
      <c r="Q237" s="6">
        <v>542555.43999999994</v>
      </c>
      <c r="R237" s="6">
        <f t="shared" si="313"/>
        <v>2997.5438674033148</v>
      </c>
      <c r="S237" s="6">
        <v>489776.09879999998</v>
      </c>
      <c r="T237" s="6">
        <f t="shared" si="239"/>
        <v>489776.09879999998</v>
      </c>
      <c r="U237" s="6">
        <f t="shared" si="240"/>
        <v>1341.852325479452</v>
      </c>
      <c r="V237" s="6">
        <v>397488.4423</v>
      </c>
      <c r="W237" s="6">
        <f t="shared" si="241"/>
        <v>397488.4423</v>
      </c>
      <c r="X237" s="6">
        <f t="shared" si="242"/>
        <v>1089.0094309589042</v>
      </c>
      <c r="Y237" s="6">
        <v>305888.30479999998</v>
      </c>
      <c r="Z237" s="6">
        <f t="shared" si="243"/>
        <v>305888.30479999998</v>
      </c>
      <c r="AA237" s="6">
        <f t="shared" si="244"/>
        <v>838.0501501369863</v>
      </c>
      <c r="AB237" s="6">
        <v>261510.9241</v>
      </c>
      <c r="AC237" s="6">
        <f t="shared" si="245"/>
        <v>261510.9241</v>
      </c>
      <c r="AD237" s="6">
        <f t="shared" si="246"/>
        <v>716.46828520547945</v>
      </c>
      <c r="AE237" s="6">
        <v>221800.5747</v>
      </c>
      <c r="AF237" s="6">
        <f t="shared" si="247"/>
        <v>221800.5747</v>
      </c>
      <c r="AG237" s="6">
        <f t="shared" si="248"/>
        <v>607.67280739726027</v>
      </c>
      <c r="AH237" s="6">
        <v>235812.87270000001</v>
      </c>
      <c r="AI237" s="6">
        <f t="shared" si="249"/>
        <v>235812.87270000001</v>
      </c>
      <c r="AJ237" s="6">
        <f t="shared" si="250"/>
        <v>646.0626649315069</v>
      </c>
      <c r="AK237" s="6">
        <v>242637.5668</v>
      </c>
      <c r="AL237" s="6">
        <f t="shared" si="251"/>
        <v>242637.5668</v>
      </c>
      <c r="AM237" s="6">
        <f t="shared" si="252"/>
        <v>664.76045698630139</v>
      </c>
      <c r="AN237" s="6">
        <v>201018.58720000001</v>
      </c>
      <c r="AO237" s="6">
        <f t="shared" si="253"/>
        <v>201018.58720000001</v>
      </c>
      <c r="AP237" s="6">
        <f t="shared" si="254"/>
        <v>550.73585534246581</v>
      </c>
      <c r="AQ237" s="6">
        <v>0</v>
      </c>
      <c r="AR237" s="6">
        <f t="shared" si="255"/>
        <v>0</v>
      </c>
      <c r="AS237" s="6">
        <f t="shared" si="256"/>
        <v>0</v>
      </c>
      <c r="AT237" s="6">
        <v>0</v>
      </c>
      <c r="AU237" s="6">
        <f t="shared" si="257"/>
        <v>0</v>
      </c>
      <c r="AV237" s="6">
        <f t="shared" si="258"/>
        <v>0</v>
      </c>
      <c r="AW237" s="6">
        <v>0</v>
      </c>
      <c r="AX237" s="6">
        <f t="shared" si="259"/>
        <v>0</v>
      </c>
      <c r="AY237" s="6">
        <f t="shared" si="260"/>
        <v>0</v>
      </c>
      <c r="AZ237" s="6">
        <v>0</v>
      </c>
      <c r="BA237" s="6">
        <f t="shared" si="261"/>
        <v>0</v>
      </c>
      <c r="BB237" s="6">
        <f t="shared" si="262"/>
        <v>0</v>
      </c>
      <c r="BC237" s="6">
        <v>0</v>
      </c>
      <c r="BD237" s="6">
        <f t="shared" si="263"/>
        <v>0</v>
      </c>
      <c r="BE237" s="6">
        <f t="shared" si="264"/>
        <v>0</v>
      </c>
      <c r="BF237" s="6">
        <v>0</v>
      </c>
      <c r="BG237" s="6">
        <f t="shared" si="265"/>
        <v>0</v>
      </c>
      <c r="BH237" s="6">
        <f t="shared" si="266"/>
        <v>0</v>
      </c>
      <c r="BI237" s="6">
        <v>0</v>
      </c>
      <c r="BJ237" s="6">
        <f t="shared" si="267"/>
        <v>0</v>
      </c>
      <c r="BK237" s="6">
        <f t="shared" si="268"/>
        <v>0</v>
      </c>
      <c r="BL237" s="6">
        <v>0</v>
      </c>
      <c r="BM237" s="6">
        <f t="shared" si="269"/>
        <v>0</v>
      </c>
      <c r="BN237" s="6">
        <f t="shared" si="270"/>
        <v>0</v>
      </c>
      <c r="BO237" s="6">
        <v>0</v>
      </c>
      <c r="BP237" s="6">
        <f t="shared" si="271"/>
        <v>0</v>
      </c>
      <c r="BQ237" s="6">
        <f t="shared" si="272"/>
        <v>0</v>
      </c>
      <c r="BR237" s="6">
        <v>0</v>
      </c>
      <c r="BS237" s="6">
        <f t="shared" si="273"/>
        <v>0</v>
      </c>
      <c r="BT237" s="6">
        <f t="shared" si="274"/>
        <v>0</v>
      </c>
      <c r="BU237" s="6">
        <v>0</v>
      </c>
      <c r="BV237" s="6">
        <f t="shared" si="275"/>
        <v>0</v>
      </c>
      <c r="BW237" s="6">
        <f t="shared" si="276"/>
        <v>0</v>
      </c>
      <c r="BX237" s="6">
        <v>0</v>
      </c>
      <c r="BY237" s="6">
        <f t="shared" si="277"/>
        <v>0</v>
      </c>
      <c r="BZ237" s="6">
        <f t="shared" si="278"/>
        <v>0</v>
      </c>
      <c r="CA237" s="6">
        <v>0</v>
      </c>
      <c r="CB237" s="6">
        <f t="shared" si="279"/>
        <v>0</v>
      </c>
      <c r="CC237" s="6">
        <f t="shared" si="280"/>
        <v>0</v>
      </c>
      <c r="CD237" s="6">
        <v>0</v>
      </c>
      <c r="CE237" s="6">
        <f t="shared" si="281"/>
        <v>0</v>
      </c>
      <c r="CF237" s="6">
        <f t="shared" si="282"/>
        <v>0</v>
      </c>
      <c r="CG237" s="6">
        <v>0</v>
      </c>
      <c r="CH237" s="6">
        <f t="shared" si="283"/>
        <v>0</v>
      </c>
      <c r="CI237" s="6">
        <f t="shared" si="284"/>
        <v>0</v>
      </c>
      <c r="CJ237" s="6">
        <v>0</v>
      </c>
      <c r="CK237" s="6">
        <f t="shared" si="285"/>
        <v>0</v>
      </c>
      <c r="CL237" s="6">
        <f t="shared" si="286"/>
        <v>0</v>
      </c>
      <c r="CM237" s="6">
        <v>0</v>
      </c>
      <c r="CN237" s="6">
        <f t="shared" si="287"/>
        <v>0</v>
      </c>
      <c r="CO237" s="6">
        <f t="shared" si="288"/>
        <v>0</v>
      </c>
      <c r="CP237" s="6">
        <v>0</v>
      </c>
      <c r="CQ237" s="6">
        <f t="shared" si="289"/>
        <v>0</v>
      </c>
      <c r="CR237" s="6">
        <f t="shared" si="290"/>
        <v>0</v>
      </c>
      <c r="CS237" s="6">
        <v>0</v>
      </c>
      <c r="CT237" s="6">
        <f t="shared" si="291"/>
        <v>0</v>
      </c>
      <c r="CU237" s="6">
        <f t="shared" si="292"/>
        <v>0</v>
      </c>
      <c r="CV237" s="6">
        <v>0</v>
      </c>
      <c r="CW237" s="6">
        <f t="shared" si="293"/>
        <v>0</v>
      </c>
      <c r="CX237" s="6">
        <f t="shared" si="294"/>
        <v>0</v>
      </c>
      <c r="CY237" s="6">
        <v>0</v>
      </c>
      <c r="CZ237" s="6">
        <f t="shared" si="295"/>
        <v>0</v>
      </c>
      <c r="DA237" s="6">
        <f t="shared" si="296"/>
        <v>0</v>
      </c>
      <c r="DB237" s="6">
        <v>0</v>
      </c>
      <c r="DC237" s="6">
        <f t="shared" si="297"/>
        <v>0</v>
      </c>
      <c r="DD237" s="6">
        <f t="shared" si="298"/>
        <v>0</v>
      </c>
      <c r="DE237" s="6">
        <v>0</v>
      </c>
      <c r="DF237" s="6">
        <f t="shared" si="299"/>
        <v>0</v>
      </c>
      <c r="DG237" s="6">
        <f t="shared" si="300"/>
        <v>0</v>
      </c>
      <c r="DH237" s="6">
        <v>0</v>
      </c>
      <c r="DI237" s="6">
        <f t="shared" si="301"/>
        <v>0</v>
      </c>
      <c r="DJ237" s="6">
        <f t="shared" si="302"/>
        <v>0</v>
      </c>
      <c r="DK237" s="6">
        <v>0</v>
      </c>
      <c r="DL237" s="6">
        <f t="shared" si="303"/>
        <v>0</v>
      </c>
      <c r="DM237" s="6">
        <f t="shared" si="304"/>
        <v>0</v>
      </c>
      <c r="DN237" s="6">
        <v>0</v>
      </c>
      <c r="DO237" s="6">
        <f t="shared" si="305"/>
        <v>0</v>
      </c>
      <c r="DP237" s="6">
        <f t="shared" si="306"/>
        <v>0</v>
      </c>
    </row>
    <row r="238" spans="1:120" x14ac:dyDescent="0.2">
      <c r="A238" s="21">
        <v>5</v>
      </c>
      <c r="B238" s="21" t="s">
        <v>685</v>
      </c>
      <c r="C238" s="21">
        <v>5893</v>
      </c>
      <c r="D238" s="21" t="s">
        <v>707</v>
      </c>
      <c r="E238" s="21" t="s">
        <v>522</v>
      </c>
      <c r="F238" s="22" t="s">
        <v>666</v>
      </c>
      <c r="G238" s="4" t="s">
        <v>350</v>
      </c>
      <c r="H238" s="6">
        <v>656586.39</v>
      </c>
      <c r="I238" s="6">
        <f t="shared" si="310"/>
        <v>1798.8668219178082</v>
      </c>
      <c r="J238" s="6">
        <v>578570</v>
      </c>
      <c r="K238" s="6">
        <v>579969.52</v>
      </c>
      <c r="L238" s="6">
        <f t="shared" si="311"/>
        <v>1584.6161748633881</v>
      </c>
      <c r="M238" s="6">
        <v>473511</v>
      </c>
      <c r="N238" s="6">
        <v>495086</v>
      </c>
      <c r="O238" s="6">
        <f t="shared" si="312"/>
        <v>1356.4</v>
      </c>
      <c r="P238" s="6">
        <v>392337</v>
      </c>
      <c r="Q238" s="6">
        <v>221224.75</v>
      </c>
      <c r="R238" s="6">
        <f t="shared" si="313"/>
        <v>1222.2361878453039</v>
      </c>
      <c r="S238" s="6">
        <v>329294</v>
      </c>
      <c r="T238" s="6">
        <f t="shared" si="239"/>
        <v>329294</v>
      </c>
      <c r="U238" s="6">
        <f t="shared" si="240"/>
        <v>902.17534246575337</v>
      </c>
      <c r="V238" s="6">
        <v>270507</v>
      </c>
      <c r="W238" s="6">
        <f t="shared" si="241"/>
        <v>270507</v>
      </c>
      <c r="X238" s="6">
        <f t="shared" si="242"/>
        <v>741.11506849315072</v>
      </c>
      <c r="Y238" s="6">
        <v>215945</v>
      </c>
      <c r="Z238" s="6">
        <f t="shared" si="243"/>
        <v>215945</v>
      </c>
      <c r="AA238" s="6">
        <f t="shared" si="244"/>
        <v>591.63013698630141</v>
      </c>
      <c r="AB238" s="6">
        <v>172302</v>
      </c>
      <c r="AC238" s="6">
        <f t="shared" si="245"/>
        <v>172302</v>
      </c>
      <c r="AD238" s="6">
        <f t="shared" si="246"/>
        <v>472.06027397260272</v>
      </c>
      <c r="AE238" s="6">
        <v>137245</v>
      </c>
      <c r="AF238" s="6">
        <f t="shared" si="247"/>
        <v>137245</v>
      </c>
      <c r="AG238" s="6">
        <f t="shared" si="248"/>
        <v>376.01369863013701</v>
      </c>
      <c r="AH238" s="6">
        <v>0</v>
      </c>
      <c r="AI238" s="6">
        <f t="shared" si="249"/>
        <v>0</v>
      </c>
      <c r="AJ238" s="6">
        <f t="shared" si="250"/>
        <v>0</v>
      </c>
      <c r="AK238" s="6">
        <v>0</v>
      </c>
      <c r="AL238" s="6">
        <f t="shared" si="251"/>
        <v>0</v>
      </c>
      <c r="AM238" s="6">
        <f t="shared" si="252"/>
        <v>0</v>
      </c>
      <c r="AN238" s="6">
        <v>0</v>
      </c>
      <c r="AO238" s="6">
        <f t="shared" si="253"/>
        <v>0</v>
      </c>
      <c r="AP238" s="6">
        <f t="shared" si="254"/>
        <v>0</v>
      </c>
      <c r="AQ238" s="6">
        <v>0</v>
      </c>
      <c r="AR238" s="6">
        <f t="shared" si="255"/>
        <v>0</v>
      </c>
      <c r="AS238" s="6">
        <f t="shared" si="256"/>
        <v>0</v>
      </c>
      <c r="AT238" s="6">
        <v>0</v>
      </c>
      <c r="AU238" s="6">
        <f t="shared" si="257"/>
        <v>0</v>
      </c>
      <c r="AV238" s="6">
        <f t="shared" si="258"/>
        <v>0</v>
      </c>
      <c r="AW238" s="6">
        <v>0</v>
      </c>
      <c r="AX238" s="6">
        <f t="shared" si="259"/>
        <v>0</v>
      </c>
      <c r="AY238" s="6">
        <f t="shared" si="260"/>
        <v>0</v>
      </c>
      <c r="AZ238" s="6">
        <v>0</v>
      </c>
      <c r="BA238" s="6">
        <f t="shared" si="261"/>
        <v>0</v>
      </c>
      <c r="BB238" s="6">
        <f t="shared" si="262"/>
        <v>0</v>
      </c>
      <c r="BC238" s="6">
        <v>0</v>
      </c>
      <c r="BD238" s="6">
        <f t="shared" si="263"/>
        <v>0</v>
      </c>
      <c r="BE238" s="6">
        <f t="shared" si="264"/>
        <v>0</v>
      </c>
      <c r="BF238" s="6">
        <v>0</v>
      </c>
      <c r="BG238" s="6">
        <f t="shared" si="265"/>
        <v>0</v>
      </c>
      <c r="BH238" s="6">
        <f t="shared" si="266"/>
        <v>0</v>
      </c>
      <c r="BI238" s="6">
        <v>0</v>
      </c>
      <c r="BJ238" s="6">
        <f t="shared" si="267"/>
        <v>0</v>
      </c>
      <c r="BK238" s="6">
        <f t="shared" si="268"/>
        <v>0</v>
      </c>
      <c r="BL238" s="6">
        <v>0</v>
      </c>
      <c r="BM238" s="6">
        <f t="shared" si="269"/>
        <v>0</v>
      </c>
      <c r="BN238" s="6">
        <f t="shared" si="270"/>
        <v>0</v>
      </c>
      <c r="BO238" s="6">
        <v>0</v>
      </c>
      <c r="BP238" s="6">
        <f t="shared" si="271"/>
        <v>0</v>
      </c>
      <c r="BQ238" s="6">
        <f t="shared" si="272"/>
        <v>0</v>
      </c>
      <c r="BR238" s="6">
        <v>0</v>
      </c>
      <c r="BS238" s="6">
        <f t="shared" si="273"/>
        <v>0</v>
      </c>
      <c r="BT238" s="6">
        <f t="shared" si="274"/>
        <v>0</v>
      </c>
      <c r="BU238" s="6">
        <v>0</v>
      </c>
      <c r="BV238" s="6">
        <f t="shared" si="275"/>
        <v>0</v>
      </c>
      <c r="BW238" s="6">
        <f t="shared" si="276"/>
        <v>0</v>
      </c>
      <c r="BX238" s="6">
        <v>0</v>
      </c>
      <c r="BY238" s="6">
        <f t="shared" si="277"/>
        <v>0</v>
      </c>
      <c r="BZ238" s="6">
        <f t="shared" si="278"/>
        <v>0</v>
      </c>
      <c r="CA238" s="6">
        <v>0</v>
      </c>
      <c r="CB238" s="6">
        <f t="shared" si="279"/>
        <v>0</v>
      </c>
      <c r="CC238" s="6">
        <f t="shared" si="280"/>
        <v>0</v>
      </c>
      <c r="CD238" s="6">
        <v>0</v>
      </c>
      <c r="CE238" s="6">
        <f t="shared" si="281"/>
        <v>0</v>
      </c>
      <c r="CF238" s="6">
        <f t="shared" si="282"/>
        <v>0</v>
      </c>
      <c r="CG238" s="6">
        <v>0</v>
      </c>
      <c r="CH238" s="6">
        <f t="shared" si="283"/>
        <v>0</v>
      </c>
      <c r="CI238" s="6">
        <f t="shared" si="284"/>
        <v>0</v>
      </c>
      <c r="CJ238" s="6">
        <v>0</v>
      </c>
      <c r="CK238" s="6">
        <f t="shared" si="285"/>
        <v>0</v>
      </c>
      <c r="CL238" s="6">
        <f t="shared" si="286"/>
        <v>0</v>
      </c>
      <c r="CM238" s="6">
        <v>0</v>
      </c>
      <c r="CN238" s="6">
        <f t="shared" si="287"/>
        <v>0</v>
      </c>
      <c r="CO238" s="6">
        <f t="shared" si="288"/>
        <v>0</v>
      </c>
      <c r="CP238" s="6">
        <v>0</v>
      </c>
      <c r="CQ238" s="6">
        <f t="shared" si="289"/>
        <v>0</v>
      </c>
      <c r="CR238" s="6">
        <f t="shared" si="290"/>
        <v>0</v>
      </c>
      <c r="CS238" s="6">
        <v>0</v>
      </c>
      <c r="CT238" s="6">
        <f t="shared" si="291"/>
        <v>0</v>
      </c>
      <c r="CU238" s="6">
        <f t="shared" si="292"/>
        <v>0</v>
      </c>
      <c r="CV238" s="6">
        <v>0</v>
      </c>
      <c r="CW238" s="6">
        <f t="shared" si="293"/>
        <v>0</v>
      </c>
      <c r="CX238" s="6">
        <f t="shared" si="294"/>
        <v>0</v>
      </c>
      <c r="CY238" s="6">
        <v>0</v>
      </c>
      <c r="CZ238" s="6">
        <f t="shared" si="295"/>
        <v>0</v>
      </c>
      <c r="DA238" s="6">
        <f t="shared" si="296"/>
        <v>0</v>
      </c>
      <c r="DB238" s="6">
        <v>0</v>
      </c>
      <c r="DC238" s="6">
        <f t="shared" si="297"/>
        <v>0</v>
      </c>
      <c r="DD238" s="6">
        <f t="shared" si="298"/>
        <v>0</v>
      </c>
      <c r="DE238" s="6">
        <v>0</v>
      </c>
      <c r="DF238" s="6">
        <f t="shared" si="299"/>
        <v>0</v>
      </c>
      <c r="DG238" s="6">
        <f t="shared" si="300"/>
        <v>0</v>
      </c>
      <c r="DH238" s="6">
        <v>0</v>
      </c>
      <c r="DI238" s="6">
        <f t="shared" si="301"/>
        <v>0</v>
      </c>
      <c r="DJ238" s="6">
        <f t="shared" si="302"/>
        <v>0</v>
      </c>
      <c r="DK238" s="6">
        <v>0</v>
      </c>
      <c r="DL238" s="6">
        <f t="shared" si="303"/>
        <v>0</v>
      </c>
      <c r="DM238" s="6">
        <f t="shared" si="304"/>
        <v>0</v>
      </c>
      <c r="DN238" s="6">
        <v>0</v>
      </c>
      <c r="DO238" s="6">
        <f t="shared" si="305"/>
        <v>0</v>
      </c>
      <c r="DP238" s="6">
        <f t="shared" si="306"/>
        <v>0</v>
      </c>
    </row>
    <row r="239" spans="1:120" x14ac:dyDescent="0.2">
      <c r="A239" s="21">
        <v>85</v>
      </c>
      <c r="B239" s="21" t="s">
        <v>612</v>
      </c>
      <c r="C239" s="21">
        <v>85325</v>
      </c>
      <c r="D239" s="21" t="s">
        <v>670</v>
      </c>
      <c r="E239" s="21" t="s">
        <v>542</v>
      </c>
      <c r="F239" s="22" t="s">
        <v>693</v>
      </c>
      <c r="G239" s="4" t="s">
        <v>351</v>
      </c>
      <c r="H239" s="6">
        <v>19229.47</v>
      </c>
      <c r="I239" s="6">
        <f t="shared" si="310"/>
        <v>52.683479452054797</v>
      </c>
      <c r="J239" s="6">
        <v>12342</v>
      </c>
      <c r="K239" s="6">
        <v>14736.36</v>
      </c>
      <c r="L239" s="6">
        <f t="shared" si="311"/>
        <v>40.263278688524593</v>
      </c>
      <c r="M239" s="6">
        <v>8614</v>
      </c>
      <c r="N239" s="6">
        <v>3210.89</v>
      </c>
      <c r="O239" s="6">
        <f t="shared" si="312"/>
        <v>8.796958904109589</v>
      </c>
      <c r="P239" s="6">
        <v>15108</v>
      </c>
      <c r="Q239" s="6"/>
      <c r="R239" s="6"/>
      <c r="S239" s="6">
        <v>14879</v>
      </c>
      <c r="T239" s="6">
        <f t="shared" si="239"/>
        <v>14879</v>
      </c>
      <c r="U239" s="6">
        <f t="shared" si="240"/>
        <v>40.764383561643832</v>
      </c>
      <c r="V239" s="6">
        <v>10974</v>
      </c>
      <c r="W239" s="6">
        <f t="shared" si="241"/>
        <v>10974</v>
      </c>
      <c r="X239" s="6">
        <f t="shared" si="242"/>
        <v>30.065753424657533</v>
      </c>
      <c r="Y239" s="6">
        <v>8057</v>
      </c>
      <c r="Z239" s="6">
        <f t="shared" si="243"/>
        <v>8057</v>
      </c>
      <c r="AA239" s="6">
        <f t="shared" si="244"/>
        <v>22.073972602739726</v>
      </c>
      <c r="AB239" s="6">
        <v>5943</v>
      </c>
      <c r="AC239" s="6">
        <f t="shared" si="245"/>
        <v>5943</v>
      </c>
      <c r="AD239" s="6">
        <f t="shared" si="246"/>
        <v>16.282191780821918</v>
      </c>
      <c r="AE239" s="6">
        <v>4384</v>
      </c>
      <c r="AF239" s="6">
        <f t="shared" si="247"/>
        <v>4384</v>
      </c>
      <c r="AG239" s="6">
        <f t="shared" si="248"/>
        <v>12.010958904109589</v>
      </c>
      <c r="AH239" s="6">
        <v>3249</v>
      </c>
      <c r="AI239" s="6">
        <f t="shared" si="249"/>
        <v>3249</v>
      </c>
      <c r="AJ239" s="6">
        <f t="shared" si="250"/>
        <v>8.9013698630136986</v>
      </c>
      <c r="AK239" s="6">
        <v>1829</v>
      </c>
      <c r="AL239" s="6">
        <f t="shared" si="251"/>
        <v>1829</v>
      </c>
      <c r="AM239" s="6">
        <f t="shared" si="252"/>
        <v>5.0109589041095894</v>
      </c>
      <c r="AN239" s="6">
        <v>0</v>
      </c>
      <c r="AO239" s="6">
        <f t="shared" si="253"/>
        <v>0</v>
      </c>
      <c r="AP239" s="6">
        <f t="shared" si="254"/>
        <v>0</v>
      </c>
      <c r="AQ239" s="6">
        <v>0</v>
      </c>
      <c r="AR239" s="6">
        <f t="shared" si="255"/>
        <v>0</v>
      </c>
      <c r="AS239" s="6">
        <f t="shared" si="256"/>
        <v>0</v>
      </c>
      <c r="AT239" s="6">
        <v>0</v>
      </c>
      <c r="AU239" s="6">
        <f t="shared" si="257"/>
        <v>0</v>
      </c>
      <c r="AV239" s="6">
        <f t="shared" si="258"/>
        <v>0</v>
      </c>
      <c r="AW239" s="6">
        <v>0</v>
      </c>
      <c r="AX239" s="6">
        <f t="shared" si="259"/>
        <v>0</v>
      </c>
      <c r="AY239" s="6">
        <f t="shared" si="260"/>
        <v>0</v>
      </c>
      <c r="AZ239" s="6">
        <v>0</v>
      </c>
      <c r="BA239" s="6">
        <f t="shared" si="261"/>
        <v>0</v>
      </c>
      <c r="BB239" s="6">
        <f t="shared" si="262"/>
        <v>0</v>
      </c>
      <c r="BC239" s="6">
        <v>0</v>
      </c>
      <c r="BD239" s="6">
        <f t="shared" si="263"/>
        <v>0</v>
      </c>
      <c r="BE239" s="6">
        <f t="shared" si="264"/>
        <v>0</v>
      </c>
      <c r="BF239" s="6">
        <v>0</v>
      </c>
      <c r="BG239" s="6">
        <f t="shared" si="265"/>
        <v>0</v>
      </c>
      <c r="BH239" s="6">
        <f t="shared" si="266"/>
        <v>0</v>
      </c>
      <c r="BI239" s="6">
        <v>0</v>
      </c>
      <c r="BJ239" s="6">
        <f t="shared" si="267"/>
        <v>0</v>
      </c>
      <c r="BK239" s="6">
        <f t="shared" si="268"/>
        <v>0</v>
      </c>
      <c r="BL239" s="6">
        <v>0</v>
      </c>
      <c r="BM239" s="6">
        <f t="shared" si="269"/>
        <v>0</v>
      </c>
      <c r="BN239" s="6">
        <f t="shared" si="270"/>
        <v>0</v>
      </c>
      <c r="BO239" s="6">
        <v>0</v>
      </c>
      <c r="BP239" s="6">
        <f t="shared" si="271"/>
        <v>0</v>
      </c>
      <c r="BQ239" s="6">
        <f t="shared" si="272"/>
        <v>0</v>
      </c>
      <c r="BR239" s="6">
        <v>0</v>
      </c>
      <c r="BS239" s="6">
        <f t="shared" si="273"/>
        <v>0</v>
      </c>
      <c r="BT239" s="6">
        <f t="shared" si="274"/>
        <v>0</v>
      </c>
      <c r="BU239" s="6">
        <v>0</v>
      </c>
      <c r="BV239" s="6">
        <f t="shared" si="275"/>
        <v>0</v>
      </c>
      <c r="BW239" s="6">
        <f t="shared" si="276"/>
        <v>0</v>
      </c>
      <c r="BX239" s="6">
        <v>0</v>
      </c>
      <c r="BY239" s="6">
        <f t="shared" si="277"/>
        <v>0</v>
      </c>
      <c r="BZ239" s="6">
        <f t="shared" si="278"/>
        <v>0</v>
      </c>
      <c r="CA239" s="6">
        <v>0</v>
      </c>
      <c r="CB239" s="6">
        <f t="shared" si="279"/>
        <v>0</v>
      </c>
      <c r="CC239" s="6">
        <f t="shared" si="280"/>
        <v>0</v>
      </c>
      <c r="CD239" s="6">
        <v>0</v>
      </c>
      <c r="CE239" s="6">
        <f t="shared" si="281"/>
        <v>0</v>
      </c>
      <c r="CF239" s="6">
        <f t="shared" si="282"/>
        <v>0</v>
      </c>
      <c r="CG239" s="6">
        <v>0</v>
      </c>
      <c r="CH239" s="6">
        <f t="shared" si="283"/>
        <v>0</v>
      </c>
      <c r="CI239" s="6">
        <f t="shared" si="284"/>
        <v>0</v>
      </c>
      <c r="CJ239" s="6">
        <v>0</v>
      </c>
      <c r="CK239" s="6">
        <f t="shared" si="285"/>
        <v>0</v>
      </c>
      <c r="CL239" s="6">
        <f t="shared" si="286"/>
        <v>0</v>
      </c>
      <c r="CM239" s="6">
        <v>0</v>
      </c>
      <c r="CN239" s="6">
        <f t="shared" si="287"/>
        <v>0</v>
      </c>
      <c r="CO239" s="6">
        <f t="shared" si="288"/>
        <v>0</v>
      </c>
      <c r="CP239" s="6">
        <v>0</v>
      </c>
      <c r="CQ239" s="6">
        <f t="shared" si="289"/>
        <v>0</v>
      </c>
      <c r="CR239" s="6">
        <f t="shared" si="290"/>
        <v>0</v>
      </c>
      <c r="CS239" s="6">
        <v>0</v>
      </c>
      <c r="CT239" s="6">
        <f t="shared" si="291"/>
        <v>0</v>
      </c>
      <c r="CU239" s="6">
        <f t="shared" si="292"/>
        <v>0</v>
      </c>
      <c r="CV239" s="6">
        <v>0</v>
      </c>
      <c r="CW239" s="6">
        <f t="shared" si="293"/>
        <v>0</v>
      </c>
      <c r="CX239" s="6">
        <f t="shared" si="294"/>
        <v>0</v>
      </c>
      <c r="CY239" s="6">
        <v>0</v>
      </c>
      <c r="CZ239" s="6">
        <f t="shared" si="295"/>
        <v>0</v>
      </c>
      <c r="DA239" s="6">
        <f t="shared" si="296"/>
        <v>0</v>
      </c>
      <c r="DB239" s="6">
        <v>0</v>
      </c>
      <c r="DC239" s="6">
        <f t="shared" si="297"/>
        <v>0</v>
      </c>
      <c r="DD239" s="6">
        <f t="shared" si="298"/>
        <v>0</v>
      </c>
      <c r="DE239" s="6">
        <v>0</v>
      </c>
      <c r="DF239" s="6">
        <f t="shared" si="299"/>
        <v>0</v>
      </c>
      <c r="DG239" s="6">
        <f t="shared" si="300"/>
        <v>0</v>
      </c>
      <c r="DH239" s="6">
        <v>0</v>
      </c>
      <c r="DI239" s="6">
        <f t="shared" si="301"/>
        <v>0</v>
      </c>
      <c r="DJ239" s="6">
        <f t="shared" si="302"/>
        <v>0</v>
      </c>
      <c r="DK239" s="6">
        <v>0</v>
      </c>
      <c r="DL239" s="6">
        <f t="shared" si="303"/>
        <v>0</v>
      </c>
      <c r="DM239" s="6">
        <f t="shared" si="304"/>
        <v>0</v>
      </c>
      <c r="DN239" s="6">
        <v>0</v>
      </c>
      <c r="DO239" s="6">
        <f t="shared" si="305"/>
        <v>0</v>
      </c>
      <c r="DP239" s="6">
        <f t="shared" si="306"/>
        <v>0</v>
      </c>
    </row>
    <row r="240" spans="1:120" x14ac:dyDescent="0.2">
      <c r="A240" s="21">
        <v>50</v>
      </c>
      <c r="B240" s="21" t="s">
        <v>675</v>
      </c>
      <c r="C240" s="21">
        <v>50568</v>
      </c>
      <c r="D240" s="21" t="s">
        <v>700</v>
      </c>
      <c r="E240" s="21" t="s">
        <v>575</v>
      </c>
      <c r="F240" s="22" t="s">
        <v>669</v>
      </c>
      <c r="G240" s="4" t="s">
        <v>352</v>
      </c>
      <c r="H240" s="6">
        <v>431368.95</v>
      </c>
      <c r="I240" s="6">
        <f t="shared" si="310"/>
        <v>1181.8327397260275</v>
      </c>
      <c r="J240" s="6">
        <v>350149</v>
      </c>
      <c r="K240" s="6">
        <v>345222.44</v>
      </c>
      <c r="L240" s="6">
        <f t="shared" si="311"/>
        <v>943.23071038251362</v>
      </c>
      <c r="M240" s="6">
        <v>267545</v>
      </c>
      <c r="N240" s="6">
        <v>233596.65</v>
      </c>
      <c r="O240" s="6">
        <f t="shared" si="312"/>
        <v>639.99082191780815</v>
      </c>
      <c r="P240" s="6">
        <v>285035</v>
      </c>
      <c r="Q240" s="6">
        <v>119443.91</v>
      </c>
      <c r="R240" s="6">
        <f>Q240/181</f>
        <v>659.91110497237571</v>
      </c>
      <c r="S240" s="6">
        <v>219311</v>
      </c>
      <c r="T240" s="6">
        <f t="shared" si="239"/>
        <v>219311</v>
      </c>
      <c r="U240" s="6">
        <f t="shared" si="240"/>
        <v>600.85205479452054</v>
      </c>
      <c r="V240" s="6">
        <v>154084</v>
      </c>
      <c r="W240" s="6">
        <f t="shared" si="241"/>
        <v>154084</v>
      </c>
      <c r="X240" s="6">
        <f t="shared" si="242"/>
        <v>422.14794520547946</v>
      </c>
      <c r="Y240" s="6">
        <v>108308</v>
      </c>
      <c r="Z240" s="6">
        <f t="shared" si="243"/>
        <v>108308</v>
      </c>
      <c r="AA240" s="6">
        <f t="shared" si="244"/>
        <v>296.73424657534247</v>
      </c>
      <c r="AB240" s="6">
        <v>76428</v>
      </c>
      <c r="AC240" s="6">
        <f t="shared" si="245"/>
        <v>76428</v>
      </c>
      <c r="AD240" s="6">
        <f t="shared" si="246"/>
        <v>209.39178082191782</v>
      </c>
      <c r="AE240" s="6">
        <v>0</v>
      </c>
      <c r="AF240" s="6">
        <f t="shared" si="247"/>
        <v>0</v>
      </c>
      <c r="AG240" s="6">
        <f t="shared" si="248"/>
        <v>0</v>
      </c>
      <c r="AH240" s="6">
        <v>0</v>
      </c>
      <c r="AI240" s="6">
        <f t="shared" si="249"/>
        <v>0</v>
      </c>
      <c r="AJ240" s="6">
        <f t="shared" si="250"/>
        <v>0</v>
      </c>
      <c r="AK240" s="6">
        <v>0</v>
      </c>
      <c r="AL240" s="6">
        <f t="shared" si="251"/>
        <v>0</v>
      </c>
      <c r="AM240" s="6">
        <f t="shared" si="252"/>
        <v>0</v>
      </c>
      <c r="AN240" s="6">
        <v>0</v>
      </c>
      <c r="AO240" s="6">
        <f t="shared" si="253"/>
        <v>0</v>
      </c>
      <c r="AP240" s="6">
        <f t="shared" si="254"/>
        <v>0</v>
      </c>
      <c r="AQ240" s="6">
        <v>0</v>
      </c>
      <c r="AR240" s="6">
        <f t="shared" si="255"/>
        <v>0</v>
      </c>
      <c r="AS240" s="6">
        <f t="shared" si="256"/>
        <v>0</v>
      </c>
      <c r="AT240" s="6">
        <v>0</v>
      </c>
      <c r="AU240" s="6">
        <f t="shared" si="257"/>
        <v>0</v>
      </c>
      <c r="AV240" s="6">
        <f t="shared" si="258"/>
        <v>0</v>
      </c>
      <c r="AW240" s="6">
        <v>0</v>
      </c>
      <c r="AX240" s="6">
        <f t="shared" si="259"/>
        <v>0</v>
      </c>
      <c r="AY240" s="6">
        <f t="shared" si="260"/>
        <v>0</v>
      </c>
      <c r="AZ240" s="6">
        <v>0</v>
      </c>
      <c r="BA240" s="6">
        <f t="shared" si="261"/>
        <v>0</v>
      </c>
      <c r="BB240" s="6">
        <f t="shared" si="262"/>
        <v>0</v>
      </c>
      <c r="BC240" s="6">
        <v>0</v>
      </c>
      <c r="BD240" s="6">
        <f t="shared" si="263"/>
        <v>0</v>
      </c>
      <c r="BE240" s="6">
        <f t="shared" si="264"/>
        <v>0</v>
      </c>
      <c r="BF240" s="6">
        <v>0</v>
      </c>
      <c r="BG240" s="6">
        <f t="shared" si="265"/>
        <v>0</v>
      </c>
      <c r="BH240" s="6">
        <f t="shared" si="266"/>
        <v>0</v>
      </c>
      <c r="BI240" s="6">
        <v>0</v>
      </c>
      <c r="BJ240" s="6">
        <f t="shared" si="267"/>
        <v>0</v>
      </c>
      <c r="BK240" s="6">
        <f t="shared" si="268"/>
        <v>0</v>
      </c>
      <c r="BL240" s="6">
        <v>0</v>
      </c>
      <c r="BM240" s="6">
        <f t="shared" si="269"/>
        <v>0</v>
      </c>
      <c r="BN240" s="6">
        <f t="shared" si="270"/>
        <v>0</v>
      </c>
      <c r="BO240" s="6">
        <v>0</v>
      </c>
      <c r="BP240" s="6">
        <f t="shared" si="271"/>
        <v>0</v>
      </c>
      <c r="BQ240" s="6">
        <f t="shared" si="272"/>
        <v>0</v>
      </c>
      <c r="BR240" s="6">
        <v>0</v>
      </c>
      <c r="BS240" s="6">
        <f t="shared" si="273"/>
        <v>0</v>
      </c>
      <c r="BT240" s="6">
        <f t="shared" si="274"/>
        <v>0</v>
      </c>
      <c r="BU240" s="6">
        <v>0</v>
      </c>
      <c r="BV240" s="6">
        <f t="shared" si="275"/>
        <v>0</v>
      </c>
      <c r="BW240" s="6">
        <f t="shared" si="276"/>
        <v>0</v>
      </c>
      <c r="BX240" s="6">
        <v>0</v>
      </c>
      <c r="BY240" s="6">
        <f t="shared" si="277"/>
        <v>0</v>
      </c>
      <c r="BZ240" s="6">
        <f t="shared" si="278"/>
        <v>0</v>
      </c>
      <c r="CA240" s="6">
        <v>0</v>
      </c>
      <c r="CB240" s="6">
        <f t="shared" si="279"/>
        <v>0</v>
      </c>
      <c r="CC240" s="6">
        <f t="shared" si="280"/>
        <v>0</v>
      </c>
      <c r="CD240" s="6">
        <v>0</v>
      </c>
      <c r="CE240" s="6">
        <f t="shared" si="281"/>
        <v>0</v>
      </c>
      <c r="CF240" s="6">
        <f t="shared" si="282"/>
        <v>0</v>
      </c>
      <c r="CG240" s="6">
        <v>0</v>
      </c>
      <c r="CH240" s="6">
        <f t="shared" si="283"/>
        <v>0</v>
      </c>
      <c r="CI240" s="6">
        <f t="shared" si="284"/>
        <v>0</v>
      </c>
      <c r="CJ240" s="6">
        <v>0</v>
      </c>
      <c r="CK240" s="6">
        <f t="shared" si="285"/>
        <v>0</v>
      </c>
      <c r="CL240" s="6">
        <f t="shared" si="286"/>
        <v>0</v>
      </c>
      <c r="CM240" s="6">
        <v>0</v>
      </c>
      <c r="CN240" s="6">
        <f t="shared" si="287"/>
        <v>0</v>
      </c>
      <c r="CO240" s="6">
        <f t="shared" si="288"/>
        <v>0</v>
      </c>
      <c r="CP240" s="6">
        <v>0</v>
      </c>
      <c r="CQ240" s="6">
        <f t="shared" si="289"/>
        <v>0</v>
      </c>
      <c r="CR240" s="6">
        <f t="shared" si="290"/>
        <v>0</v>
      </c>
      <c r="CS240" s="6">
        <v>0</v>
      </c>
      <c r="CT240" s="6">
        <f t="shared" si="291"/>
        <v>0</v>
      </c>
      <c r="CU240" s="6">
        <f t="shared" si="292"/>
        <v>0</v>
      </c>
      <c r="CV240" s="6">
        <v>0</v>
      </c>
      <c r="CW240" s="6">
        <f t="shared" si="293"/>
        <v>0</v>
      </c>
      <c r="CX240" s="6">
        <f t="shared" si="294"/>
        <v>0</v>
      </c>
      <c r="CY240" s="6">
        <v>0</v>
      </c>
      <c r="CZ240" s="6">
        <f t="shared" si="295"/>
        <v>0</v>
      </c>
      <c r="DA240" s="6">
        <f t="shared" si="296"/>
        <v>0</v>
      </c>
      <c r="DB240" s="6">
        <v>0</v>
      </c>
      <c r="DC240" s="6">
        <f t="shared" si="297"/>
        <v>0</v>
      </c>
      <c r="DD240" s="6">
        <f t="shared" si="298"/>
        <v>0</v>
      </c>
      <c r="DE240" s="6">
        <v>0</v>
      </c>
      <c r="DF240" s="6">
        <f t="shared" si="299"/>
        <v>0</v>
      </c>
      <c r="DG240" s="6">
        <f t="shared" si="300"/>
        <v>0</v>
      </c>
      <c r="DH240" s="6">
        <v>0</v>
      </c>
      <c r="DI240" s="6">
        <f t="shared" si="301"/>
        <v>0</v>
      </c>
      <c r="DJ240" s="6">
        <f t="shared" si="302"/>
        <v>0</v>
      </c>
      <c r="DK240" s="6">
        <v>0</v>
      </c>
      <c r="DL240" s="6">
        <f t="shared" si="303"/>
        <v>0</v>
      </c>
      <c r="DM240" s="6">
        <f t="shared" si="304"/>
        <v>0</v>
      </c>
      <c r="DN240" s="6">
        <v>0</v>
      </c>
      <c r="DO240" s="6">
        <f t="shared" si="305"/>
        <v>0</v>
      </c>
      <c r="DP240" s="6">
        <f t="shared" si="306"/>
        <v>0</v>
      </c>
    </row>
    <row r="241" spans="1:120" x14ac:dyDescent="0.2">
      <c r="A241" s="21">
        <v>85</v>
      </c>
      <c r="B241" s="21" t="s">
        <v>612</v>
      </c>
      <c r="C241" s="21">
        <v>85230</v>
      </c>
      <c r="D241" s="21" t="s">
        <v>614</v>
      </c>
      <c r="E241" s="21" t="s">
        <v>611</v>
      </c>
      <c r="F241" s="22" t="s">
        <v>662</v>
      </c>
      <c r="G241" s="4" t="s">
        <v>353</v>
      </c>
      <c r="H241" s="6">
        <v>18523.63</v>
      </c>
      <c r="I241" s="6">
        <f t="shared" si="310"/>
        <v>50.749671232876715</v>
      </c>
      <c r="J241" s="6">
        <v>15530.7354</v>
      </c>
      <c r="K241" s="6">
        <v>8807.83</v>
      </c>
      <c r="L241" s="6">
        <f t="shared" si="311"/>
        <v>24.065109289617485</v>
      </c>
      <c r="M241" s="6">
        <v>13977.661899999999</v>
      </c>
      <c r="N241" s="6">
        <v>7940.58</v>
      </c>
      <c r="O241" s="6">
        <f t="shared" si="312"/>
        <v>21.755013698630137</v>
      </c>
      <c r="P241" s="6">
        <v>19224.949199999999</v>
      </c>
      <c r="Q241" s="6">
        <v>3946.99</v>
      </c>
      <c r="R241" s="6">
        <f>Q241/181</f>
        <v>21.806574585635357</v>
      </c>
      <c r="S241" s="6">
        <v>20565.341400000001</v>
      </c>
      <c r="T241" s="6">
        <f t="shared" si="239"/>
        <v>20565.341400000001</v>
      </c>
      <c r="U241" s="6">
        <f t="shared" si="240"/>
        <v>56.343401095890414</v>
      </c>
      <c r="V241" s="6">
        <v>15828.210999999999</v>
      </c>
      <c r="W241" s="6">
        <f t="shared" si="241"/>
        <v>15828.210999999999</v>
      </c>
      <c r="X241" s="6">
        <f t="shared" si="242"/>
        <v>43.364961643835613</v>
      </c>
      <c r="Y241" s="6">
        <v>12610.226199999999</v>
      </c>
      <c r="Z241" s="6">
        <f t="shared" si="243"/>
        <v>12610.226199999999</v>
      </c>
      <c r="AA241" s="6">
        <f t="shared" si="244"/>
        <v>34.548564931506846</v>
      </c>
      <c r="AB241" s="6">
        <v>10351.7538</v>
      </c>
      <c r="AC241" s="6">
        <f t="shared" si="245"/>
        <v>10351.7538</v>
      </c>
      <c r="AD241" s="6">
        <f t="shared" si="246"/>
        <v>28.360969315068495</v>
      </c>
      <c r="AE241" s="6">
        <v>7351.8950000000004</v>
      </c>
      <c r="AF241" s="6">
        <f t="shared" si="247"/>
        <v>7351.8950000000004</v>
      </c>
      <c r="AG241" s="6">
        <f t="shared" si="248"/>
        <v>20.142178082191784</v>
      </c>
      <c r="AH241" s="6">
        <v>0</v>
      </c>
      <c r="AI241" s="6">
        <f t="shared" si="249"/>
        <v>0</v>
      </c>
      <c r="AJ241" s="6">
        <f t="shared" si="250"/>
        <v>0</v>
      </c>
      <c r="AK241" s="6">
        <v>0</v>
      </c>
      <c r="AL241" s="6">
        <f t="shared" si="251"/>
        <v>0</v>
      </c>
      <c r="AM241" s="6">
        <f t="shared" si="252"/>
        <v>0</v>
      </c>
      <c r="AN241" s="6">
        <v>0</v>
      </c>
      <c r="AO241" s="6">
        <f t="shared" si="253"/>
        <v>0</v>
      </c>
      <c r="AP241" s="6">
        <f t="shared" si="254"/>
        <v>0</v>
      </c>
      <c r="AQ241" s="6">
        <v>0</v>
      </c>
      <c r="AR241" s="6">
        <f t="shared" si="255"/>
        <v>0</v>
      </c>
      <c r="AS241" s="6">
        <f t="shared" si="256"/>
        <v>0</v>
      </c>
      <c r="AT241" s="6">
        <v>0</v>
      </c>
      <c r="AU241" s="6">
        <f t="shared" si="257"/>
        <v>0</v>
      </c>
      <c r="AV241" s="6">
        <f t="shared" si="258"/>
        <v>0</v>
      </c>
      <c r="AW241" s="6">
        <v>0</v>
      </c>
      <c r="AX241" s="6">
        <f t="shared" si="259"/>
        <v>0</v>
      </c>
      <c r="AY241" s="6">
        <f t="shared" si="260"/>
        <v>0</v>
      </c>
      <c r="AZ241" s="6">
        <v>0</v>
      </c>
      <c r="BA241" s="6">
        <f t="shared" si="261"/>
        <v>0</v>
      </c>
      <c r="BB241" s="6">
        <f t="shared" si="262"/>
        <v>0</v>
      </c>
      <c r="BC241" s="6">
        <v>0</v>
      </c>
      <c r="BD241" s="6">
        <f t="shared" si="263"/>
        <v>0</v>
      </c>
      <c r="BE241" s="6">
        <f t="shared" si="264"/>
        <v>0</v>
      </c>
      <c r="BF241" s="6">
        <v>0</v>
      </c>
      <c r="BG241" s="6">
        <f t="shared" si="265"/>
        <v>0</v>
      </c>
      <c r="BH241" s="6">
        <f t="shared" si="266"/>
        <v>0</v>
      </c>
      <c r="BI241" s="6">
        <v>0</v>
      </c>
      <c r="BJ241" s="6">
        <f t="shared" si="267"/>
        <v>0</v>
      </c>
      <c r="BK241" s="6">
        <f t="shared" si="268"/>
        <v>0</v>
      </c>
      <c r="BL241" s="6">
        <v>0</v>
      </c>
      <c r="BM241" s="6">
        <f t="shared" si="269"/>
        <v>0</v>
      </c>
      <c r="BN241" s="6">
        <f t="shared" si="270"/>
        <v>0</v>
      </c>
      <c r="BO241" s="6">
        <v>0</v>
      </c>
      <c r="BP241" s="6">
        <f t="shared" si="271"/>
        <v>0</v>
      </c>
      <c r="BQ241" s="6">
        <f t="shared" si="272"/>
        <v>0</v>
      </c>
      <c r="BR241" s="6">
        <v>0</v>
      </c>
      <c r="BS241" s="6">
        <f t="shared" si="273"/>
        <v>0</v>
      </c>
      <c r="BT241" s="6">
        <f t="shared" si="274"/>
        <v>0</v>
      </c>
      <c r="BU241" s="6">
        <v>0</v>
      </c>
      <c r="BV241" s="6">
        <f t="shared" si="275"/>
        <v>0</v>
      </c>
      <c r="BW241" s="6">
        <f t="shared" si="276"/>
        <v>0</v>
      </c>
      <c r="BX241" s="6">
        <v>0</v>
      </c>
      <c r="BY241" s="6">
        <f t="shared" si="277"/>
        <v>0</v>
      </c>
      <c r="BZ241" s="6">
        <f t="shared" si="278"/>
        <v>0</v>
      </c>
      <c r="CA241" s="6">
        <v>0</v>
      </c>
      <c r="CB241" s="6">
        <f t="shared" si="279"/>
        <v>0</v>
      </c>
      <c r="CC241" s="6">
        <f t="shared" si="280"/>
        <v>0</v>
      </c>
      <c r="CD241" s="6">
        <v>0</v>
      </c>
      <c r="CE241" s="6">
        <f t="shared" si="281"/>
        <v>0</v>
      </c>
      <c r="CF241" s="6">
        <f t="shared" si="282"/>
        <v>0</v>
      </c>
      <c r="CG241" s="6">
        <v>0</v>
      </c>
      <c r="CH241" s="6">
        <f t="shared" si="283"/>
        <v>0</v>
      </c>
      <c r="CI241" s="6">
        <f t="shared" si="284"/>
        <v>0</v>
      </c>
      <c r="CJ241" s="6">
        <v>0</v>
      </c>
      <c r="CK241" s="6">
        <f t="shared" si="285"/>
        <v>0</v>
      </c>
      <c r="CL241" s="6">
        <f t="shared" si="286"/>
        <v>0</v>
      </c>
      <c r="CM241" s="6">
        <v>0</v>
      </c>
      <c r="CN241" s="6">
        <f t="shared" si="287"/>
        <v>0</v>
      </c>
      <c r="CO241" s="6">
        <f t="shared" si="288"/>
        <v>0</v>
      </c>
      <c r="CP241" s="6">
        <v>0</v>
      </c>
      <c r="CQ241" s="6">
        <f t="shared" si="289"/>
        <v>0</v>
      </c>
      <c r="CR241" s="6">
        <f t="shared" si="290"/>
        <v>0</v>
      </c>
      <c r="CS241" s="6">
        <v>0</v>
      </c>
      <c r="CT241" s="6">
        <f t="shared" si="291"/>
        <v>0</v>
      </c>
      <c r="CU241" s="6">
        <f t="shared" si="292"/>
        <v>0</v>
      </c>
      <c r="CV241" s="6">
        <v>0</v>
      </c>
      <c r="CW241" s="6">
        <f t="shared" si="293"/>
        <v>0</v>
      </c>
      <c r="CX241" s="6">
        <f t="shared" si="294"/>
        <v>0</v>
      </c>
      <c r="CY241" s="6">
        <v>0</v>
      </c>
      <c r="CZ241" s="6">
        <f t="shared" si="295"/>
        <v>0</v>
      </c>
      <c r="DA241" s="6">
        <f t="shared" si="296"/>
        <v>0</v>
      </c>
      <c r="DB241" s="6">
        <v>0</v>
      </c>
      <c r="DC241" s="6">
        <f t="shared" si="297"/>
        <v>0</v>
      </c>
      <c r="DD241" s="6">
        <f t="shared" si="298"/>
        <v>0</v>
      </c>
      <c r="DE241" s="6">
        <v>0</v>
      </c>
      <c r="DF241" s="6">
        <f t="shared" si="299"/>
        <v>0</v>
      </c>
      <c r="DG241" s="6">
        <f t="shared" si="300"/>
        <v>0</v>
      </c>
      <c r="DH241" s="6">
        <v>0</v>
      </c>
      <c r="DI241" s="6">
        <f t="shared" si="301"/>
        <v>0</v>
      </c>
      <c r="DJ241" s="6">
        <f t="shared" si="302"/>
        <v>0</v>
      </c>
      <c r="DK241" s="6">
        <v>0</v>
      </c>
      <c r="DL241" s="6">
        <f t="shared" si="303"/>
        <v>0</v>
      </c>
      <c r="DM241" s="6">
        <f t="shared" si="304"/>
        <v>0</v>
      </c>
      <c r="DN241" s="6">
        <v>0</v>
      </c>
      <c r="DO241" s="6">
        <f t="shared" si="305"/>
        <v>0</v>
      </c>
      <c r="DP241" s="6">
        <f t="shared" si="306"/>
        <v>0</v>
      </c>
    </row>
    <row r="242" spans="1:120" x14ac:dyDescent="0.2">
      <c r="A242" s="21">
        <v>85</v>
      </c>
      <c r="B242" s="21" t="s">
        <v>612</v>
      </c>
      <c r="C242" s="21">
        <v>85139</v>
      </c>
      <c r="D242" s="21" t="s">
        <v>702</v>
      </c>
      <c r="E242" s="21" t="s">
        <v>542</v>
      </c>
      <c r="F242" s="22" t="s">
        <v>669</v>
      </c>
      <c r="G242" s="4" t="s">
        <v>354</v>
      </c>
      <c r="H242" s="6">
        <v>130914.73</v>
      </c>
      <c r="I242" s="6">
        <f t="shared" si="310"/>
        <v>358.67049315068493</v>
      </c>
      <c r="J242" s="6">
        <v>91205</v>
      </c>
      <c r="K242" s="6">
        <v>102069.33</v>
      </c>
      <c r="L242" s="6">
        <f t="shared" si="311"/>
        <v>278.87795081967215</v>
      </c>
      <c r="M242" s="6">
        <v>69994</v>
      </c>
      <c r="N242" s="6">
        <v>90140.92</v>
      </c>
      <c r="O242" s="6">
        <f t="shared" si="312"/>
        <v>246.96142465753425</v>
      </c>
      <c r="P242" s="6">
        <v>53178</v>
      </c>
      <c r="Q242" s="6">
        <v>49771.81</v>
      </c>
      <c r="R242" s="6">
        <f>Q242/181</f>
        <v>274.98237569060774</v>
      </c>
      <c r="S242" s="6">
        <v>41678</v>
      </c>
      <c r="T242" s="6">
        <f t="shared" si="239"/>
        <v>41678</v>
      </c>
      <c r="U242" s="6">
        <f t="shared" si="240"/>
        <v>114.18630136986302</v>
      </c>
      <c r="V242" s="6">
        <v>31458</v>
      </c>
      <c r="W242" s="6">
        <f t="shared" si="241"/>
        <v>31458</v>
      </c>
      <c r="X242" s="6">
        <f t="shared" si="242"/>
        <v>86.186301369863017</v>
      </c>
      <c r="Y242" s="6">
        <v>24728</v>
      </c>
      <c r="Z242" s="6">
        <f t="shared" si="243"/>
        <v>24728</v>
      </c>
      <c r="AA242" s="6">
        <f t="shared" si="244"/>
        <v>67.747945205479454</v>
      </c>
      <c r="AB242" s="6">
        <v>19569</v>
      </c>
      <c r="AC242" s="6">
        <f t="shared" si="245"/>
        <v>19569</v>
      </c>
      <c r="AD242" s="6">
        <f t="shared" si="246"/>
        <v>53.613698630136987</v>
      </c>
      <c r="AE242" s="6">
        <v>15497</v>
      </c>
      <c r="AF242" s="6">
        <f t="shared" si="247"/>
        <v>15497</v>
      </c>
      <c r="AG242" s="6">
        <f t="shared" si="248"/>
        <v>42.457534246575342</v>
      </c>
      <c r="AH242" s="6">
        <v>12307</v>
      </c>
      <c r="AI242" s="6">
        <f t="shared" si="249"/>
        <v>12307</v>
      </c>
      <c r="AJ242" s="6">
        <f t="shared" si="250"/>
        <v>33.717808219178082</v>
      </c>
      <c r="AK242" s="6">
        <v>0</v>
      </c>
      <c r="AL242" s="6">
        <f t="shared" si="251"/>
        <v>0</v>
      </c>
      <c r="AM242" s="6">
        <f t="shared" si="252"/>
        <v>0</v>
      </c>
      <c r="AN242" s="6">
        <v>0</v>
      </c>
      <c r="AO242" s="6">
        <f t="shared" si="253"/>
        <v>0</v>
      </c>
      <c r="AP242" s="6">
        <f t="shared" si="254"/>
        <v>0</v>
      </c>
      <c r="AQ242" s="6">
        <v>0</v>
      </c>
      <c r="AR242" s="6">
        <f t="shared" si="255"/>
        <v>0</v>
      </c>
      <c r="AS242" s="6">
        <f t="shared" si="256"/>
        <v>0</v>
      </c>
      <c r="AT242" s="6">
        <v>0</v>
      </c>
      <c r="AU242" s="6">
        <f t="shared" si="257"/>
        <v>0</v>
      </c>
      <c r="AV242" s="6">
        <f t="shared" si="258"/>
        <v>0</v>
      </c>
      <c r="AW242" s="6">
        <v>0</v>
      </c>
      <c r="AX242" s="6">
        <f t="shared" si="259"/>
        <v>0</v>
      </c>
      <c r="AY242" s="6">
        <f t="shared" si="260"/>
        <v>0</v>
      </c>
      <c r="AZ242" s="6">
        <v>0</v>
      </c>
      <c r="BA242" s="6">
        <f t="shared" si="261"/>
        <v>0</v>
      </c>
      <c r="BB242" s="6">
        <f t="shared" si="262"/>
        <v>0</v>
      </c>
      <c r="BC242" s="6">
        <v>0</v>
      </c>
      <c r="BD242" s="6">
        <f t="shared" si="263"/>
        <v>0</v>
      </c>
      <c r="BE242" s="6">
        <f t="shared" si="264"/>
        <v>0</v>
      </c>
      <c r="BF242" s="6">
        <v>0</v>
      </c>
      <c r="BG242" s="6">
        <f t="shared" si="265"/>
        <v>0</v>
      </c>
      <c r="BH242" s="6">
        <f t="shared" si="266"/>
        <v>0</v>
      </c>
      <c r="BI242" s="6">
        <v>0</v>
      </c>
      <c r="BJ242" s="6">
        <f t="shared" si="267"/>
        <v>0</v>
      </c>
      <c r="BK242" s="6">
        <f t="shared" si="268"/>
        <v>0</v>
      </c>
      <c r="BL242" s="6">
        <v>0</v>
      </c>
      <c r="BM242" s="6">
        <f t="shared" si="269"/>
        <v>0</v>
      </c>
      <c r="BN242" s="6">
        <f t="shared" si="270"/>
        <v>0</v>
      </c>
      <c r="BO242" s="6">
        <v>0</v>
      </c>
      <c r="BP242" s="6">
        <f t="shared" si="271"/>
        <v>0</v>
      </c>
      <c r="BQ242" s="6">
        <f t="shared" si="272"/>
        <v>0</v>
      </c>
      <c r="BR242" s="6">
        <v>0</v>
      </c>
      <c r="BS242" s="6">
        <f t="shared" si="273"/>
        <v>0</v>
      </c>
      <c r="BT242" s="6">
        <f t="shared" si="274"/>
        <v>0</v>
      </c>
      <c r="BU242" s="6">
        <v>0</v>
      </c>
      <c r="BV242" s="6">
        <f t="shared" si="275"/>
        <v>0</v>
      </c>
      <c r="BW242" s="6">
        <f t="shared" si="276"/>
        <v>0</v>
      </c>
      <c r="BX242" s="6">
        <v>0</v>
      </c>
      <c r="BY242" s="6">
        <f t="shared" si="277"/>
        <v>0</v>
      </c>
      <c r="BZ242" s="6">
        <f t="shared" si="278"/>
        <v>0</v>
      </c>
      <c r="CA242" s="6">
        <v>0</v>
      </c>
      <c r="CB242" s="6">
        <f t="shared" si="279"/>
        <v>0</v>
      </c>
      <c r="CC242" s="6">
        <f t="shared" si="280"/>
        <v>0</v>
      </c>
      <c r="CD242" s="6">
        <v>0</v>
      </c>
      <c r="CE242" s="6">
        <f t="shared" si="281"/>
        <v>0</v>
      </c>
      <c r="CF242" s="6">
        <f t="shared" si="282"/>
        <v>0</v>
      </c>
      <c r="CG242" s="6">
        <v>0</v>
      </c>
      <c r="CH242" s="6">
        <f t="shared" si="283"/>
        <v>0</v>
      </c>
      <c r="CI242" s="6">
        <f t="shared" si="284"/>
        <v>0</v>
      </c>
      <c r="CJ242" s="6">
        <v>0</v>
      </c>
      <c r="CK242" s="6">
        <f t="shared" si="285"/>
        <v>0</v>
      </c>
      <c r="CL242" s="6">
        <f t="shared" si="286"/>
        <v>0</v>
      </c>
      <c r="CM242" s="6">
        <v>0</v>
      </c>
      <c r="CN242" s="6">
        <f t="shared" si="287"/>
        <v>0</v>
      </c>
      <c r="CO242" s="6">
        <f t="shared" si="288"/>
        <v>0</v>
      </c>
      <c r="CP242" s="6">
        <v>0</v>
      </c>
      <c r="CQ242" s="6">
        <f t="shared" si="289"/>
        <v>0</v>
      </c>
      <c r="CR242" s="6">
        <f t="shared" si="290"/>
        <v>0</v>
      </c>
      <c r="CS242" s="6">
        <v>0</v>
      </c>
      <c r="CT242" s="6">
        <f t="shared" si="291"/>
        <v>0</v>
      </c>
      <c r="CU242" s="6">
        <f t="shared" si="292"/>
        <v>0</v>
      </c>
      <c r="CV242" s="6">
        <v>0</v>
      </c>
      <c r="CW242" s="6">
        <f t="shared" si="293"/>
        <v>0</v>
      </c>
      <c r="CX242" s="6">
        <f t="shared" si="294"/>
        <v>0</v>
      </c>
      <c r="CY242" s="6">
        <v>0</v>
      </c>
      <c r="CZ242" s="6">
        <f t="shared" si="295"/>
        <v>0</v>
      </c>
      <c r="DA242" s="6">
        <f t="shared" si="296"/>
        <v>0</v>
      </c>
      <c r="DB242" s="6">
        <v>0</v>
      </c>
      <c r="DC242" s="6">
        <f t="shared" si="297"/>
        <v>0</v>
      </c>
      <c r="DD242" s="6">
        <f t="shared" si="298"/>
        <v>0</v>
      </c>
      <c r="DE242" s="6">
        <v>0</v>
      </c>
      <c r="DF242" s="6">
        <f t="shared" si="299"/>
        <v>0</v>
      </c>
      <c r="DG242" s="6">
        <f t="shared" si="300"/>
        <v>0</v>
      </c>
      <c r="DH242" s="6">
        <v>0</v>
      </c>
      <c r="DI242" s="6">
        <f t="shared" si="301"/>
        <v>0</v>
      </c>
      <c r="DJ242" s="6">
        <f t="shared" si="302"/>
        <v>0</v>
      </c>
      <c r="DK242" s="6">
        <v>0</v>
      </c>
      <c r="DL242" s="6">
        <f t="shared" si="303"/>
        <v>0</v>
      </c>
      <c r="DM242" s="6">
        <f t="shared" si="304"/>
        <v>0</v>
      </c>
      <c r="DN242" s="6">
        <v>0</v>
      </c>
      <c r="DO242" s="6">
        <f t="shared" si="305"/>
        <v>0</v>
      </c>
      <c r="DP242" s="6">
        <f t="shared" si="306"/>
        <v>0</v>
      </c>
    </row>
    <row r="243" spans="1:120" x14ac:dyDescent="0.2">
      <c r="A243" s="21">
        <v>86</v>
      </c>
      <c r="B243" s="21" t="s">
        <v>664</v>
      </c>
      <c r="C243" s="21">
        <v>86568</v>
      </c>
      <c r="D243" s="21" t="s">
        <v>712</v>
      </c>
      <c r="E243" s="21" t="s">
        <v>510</v>
      </c>
      <c r="F243" s="22" t="s">
        <v>669</v>
      </c>
      <c r="G243" s="4" t="s">
        <v>355</v>
      </c>
      <c r="H243" s="6">
        <v>767438.26</v>
      </c>
      <c r="I243" s="6">
        <f t="shared" si="310"/>
        <v>2102.5705753424659</v>
      </c>
      <c r="J243" s="6">
        <v>611454</v>
      </c>
      <c r="K243" s="6">
        <v>505440.03</v>
      </c>
      <c r="L243" s="6">
        <f t="shared" si="311"/>
        <v>1380.9836885245902</v>
      </c>
      <c r="M243" s="6">
        <v>564211</v>
      </c>
      <c r="N243" s="6">
        <v>60196.19</v>
      </c>
      <c r="O243" s="6">
        <f t="shared" si="312"/>
        <v>164.9210684931507</v>
      </c>
      <c r="P243" s="6">
        <v>506357</v>
      </c>
      <c r="Q243" s="6">
        <v>127159.15</v>
      </c>
      <c r="R243" s="6">
        <f>Q243/181</f>
        <v>702.53674033149173</v>
      </c>
      <c r="S243" s="6">
        <v>396194</v>
      </c>
      <c r="T243" s="6">
        <f t="shared" si="239"/>
        <v>396194</v>
      </c>
      <c r="U243" s="6">
        <f t="shared" si="240"/>
        <v>1085.4630136986302</v>
      </c>
      <c r="V243" s="6">
        <v>323351</v>
      </c>
      <c r="W243" s="6">
        <f t="shared" si="241"/>
        <v>323351</v>
      </c>
      <c r="X243" s="6">
        <f t="shared" si="242"/>
        <v>885.89315068493147</v>
      </c>
      <c r="Y243" s="6">
        <v>271338</v>
      </c>
      <c r="Z243" s="6">
        <f t="shared" si="243"/>
        <v>271338</v>
      </c>
      <c r="AA243" s="6">
        <f t="shared" si="244"/>
        <v>743.39178082191779</v>
      </c>
      <c r="AB243" s="6">
        <v>234247</v>
      </c>
      <c r="AC243" s="6">
        <f t="shared" si="245"/>
        <v>234247</v>
      </c>
      <c r="AD243" s="6">
        <f t="shared" si="246"/>
        <v>641.77260273972604</v>
      </c>
      <c r="AE243" s="6">
        <v>205022</v>
      </c>
      <c r="AF243" s="6">
        <f t="shared" si="247"/>
        <v>205022</v>
      </c>
      <c r="AG243" s="6">
        <f t="shared" si="248"/>
        <v>561.70410958904108</v>
      </c>
      <c r="AH243" s="6">
        <v>184021</v>
      </c>
      <c r="AI243" s="6">
        <f t="shared" si="249"/>
        <v>184021</v>
      </c>
      <c r="AJ243" s="6">
        <f t="shared" si="250"/>
        <v>504.16712328767125</v>
      </c>
      <c r="AK243" s="6">
        <v>0</v>
      </c>
      <c r="AL243" s="6">
        <f t="shared" si="251"/>
        <v>0</v>
      </c>
      <c r="AM243" s="6">
        <f t="shared" si="252"/>
        <v>0</v>
      </c>
      <c r="AN243" s="6">
        <v>0</v>
      </c>
      <c r="AO243" s="6">
        <f t="shared" si="253"/>
        <v>0</v>
      </c>
      <c r="AP243" s="6">
        <f t="shared" si="254"/>
        <v>0</v>
      </c>
      <c r="AQ243" s="6">
        <v>0</v>
      </c>
      <c r="AR243" s="6">
        <f t="shared" si="255"/>
        <v>0</v>
      </c>
      <c r="AS243" s="6">
        <f t="shared" si="256"/>
        <v>0</v>
      </c>
      <c r="AT243" s="6">
        <v>0</v>
      </c>
      <c r="AU243" s="6">
        <f t="shared" si="257"/>
        <v>0</v>
      </c>
      <c r="AV243" s="6">
        <f t="shared" si="258"/>
        <v>0</v>
      </c>
      <c r="AW243" s="6">
        <v>0</v>
      </c>
      <c r="AX243" s="6">
        <f t="shared" si="259"/>
        <v>0</v>
      </c>
      <c r="AY243" s="6">
        <f t="shared" si="260"/>
        <v>0</v>
      </c>
      <c r="AZ243" s="6">
        <v>0</v>
      </c>
      <c r="BA243" s="6">
        <f t="shared" si="261"/>
        <v>0</v>
      </c>
      <c r="BB243" s="6">
        <f t="shared" si="262"/>
        <v>0</v>
      </c>
      <c r="BC243" s="6">
        <v>0</v>
      </c>
      <c r="BD243" s="6">
        <f t="shared" si="263"/>
        <v>0</v>
      </c>
      <c r="BE243" s="6">
        <f t="shared" si="264"/>
        <v>0</v>
      </c>
      <c r="BF243" s="6">
        <v>0</v>
      </c>
      <c r="BG243" s="6">
        <f t="shared" si="265"/>
        <v>0</v>
      </c>
      <c r="BH243" s="6">
        <f t="shared" si="266"/>
        <v>0</v>
      </c>
      <c r="BI243" s="6">
        <v>0</v>
      </c>
      <c r="BJ243" s="6">
        <f t="shared" si="267"/>
        <v>0</v>
      </c>
      <c r="BK243" s="6">
        <f t="shared" si="268"/>
        <v>0</v>
      </c>
      <c r="BL243" s="6">
        <v>0</v>
      </c>
      <c r="BM243" s="6">
        <f t="shared" si="269"/>
        <v>0</v>
      </c>
      <c r="BN243" s="6">
        <f t="shared" si="270"/>
        <v>0</v>
      </c>
      <c r="BO243" s="6">
        <v>0</v>
      </c>
      <c r="BP243" s="6">
        <f t="shared" si="271"/>
        <v>0</v>
      </c>
      <c r="BQ243" s="6">
        <f t="shared" si="272"/>
        <v>0</v>
      </c>
      <c r="BR243" s="6">
        <v>0</v>
      </c>
      <c r="BS243" s="6">
        <f t="shared" si="273"/>
        <v>0</v>
      </c>
      <c r="BT243" s="6">
        <f t="shared" si="274"/>
        <v>0</v>
      </c>
      <c r="BU243" s="6">
        <v>0</v>
      </c>
      <c r="BV243" s="6">
        <f t="shared" si="275"/>
        <v>0</v>
      </c>
      <c r="BW243" s="6">
        <f t="shared" si="276"/>
        <v>0</v>
      </c>
      <c r="BX243" s="6">
        <v>0</v>
      </c>
      <c r="BY243" s="6">
        <f t="shared" si="277"/>
        <v>0</v>
      </c>
      <c r="BZ243" s="6">
        <f t="shared" si="278"/>
        <v>0</v>
      </c>
      <c r="CA243" s="6">
        <v>0</v>
      </c>
      <c r="CB243" s="6">
        <f t="shared" si="279"/>
        <v>0</v>
      </c>
      <c r="CC243" s="6">
        <f t="shared" si="280"/>
        <v>0</v>
      </c>
      <c r="CD243" s="6">
        <v>0</v>
      </c>
      <c r="CE243" s="6">
        <f t="shared" si="281"/>
        <v>0</v>
      </c>
      <c r="CF243" s="6">
        <f t="shared" si="282"/>
        <v>0</v>
      </c>
      <c r="CG243" s="6">
        <v>0</v>
      </c>
      <c r="CH243" s="6">
        <f t="shared" si="283"/>
        <v>0</v>
      </c>
      <c r="CI243" s="6">
        <f t="shared" si="284"/>
        <v>0</v>
      </c>
      <c r="CJ243" s="6">
        <v>0</v>
      </c>
      <c r="CK243" s="6">
        <f t="shared" si="285"/>
        <v>0</v>
      </c>
      <c r="CL243" s="6">
        <f t="shared" si="286"/>
        <v>0</v>
      </c>
      <c r="CM243" s="6">
        <v>0</v>
      </c>
      <c r="CN243" s="6">
        <f t="shared" si="287"/>
        <v>0</v>
      </c>
      <c r="CO243" s="6">
        <f t="shared" si="288"/>
        <v>0</v>
      </c>
      <c r="CP243" s="6">
        <v>0</v>
      </c>
      <c r="CQ243" s="6">
        <f t="shared" si="289"/>
        <v>0</v>
      </c>
      <c r="CR243" s="6">
        <f t="shared" si="290"/>
        <v>0</v>
      </c>
      <c r="CS243" s="6">
        <v>0</v>
      </c>
      <c r="CT243" s="6">
        <f t="shared" si="291"/>
        <v>0</v>
      </c>
      <c r="CU243" s="6">
        <f t="shared" si="292"/>
        <v>0</v>
      </c>
      <c r="CV243" s="6">
        <v>0</v>
      </c>
      <c r="CW243" s="6">
        <f t="shared" si="293"/>
        <v>0</v>
      </c>
      <c r="CX243" s="6">
        <f t="shared" si="294"/>
        <v>0</v>
      </c>
      <c r="CY243" s="6">
        <v>0</v>
      </c>
      <c r="CZ243" s="6">
        <f t="shared" si="295"/>
        <v>0</v>
      </c>
      <c r="DA243" s="6">
        <f t="shared" si="296"/>
        <v>0</v>
      </c>
      <c r="DB243" s="6">
        <v>0</v>
      </c>
      <c r="DC243" s="6">
        <f t="shared" si="297"/>
        <v>0</v>
      </c>
      <c r="DD243" s="6">
        <f t="shared" si="298"/>
        <v>0</v>
      </c>
      <c r="DE243" s="6">
        <v>0</v>
      </c>
      <c r="DF243" s="6">
        <f t="shared" si="299"/>
        <v>0</v>
      </c>
      <c r="DG243" s="6">
        <f t="shared" si="300"/>
        <v>0</v>
      </c>
      <c r="DH243" s="6">
        <v>0</v>
      </c>
      <c r="DI243" s="6">
        <f t="shared" si="301"/>
        <v>0</v>
      </c>
      <c r="DJ243" s="6">
        <f t="shared" si="302"/>
        <v>0</v>
      </c>
      <c r="DK243" s="6">
        <v>0</v>
      </c>
      <c r="DL243" s="6">
        <f t="shared" si="303"/>
        <v>0</v>
      </c>
      <c r="DM243" s="6">
        <f t="shared" si="304"/>
        <v>0</v>
      </c>
      <c r="DN243" s="6">
        <v>0</v>
      </c>
      <c r="DO243" s="6">
        <f t="shared" si="305"/>
        <v>0</v>
      </c>
      <c r="DP243" s="6">
        <f t="shared" si="306"/>
        <v>0</v>
      </c>
    </row>
    <row r="244" spans="1:120" x14ac:dyDescent="0.2">
      <c r="A244" s="21">
        <v>85</v>
      </c>
      <c r="B244" s="21" t="s">
        <v>612</v>
      </c>
      <c r="C244" s="21">
        <v>85430</v>
      </c>
      <c r="D244" s="21" t="s">
        <v>672</v>
      </c>
      <c r="E244" s="21" t="s">
        <v>594</v>
      </c>
      <c r="F244" s="22" t="s">
        <v>662</v>
      </c>
      <c r="G244" s="4" t="s">
        <v>356</v>
      </c>
      <c r="H244" s="6">
        <v>7934.41</v>
      </c>
      <c r="I244" s="6">
        <f t="shared" si="310"/>
        <v>21.738109589041095</v>
      </c>
      <c r="J244" s="6">
        <v>5642.7156000000004</v>
      </c>
      <c r="K244" s="6">
        <v>980.58</v>
      </c>
      <c r="L244" s="6">
        <f t="shared" si="311"/>
        <v>2.6791803278688526</v>
      </c>
      <c r="M244" s="6">
        <v>0</v>
      </c>
      <c r="N244" s="6"/>
      <c r="O244" s="6"/>
      <c r="P244" s="6">
        <v>0</v>
      </c>
      <c r="Q244" s="6"/>
      <c r="R244" s="6"/>
      <c r="S244" s="6">
        <v>0</v>
      </c>
      <c r="T244" s="6">
        <f t="shared" si="239"/>
        <v>0</v>
      </c>
      <c r="U244" s="6">
        <f t="shared" si="240"/>
        <v>0</v>
      </c>
      <c r="V244" s="6">
        <v>0</v>
      </c>
      <c r="W244" s="6">
        <f t="shared" si="241"/>
        <v>0</v>
      </c>
      <c r="X244" s="6">
        <f t="shared" si="242"/>
        <v>0</v>
      </c>
      <c r="Y244" s="6">
        <v>0</v>
      </c>
      <c r="Z244" s="6">
        <f t="shared" si="243"/>
        <v>0</v>
      </c>
      <c r="AA244" s="6">
        <f t="shared" si="244"/>
        <v>0</v>
      </c>
      <c r="AB244" s="6">
        <v>0</v>
      </c>
      <c r="AC244" s="6">
        <f t="shared" si="245"/>
        <v>0</v>
      </c>
      <c r="AD244" s="6">
        <f t="shared" si="246"/>
        <v>0</v>
      </c>
      <c r="AE244" s="6">
        <v>0</v>
      </c>
      <c r="AF244" s="6">
        <f t="shared" si="247"/>
        <v>0</v>
      </c>
      <c r="AG244" s="6">
        <f t="shared" si="248"/>
        <v>0</v>
      </c>
      <c r="AH244" s="6">
        <v>0</v>
      </c>
      <c r="AI244" s="6">
        <f t="shared" si="249"/>
        <v>0</v>
      </c>
      <c r="AJ244" s="6">
        <f t="shared" si="250"/>
        <v>0</v>
      </c>
      <c r="AK244" s="6">
        <v>0</v>
      </c>
      <c r="AL244" s="6">
        <f t="shared" si="251"/>
        <v>0</v>
      </c>
      <c r="AM244" s="6">
        <f t="shared" si="252"/>
        <v>0</v>
      </c>
      <c r="AN244" s="6">
        <v>0</v>
      </c>
      <c r="AO244" s="6">
        <f t="shared" si="253"/>
        <v>0</v>
      </c>
      <c r="AP244" s="6">
        <f t="shared" si="254"/>
        <v>0</v>
      </c>
      <c r="AQ244" s="6">
        <v>0</v>
      </c>
      <c r="AR244" s="6">
        <f t="shared" si="255"/>
        <v>0</v>
      </c>
      <c r="AS244" s="6">
        <f t="shared" si="256"/>
        <v>0</v>
      </c>
      <c r="AT244" s="6">
        <v>0</v>
      </c>
      <c r="AU244" s="6">
        <f t="shared" si="257"/>
        <v>0</v>
      </c>
      <c r="AV244" s="6">
        <f t="shared" si="258"/>
        <v>0</v>
      </c>
      <c r="AW244" s="6">
        <v>0</v>
      </c>
      <c r="AX244" s="6">
        <f t="shared" si="259"/>
        <v>0</v>
      </c>
      <c r="AY244" s="6">
        <f t="shared" si="260"/>
        <v>0</v>
      </c>
      <c r="AZ244" s="6">
        <v>0</v>
      </c>
      <c r="BA244" s="6">
        <f t="shared" si="261"/>
        <v>0</v>
      </c>
      <c r="BB244" s="6">
        <f t="shared" si="262"/>
        <v>0</v>
      </c>
      <c r="BC244" s="6">
        <v>0</v>
      </c>
      <c r="BD244" s="6">
        <f t="shared" si="263"/>
        <v>0</v>
      </c>
      <c r="BE244" s="6">
        <f t="shared" si="264"/>
        <v>0</v>
      </c>
      <c r="BF244" s="6">
        <v>0</v>
      </c>
      <c r="BG244" s="6">
        <f t="shared" si="265"/>
        <v>0</v>
      </c>
      <c r="BH244" s="6">
        <f t="shared" si="266"/>
        <v>0</v>
      </c>
      <c r="BI244" s="6">
        <v>0</v>
      </c>
      <c r="BJ244" s="6">
        <f t="shared" si="267"/>
        <v>0</v>
      </c>
      <c r="BK244" s="6">
        <f t="shared" si="268"/>
        <v>0</v>
      </c>
      <c r="BL244" s="6">
        <v>0</v>
      </c>
      <c r="BM244" s="6">
        <f t="shared" si="269"/>
        <v>0</v>
      </c>
      <c r="BN244" s="6">
        <f t="shared" si="270"/>
        <v>0</v>
      </c>
      <c r="BO244" s="6">
        <v>0</v>
      </c>
      <c r="BP244" s="6">
        <f t="shared" si="271"/>
        <v>0</v>
      </c>
      <c r="BQ244" s="6">
        <f t="shared" si="272"/>
        <v>0</v>
      </c>
      <c r="BR244" s="6">
        <v>0</v>
      </c>
      <c r="BS244" s="6">
        <f t="shared" si="273"/>
        <v>0</v>
      </c>
      <c r="BT244" s="6">
        <f t="shared" si="274"/>
        <v>0</v>
      </c>
      <c r="BU244" s="6">
        <v>0</v>
      </c>
      <c r="BV244" s="6">
        <f t="shared" si="275"/>
        <v>0</v>
      </c>
      <c r="BW244" s="6">
        <f t="shared" si="276"/>
        <v>0</v>
      </c>
      <c r="BX244" s="6">
        <v>0</v>
      </c>
      <c r="BY244" s="6">
        <f t="shared" si="277"/>
        <v>0</v>
      </c>
      <c r="BZ244" s="6">
        <f t="shared" si="278"/>
        <v>0</v>
      </c>
      <c r="CA244" s="6">
        <v>0</v>
      </c>
      <c r="CB244" s="6">
        <f t="shared" si="279"/>
        <v>0</v>
      </c>
      <c r="CC244" s="6">
        <f t="shared" si="280"/>
        <v>0</v>
      </c>
      <c r="CD244" s="6">
        <v>0</v>
      </c>
      <c r="CE244" s="6">
        <f t="shared" si="281"/>
        <v>0</v>
      </c>
      <c r="CF244" s="6">
        <f t="shared" si="282"/>
        <v>0</v>
      </c>
      <c r="CG244" s="6">
        <v>0</v>
      </c>
      <c r="CH244" s="6">
        <f t="shared" si="283"/>
        <v>0</v>
      </c>
      <c r="CI244" s="6">
        <f t="shared" si="284"/>
        <v>0</v>
      </c>
      <c r="CJ244" s="6">
        <v>0</v>
      </c>
      <c r="CK244" s="6">
        <f t="shared" si="285"/>
        <v>0</v>
      </c>
      <c r="CL244" s="6">
        <f t="shared" si="286"/>
        <v>0</v>
      </c>
      <c r="CM244" s="6">
        <v>0</v>
      </c>
      <c r="CN244" s="6">
        <f t="shared" si="287"/>
        <v>0</v>
      </c>
      <c r="CO244" s="6">
        <f t="shared" si="288"/>
        <v>0</v>
      </c>
      <c r="CP244" s="6">
        <v>0</v>
      </c>
      <c r="CQ244" s="6">
        <f t="shared" si="289"/>
        <v>0</v>
      </c>
      <c r="CR244" s="6">
        <f t="shared" si="290"/>
        <v>0</v>
      </c>
      <c r="CS244" s="6">
        <v>0</v>
      </c>
      <c r="CT244" s="6">
        <f t="shared" si="291"/>
        <v>0</v>
      </c>
      <c r="CU244" s="6">
        <f t="shared" si="292"/>
        <v>0</v>
      </c>
      <c r="CV244" s="6">
        <v>0</v>
      </c>
      <c r="CW244" s="6">
        <f t="shared" si="293"/>
        <v>0</v>
      </c>
      <c r="CX244" s="6">
        <f t="shared" si="294"/>
        <v>0</v>
      </c>
      <c r="CY244" s="6">
        <v>0</v>
      </c>
      <c r="CZ244" s="6">
        <f t="shared" si="295"/>
        <v>0</v>
      </c>
      <c r="DA244" s="6">
        <f t="shared" si="296"/>
        <v>0</v>
      </c>
      <c r="DB244" s="6">
        <v>0</v>
      </c>
      <c r="DC244" s="6">
        <f t="shared" si="297"/>
        <v>0</v>
      </c>
      <c r="DD244" s="6">
        <f t="shared" si="298"/>
        <v>0</v>
      </c>
      <c r="DE244" s="6">
        <v>0</v>
      </c>
      <c r="DF244" s="6">
        <f t="shared" si="299"/>
        <v>0</v>
      </c>
      <c r="DG244" s="6">
        <f t="shared" si="300"/>
        <v>0</v>
      </c>
      <c r="DH244" s="6">
        <v>0</v>
      </c>
      <c r="DI244" s="6">
        <f t="shared" si="301"/>
        <v>0</v>
      </c>
      <c r="DJ244" s="6">
        <f t="shared" si="302"/>
        <v>0</v>
      </c>
      <c r="DK244" s="6">
        <v>0</v>
      </c>
      <c r="DL244" s="6">
        <f t="shared" si="303"/>
        <v>0</v>
      </c>
      <c r="DM244" s="6">
        <f t="shared" si="304"/>
        <v>0</v>
      </c>
      <c r="DN244" s="6">
        <v>0</v>
      </c>
      <c r="DO244" s="6">
        <f t="shared" si="305"/>
        <v>0</v>
      </c>
      <c r="DP244" s="6">
        <f t="shared" si="306"/>
        <v>0</v>
      </c>
    </row>
    <row r="245" spans="1:120" x14ac:dyDescent="0.2">
      <c r="A245" s="21">
        <v>68</v>
      </c>
      <c r="B245" s="21" t="s">
        <v>673</v>
      </c>
      <c r="C245" s="21">
        <v>68655</v>
      </c>
      <c r="D245" s="21" t="s">
        <v>689</v>
      </c>
      <c r="E245" s="21" t="s">
        <v>522</v>
      </c>
      <c r="F245" s="22" t="s">
        <v>666</v>
      </c>
      <c r="G245" s="4" t="s">
        <v>357</v>
      </c>
      <c r="H245" s="6">
        <v>634500.46</v>
      </c>
      <c r="I245" s="6">
        <f t="shared" si="310"/>
        <v>1738.3574246575342</v>
      </c>
      <c r="J245" s="6">
        <v>754604</v>
      </c>
      <c r="K245" s="6">
        <v>652116.21</v>
      </c>
      <c r="L245" s="6">
        <f t="shared" si="311"/>
        <v>1781.7382786885246</v>
      </c>
      <c r="M245" s="6">
        <v>750766</v>
      </c>
      <c r="N245" s="6">
        <v>663770.51</v>
      </c>
      <c r="O245" s="6">
        <f>N245/365</f>
        <v>1818.5493424657534</v>
      </c>
      <c r="P245" s="6">
        <v>762464</v>
      </c>
      <c r="Q245" s="6">
        <v>290837.86</v>
      </c>
      <c r="R245" s="6">
        <f>Q245/181</f>
        <v>1606.8390055248617</v>
      </c>
      <c r="S245" s="6">
        <v>745561</v>
      </c>
      <c r="T245" s="6">
        <f t="shared" si="239"/>
        <v>745561</v>
      </c>
      <c r="U245" s="6">
        <f t="shared" si="240"/>
        <v>2042.6328767123289</v>
      </c>
      <c r="V245" s="6">
        <v>647691</v>
      </c>
      <c r="W245" s="6">
        <f t="shared" si="241"/>
        <v>647691</v>
      </c>
      <c r="X245" s="6">
        <f t="shared" si="242"/>
        <v>1774.495890410959</v>
      </c>
      <c r="Y245" s="6">
        <v>558267</v>
      </c>
      <c r="Z245" s="6">
        <f t="shared" si="243"/>
        <v>558267</v>
      </c>
      <c r="AA245" s="6">
        <f t="shared" si="244"/>
        <v>1529.4986301369863</v>
      </c>
      <c r="AB245" s="6">
        <v>480986</v>
      </c>
      <c r="AC245" s="6">
        <f t="shared" si="245"/>
        <v>480986</v>
      </c>
      <c r="AD245" s="6">
        <f t="shared" si="246"/>
        <v>1317.7698630136986</v>
      </c>
      <c r="AE245" s="6">
        <v>396693</v>
      </c>
      <c r="AF245" s="6">
        <f t="shared" si="247"/>
        <v>396693</v>
      </c>
      <c r="AG245" s="6">
        <f t="shared" si="248"/>
        <v>1086.8301369863013</v>
      </c>
      <c r="AH245" s="6">
        <v>326133</v>
      </c>
      <c r="AI245" s="6">
        <f t="shared" si="249"/>
        <v>326133</v>
      </c>
      <c r="AJ245" s="6">
        <f t="shared" si="250"/>
        <v>893.51506849315069</v>
      </c>
      <c r="AK245" s="6">
        <v>250510</v>
      </c>
      <c r="AL245" s="6">
        <f t="shared" si="251"/>
        <v>250510</v>
      </c>
      <c r="AM245" s="6">
        <f t="shared" si="252"/>
        <v>686.32876712328766</v>
      </c>
      <c r="AN245" s="6">
        <v>0</v>
      </c>
      <c r="AO245" s="6">
        <f t="shared" si="253"/>
        <v>0</v>
      </c>
      <c r="AP245" s="6">
        <f t="shared" si="254"/>
        <v>0</v>
      </c>
      <c r="AQ245" s="6">
        <v>0</v>
      </c>
      <c r="AR245" s="6">
        <f t="shared" si="255"/>
        <v>0</v>
      </c>
      <c r="AS245" s="6">
        <f t="shared" si="256"/>
        <v>0</v>
      </c>
      <c r="AT245" s="6">
        <v>0</v>
      </c>
      <c r="AU245" s="6">
        <f t="shared" si="257"/>
        <v>0</v>
      </c>
      <c r="AV245" s="6">
        <f t="shared" si="258"/>
        <v>0</v>
      </c>
      <c r="AW245" s="6">
        <v>0</v>
      </c>
      <c r="AX245" s="6">
        <f t="shared" si="259"/>
        <v>0</v>
      </c>
      <c r="AY245" s="6">
        <f t="shared" si="260"/>
        <v>0</v>
      </c>
      <c r="AZ245" s="6">
        <v>0</v>
      </c>
      <c r="BA245" s="6">
        <f t="shared" si="261"/>
        <v>0</v>
      </c>
      <c r="BB245" s="6">
        <f t="shared" si="262"/>
        <v>0</v>
      </c>
      <c r="BC245" s="6">
        <v>0</v>
      </c>
      <c r="BD245" s="6">
        <f t="shared" si="263"/>
        <v>0</v>
      </c>
      <c r="BE245" s="6">
        <f t="shared" si="264"/>
        <v>0</v>
      </c>
      <c r="BF245" s="6">
        <v>0</v>
      </c>
      <c r="BG245" s="6">
        <f t="shared" si="265"/>
        <v>0</v>
      </c>
      <c r="BH245" s="6">
        <f t="shared" si="266"/>
        <v>0</v>
      </c>
      <c r="BI245" s="6">
        <v>0</v>
      </c>
      <c r="BJ245" s="6">
        <f t="shared" si="267"/>
        <v>0</v>
      </c>
      <c r="BK245" s="6">
        <f t="shared" si="268"/>
        <v>0</v>
      </c>
      <c r="BL245" s="6">
        <v>0</v>
      </c>
      <c r="BM245" s="6">
        <f t="shared" si="269"/>
        <v>0</v>
      </c>
      <c r="BN245" s="6">
        <f t="shared" si="270"/>
        <v>0</v>
      </c>
      <c r="BO245" s="6">
        <v>0</v>
      </c>
      <c r="BP245" s="6">
        <f t="shared" si="271"/>
        <v>0</v>
      </c>
      <c r="BQ245" s="6">
        <f t="shared" si="272"/>
        <v>0</v>
      </c>
      <c r="BR245" s="6">
        <v>0</v>
      </c>
      <c r="BS245" s="6">
        <f t="shared" si="273"/>
        <v>0</v>
      </c>
      <c r="BT245" s="6">
        <f t="shared" si="274"/>
        <v>0</v>
      </c>
      <c r="BU245" s="6">
        <v>0</v>
      </c>
      <c r="BV245" s="6">
        <f t="shared" si="275"/>
        <v>0</v>
      </c>
      <c r="BW245" s="6">
        <f t="shared" si="276"/>
        <v>0</v>
      </c>
      <c r="BX245" s="6">
        <v>0</v>
      </c>
      <c r="BY245" s="6">
        <f t="shared" si="277"/>
        <v>0</v>
      </c>
      <c r="BZ245" s="6">
        <f t="shared" si="278"/>
        <v>0</v>
      </c>
      <c r="CA245" s="6">
        <v>0</v>
      </c>
      <c r="CB245" s="6">
        <f t="shared" si="279"/>
        <v>0</v>
      </c>
      <c r="CC245" s="6">
        <f t="shared" si="280"/>
        <v>0</v>
      </c>
      <c r="CD245" s="6">
        <v>0</v>
      </c>
      <c r="CE245" s="6">
        <f t="shared" si="281"/>
        <v>0</v>
      </c>
      <c r="CF245" s="6">
        <f t="shared" si="282"/>
        <v>0</v>
      </c>
      <c r="CG245" s="6">
        <v>0</v>
      </c>
      <c r="CH245" s="6">
        <f t="shared" si="283"/>
        <v>0</v>
      </c>
      <c r="CI245" s="6">
        <f t="shared" si="284"/>
        <v>0</v>
      </c>
      <c r="CJ245" s="6">
        <v>0</v>
      </c>
      <c r="CK245" s="6">
        <f t="shared" si="285"/>
        <v>0</v>
      </c>
      <c r="CL245" s="6">
        <f t="shared" si="286"/>
        <v>0</v>
      </c>
      <c r="CM245" s="6">
        <v>0</v>
      </c>
      <c r="CN245" s="6">
        <f t="shared" si="287"/>
        <v>0</v>
      </c>
      <c r="CO245" s="6">
        <f t="shared" si="288"/>
        <v>0</v>
      </c>
      <c r="CP245" s="6">
        <v>0</v>
      </c>
      <c r="CQ245" s="6">
        <f t="shared" si="289"/>
        <v>0</v>
      </c>
      <c r="CR245" s="6">
        <f t="shared" si="290"/>
        <v>0</v>
      </c>
      <c r="CS245" s="6">
        <v>0</v>
      </c>
      <c r="CT245" s="6">
        <f t="shared" si="291"/>
        <v>0</v>
      </c>
      <c r="CU245" s="6">
        <f t="shared" si="292"/>
        <v>0</v>
      </c>
      <c r="CV245" s="6">
        <v>0</v>
      </c>
      <c r="CW245" s="6">
        <f t="shared" si="293"/>
        <v>0</v>
      </c>
      <c r="CX245" s="6">
        <f t="shared" si="294"/>
        <v>0</v>
      </c>
      <c r="CY245" s="6">
        <v>0</v>
      </c>
      <c r="CZ245" s="6">
        <f t="shared" si="295"/>
        <v>0</v>
      </c>
      <c r="DA245" s="6">
        <f t="shared" si="296"/>
        <v>0</v>
      </c>
      <c r="DB245" s="6">
        <v>0</v>
      </c>
      <c r="DC245" s="6">
        <f t="shared" si="297"/>
        <v>0</v>
      </c>
      <c r="DD245" s="6">
        <f t="shared" si="298"/>
        <v>0</v>
      </c>
      <c r="DE245" s="6">
        <v>0</v>
      </c>
      <c r="DF245" s="6">
        <f t="shared" si="299"/>
        <v>0</v>
      </c>
      <c r="DG245" s="6">
        <f t="shared" si="300"/>
        <v>0</v>
      </c>
      <c r="DH245" s="6">
        <v>0</v>
      </c>
      <c r="DI245" s="6">
        <f t="shared" si="301"/>
        <v>0</v>
      </c>
      <c r="DJ245" s="6">
        <f t="shared" si="302"/>
        <v>0</v>
      </c>
      <c r="DK245" s="6">
        <v>0</v>
      </c>
      <c r="DL245" s="6">
        <f t="shared" si="303"/>
        <v>0</v>
      </c>
      <c r="DM245" s="6">
        <f t="shared" si="304"/>
        <v>0</v>
      </c>
      <c r="DN245" s="6">
        <v>0</v>
      </c>
      <c r="DO245" s="6">
        <f t="shared" si="305"/>
        <v>0</v>
      </c>
      <c r="DP245" s="6">
        <f t="shared" si="306"/>
        <v>0</v>
      </c>
    </row>
    <row r="246" spans="1:120" x14ac:dyDescent="0.2">
      <c r="A246" s="21">
        <v>85</v>
      </c>
      <c r="B246" s="21" t="s">
        <v>612</v>
      </c>
      <c r="C246" s="21">
        <v>85325</v>
      </c>
      <c r="D246" s="21" t="s">
        <v>670</v>
      </c>
      <c r="E246" s="21" t="s">
        <v>699</v>
      </c>
      <c r="F246" s="22" t="s">
        <v>669</v>
      </c>
      <c r="G246" s="4" t="s">
        <v>358</v>
      </c>
      <c r="H246" s="6">
        <v>194167.44</v>
      </c>
      <c r="I246" s="6">
        <f t="shared" si="310"/>
        <v>531.96558904109588</v>
      </c>
      <c r="J246" s="6">
        <v>197432.15760000001</v>
      </c>
      <c r="K246" s="6">
        <v>147932.31</v>
      </c>
      <c r="L246" s="6">
        <f t="shared" si="311"/>
        <v>404.18663934426229</v>
      </c>
      <c r="M246" s="6">
        <v>118087.3325</v>
      </c>
      <c r="N246" s="6">
        <v>125290.52</v>
      </c>
      <c r="O246" s="6">
        <f>N246/365</f>
        <v>343.261698630137</v>
      </c>
      <c r="P246" s="6">
        <v>175972</v>
      </c>
      <c r="Q246" s="6">
        <v>56050.15</v>
      </c>
      <c r="R246" s="6">
        <f>Q246/181</f>
        <v>309.66933701657462</v>
      </c>
      <c r="S246" s="6">
        <v>128236</v>
      </c>
      <c r="T246" s="6">
        <f t="shared" si="239"/>
        <v>128236</v>
      </c>
      <c r="U246" s="6">
        <f t="shared" si="240"/>
        <v>351.33150684931508</v>
      </c>
      <c r="V246" s="6">
        <v>81732</v>
      </c>
      <c r="W246" s="6">
        <f t="shared" si="241"/>
        <v>81732</v>
      </c>
      <c r="X246" s="6">
        <f t="shared" si="242"/>
        <v>223.92328767123288</v>
      </c>
      <c r="Y246" s="6">
        <v>52212</v>
      </c>
      <c r="Z246" s="6">
        <f t="shared" si="243"/>
        <v>52212</v>
      </c>
      <c r="AA246" s="6">
        <f t="shared" si="244"/>
        <v>143.04657534246576</v>
      </c>
      <c r="AB246" s="6">
        <v>33452</v>
      </c>
      <c r="AC246" s="6">
        <f t="shared" si="245"/>
        <v>33452</v>
      </c>
      <c r="AD246" s="6">
        <f t="shared" si="246"/>
        <v>91.649315068493152</v>
      </c>
      <c r="AE246" s="6">
        <v>0</v>
      </c>
      <c r="AF246" s="6">
        <f t="shared" si="247"/>
        <v>0</v>
      </c>
      <c r="AG246" s="6">
        <f t="shared" si="248"/>
        <v>0</v>
      </c>
      <c r="AH246" s="6">
        <v>0</v>
      </c>
      <c r="AI246" s="6">
        <f t="shared" si="249"/>
        <v>0</v>
      </c>
      <c r="AJ246" s="6">
        <f t="shared" si="250"/>
        <v>0</v>
      </c>
      <c r="AK246" s="6">
        <v>0</v>
      </c>
      <c r="AL246" s="6">
        <f t="shared" si="251"/>
        <v>0</v>
      </c>
      <c r="AM246" s="6">
        <f t="shared" si="252"/>
        <v>0</v>
      </c>
      <c r="AN246" s="6">
        <v>0</v>
      </c>
      <c r="AO246" s="6">
        <f t="shared" si="253"/>
        <v>0</v>
      </c>
      <c r="AP246" s="6">
        <f t="shared" si="254"/>
        <v>0</v>
      </c>
      <c r="AQ246" s="6">
        <v>0</v>
      </c>
      <c r="AR246" s="6">
        <f t="shared" si="255"/>
        <v>0</v>
      </c>
      <c r="AS246" s="6">
        <f t="shared" si="256"/>
        <v>0</v>
      </c>
      <c r="AT246" s="6">
        <v>0</v>
      </c>
      <c r="AU246" s="6">
        <f t="shared" si="257"/>
        <v>0</v>
      </c>
      <c r="AV246" s="6">
        <f t="shared" si="258"/>
        <v>0</v>
      </c>
      <c r="AW246" s="6">
        <v>0</v>
      </c>
      <c r="AX246" s="6">
        <f t="shared" si="259"/>
        <v>0</v>
      </c>
      <c r="AY246" s="6">
        <f t="shared" si="260"/>
        <v>0</v>
      </c>
      <c r="AZ246" s="6">
        <v>0</v>
      </c>
      <c r="BA246" s="6">
        <f t="shared" si="261"/>
        <v>0</v>
      </c>
      <c r="BB246" s="6">
        <f t="shared" si="262"/>
        <v>0</v>
      </c>
      <c r="BC246" s="6">
        <v>0</v>
      </c>
      <c r="BD246" s="6">
        <f t="shared" si="263"/>
        <v>0</v>
      </c>
      <c r="BE246" s="6">
        <f t="shared" si="264"/>
        <v>0</v>
      </c>
      <c r="BF246" s="6">
        <v>0</v>
      </c>
      <c r="BG246" s="6">
        <f t="shared" si="265"/>
        <v>0</v>
      </c>
      <c r="BH246" s="6">
        <f t="shared" si="266"/>
        <v>0</v>
      </c>
      <c r="BI246" s="6">
        <v>0</v>
      </c>
      <c r="BJ246" s="6">
        <f t="shared" si="267"/>
        <v>0</v>
      </c>
      <c r="BK246" s="6">
        <f t="shared" si="268"/>
        <v>0</v>
      </c>
      <c r="BL246" s="6">
        <v>0</v>
      </c>
      <c r="BM246" s="6">
        <f t="shared" si="269"/>
        <v>0</v>
      </c>
      <c r="BN246" s="6">
        <f t="shared" si="270"/>
        <v>0</v>
      </c>
      <c r="BO246" s="6">
        <v>0</v>
      </c>
      <c r="BP246" s="6">
        <f t="shared" si="271"/>
        <v>0</v>
      </c>
      <c r="BQ246" s="6">
        <f t="shared" si="272"/>
        <v>0</v>
      </c>
      <c r="BR246" s="6">
        <v>0</v>
      </c>
      <c r="BS246" s="6">
        <f t="shared" si="273"/>
        <v>0</v>
      </c>
      <c r="BT246" s="6">
        <f t="shared" si="274"/>
        <v>0</v>
      </c>
      <c r="BU246" s="6">
        <v>0</v>
      </c>
      <c r="BV246" s="6">
        <f t="shared" si="275"/>
        <v>0</v>
      </c>
      <c r="BW246" s="6">
        <f t="shared" si="276"/>
        <v>0</v>
      </c>
      <c r="BX246" s="6">
        <v>0</v>
      </c>
      <c r="BY246" s="6">
        <f t="shared" si="277"/>
        <v>0</v>
      </c>
      <c r="BZ246" s="6">
        <f t="shared" si="278"/>
        <v>0</v>
      </c>
      <c r="CA246" s="6">
        <v>0</v>
      </c>
      <c r="CB246" s="6">
        <f t="shared" si="279"/>
        <v>0</v>
      </c>
      <c r="CC246" s="6">
        <f t="shared" si="280"/>
        <v>0</v>
      </c>
      <c r="CD246" s="6">
        <v>0</v>
      </c>
      <c r="CE246" s="6">
        <f t="shared" si="281"/>
        <v>0</v>
      </c>
      <c r="CF246" s="6">
        <f t="shared" si="282"/>
        <v>0</v>
      </c>
      <c r="CG246" s="6">
        <v>0</v>
      </c>
      <c r="CH246" s="6">
        <f t="shared" si="283"/>
        <v>0</v>
      </c>
      <c r="CI246" s="6">
        <f t="shared" si="284"/>
        <v>0</v>
      </c>
      <c r="CJ246" s="6">
        <v>0</v>
      </c>
      <c r="CK246" s="6">
        <f t="shared" si="285"/>
        <v>0</v>
      </c>
      <c r="CL246" s="6">
        <f t="shared" si="286"/>
        <v>0</v>
      </c>
      <c r="CM246" s="6">
        <v>0</v>
      </c>
      <c r="CN246" s="6">
        <f t="shared" si="287"/>
        <v>0</v>
      </c>
      <c r="CO246" s="6">
        <f t="shared" si="288"/>
        <v>0</v>
      </c>
      <c r="CP246" s="6">
        <v>0</v>
      </c>
      <c r="CQ246" s="6">
        <f t="shared" si="289"/>
        <v>0</v>
      </c>
      <c r="CR246" s="6">
        <f t="shared" si="290"/>
        <v>0</v>
      </c>
      <c r="CS246" s="6">
        <v>0</v>
      </c>
      <c r="CT246" s="6">
        <f t="shared" si="291"/>
        <v>0</v>
      </c>
      <c r="CU246" s="6">
        <f t="shared" si="292"/>
        <v>0</v>
      </c>
      <c r="CV246" s="6">
        <v>0</v>
      </c>
      <c r="CW246" s="6">
        <f t="shared" si="293"/>
        <v>0</v>
      </c>
      <c r="CX246" s="6">
        <f t="shared" si="294"/>
        <v>0</v>
      </c>
      <c r="CY246" s="6">
        <v>0</v>
      </c>
      <c r="CZ246" s="6">
        <f t="shared" si="295"/>
        <v>0</v>
      </c>
      <c r="DA246" s="6">
        <f t="shared" si="296"/>
        <v>0</v>
      </c>
      <c r="DB246" s="6">
        <v>0</v>
      </c>
      <c r="DC246" s="6">
        <f t="shared" si="297"/>
        <v>0</v>
      </c>
      <c r="DD246" s="6">
        <f t="shared" si="298"/>
        <v>0</v>
      </c>
      <c r="DE246" s="6">
        <v>0</v>
      </c>
      <c r="DF246" s="6">
        <f t="shared" si="299"/>
        <v>0</v>
      </c>
      <c r="DG246" s="6">
        <f t="shared" si="300"/>
        <v>0</v>
      </c>
      <c r="DH246" s="6">
        <v>0</v>
      </c>
      <c r="DI246" s="6">
        <f t="shared" si="301"/>
        <v>0</v>
      </c>
      <c r="DJ246" s="6">
        <f t="shared" si="302"/>
        <v>0</v>
      </c>
      <c r="DK246" s="6">
        <v>0</v>
      </c>
      <c r="DL246" s="6">
        <f t="shared" si="303"/>
        <v>0</v>
      </c>
      <c r="DM246" s="6">
        <f t="shared" si="304"/>
        <v>0</v>
      </c>
      <c r="DN246" s="6">
        <v>0</v>
      </c>
      <c r="DO246" s="6">
        <f t="shared" si="305"/>
        <v>0</v>
      </c>
      <c r="DP246" s="6">
        <f t="shared" si="306"/>
        <v>0</v>
      </c>
    </row>
    <row r="247" spans="1:120" x14ac:dyDescent="0.2">
      <c r="A247" s="21">
        <v>73</v>
      </c>
      <c r="B247" s="21" t="s">
        <v>582</v>
      </c>
      <c r="C247" s="21">
        <v>73585</v>
      </c>
      <c r="D247" s="21" t="s">
        <v>709</v>
      </c>
      <c r="E247" s="21" t="s">
        <v>575</v>
      </c>
      <c r="F247" s="22" t="s">
        <v>666</v>
      </c>
      <c r="G247" s="4" t="s">
        <v>359</v>
      </c>
      <c r="H247" s="6">
        <v>29137.57</v>
      </c>
      <c r="I247" s="6">
        <f t="shared" si="310"/>
        <v>79.828958904109584</v>
      </c>
      <c r="J247" s="6">
        <v>29869</v>
      </c>
      <c r="K247" s="6">
        <v>5417.91</v>
      </c>
      <c r="L247" s="6">
        <f t="shared" si="311"/>
        <v>14.803032786885245</v>
      </c>
      <c r="M247" s="6">
        <v>29855</v>
      </c>
      <c r="N247" s="6"/>
      <c r="O247" s="6"/>
      <c r="P247" s="6">
        <v>24731</v>
      </c>
      <c r="Q247" s="6"/>
      <c r="R247" s="6"/>
      <c r="S247" s="6">
        <v>20918</v>
      </c>
      <c r="T247" s="6">
        <f t="shared" si="239"/>
        <v>20918</v>
      </c>
      <c r="U247" s="6">
        <f t="shared" si="240"/>
        <v>57.30958904109589</v>
      </c>
      <c r="V247" s="6">
        <v>18022</v>
      </c>
      <c r="W247" s="6">
        <f t="shared" si="241"/>
        <v>18022</v>
      </c>
      <c r="X247" s="6">
        <f t="shared" si="242"/>
        <v>49.375342465753427</v>
      </c>
      <c r="Y247" s="6">
        <v>15647</v>
      </c>
      <c r="Z247" s="6">
        <f t="shared" si="243"/>
        <v>15647</v>
      </c>
      <c r="AA247" s="6">
        <f t="shared" si="244"/>
        <v>42.868493150684934</v>
      </c>
      <c r="AB247" s="6">
        <v>13762</v>
      </c>
      <c r="AC247" s="6">
        <f t="shared" si="245"/>
        <v>13762</v>
      </c>
      <c r="AD247" s="6">
        <f t="shared" si="246"/>
        <v>37.704109589041096</v>
      </c>
      <c r="AE247" s="6">
        <v>12208</v>
      </c>
      <c r="AF247" s="6">
        <f t="shared" si="247"/>
        <v>12208</v>
      </c>
      <c r="AG247" s="6">
        <f t="shared" si="248"/>
        <v>33.446575342465756</v>
      </c>
      <c r="AH247" s="6">
        <v>10938</v>
      </c>
      <c r="AI247" s="6">
        <f t="shared" si="249"/>
        <v>10938</v>
      </c>
      <c r="AJ247" s="6">
        <f t="shared" si="250"/>
        <v>29.967123287671232</v>
      </c>
      <c r="AK247" s="6">
        <v>0</v>
      </c>
      <c r="AL247" s="6">
        <f t="shared" si="251"/>
        <v>0</v>
      </c>
      <c r="AM247" s="6">
        <f t="shared" si="252"/>
        <v>0</v>
      </c>
      <c r="AN247" s="6">
        <v>0</v>
      </c>
      <c r="AO247" s="6">
        <f t="shared" si="253"/>
        <v>0</v>
      </c>
      <c r="AP247" s="6">
        <f t="shared" si="254"/>
        <v>0</v>
      </c>
      <c r="AQ247" s="6">
        <v>0</v>
      </c>
      <c r="AR247" s="6">
        <f t="shared" si="255"/>
        <v>0</v>
      </c>
      <c r="AS247" s="6">
        <f t="shared" si="256"/>
        <v>0</v>
      </c>
      <c r="AT247" s="6">
        <v>0</v>
      </c>
      <c r="AU247" s="6">
        <f t="shared" si="257"/>
        <v>0</v>
      </c>
      <c r="AV247" s="6">
        <f t="shared" si="258"/>
        <v>0</v>
      </c>
      <c r="AW247" s="6">
        <v>0</v>
      </c>
      <c r="AX247" s="6">
        <f t="shared" si="259"/>
        <v>0</v>
      </c>
      <c r="AY247" s="6">
        <f t="shared" si="260"/>
        <v>0</v>
      </c>
      <c r="AZ247" s="6">
        <v>0</v>
      </c>
      <c r="BA247" s="6">
        <f t="shared" si="261"/>
        <v>0</v>
      </c>
      <c r="BB247" s="6">
        <f t="shared" si="262"/>
        <v>0</v>
      </c>
      <c r="BC247" s="6">
        <v>0</v>
      </c>
      <c r="BD247" s="6">
        <f t="shared" si="263"/>
        <v>0</v>
      </c>
      <c r="BE247" s="6">
        <f t="shared" si="264"/>
        <v>0</v>
      </c>
      <c r="BF247" s="6">
        <v>0</v>
      </c>
      <c r="BG247" s="6">
        <f t="shared" si="265"/>
        <v>0</v>
      </c>
      <c r="BH247" s="6">
        <f t="shared" si="266"/>
        <v>0</v>
      </c>
      <c r="BI247" s="6">
        <v>0</v>
      </c>
      <c r="BJ247" s="6">
        <f t="shared" si="267"/>
        <v>0</v>
      </c>
      <c r="BK247" s="6">
        <f t="shared" si="268"/>
        <v>0</v>
      </c>
      <c r="BL247" s="6">
        <v>0</v>
      </c>
      <c r="BM247" s="6">
        <f t="shared" si="269"/>
        <v>0</v>
      </c>
      <c r="BN247" s="6">
        <f t="shared" si="270"/>
        <v>0</v>
      </c>
      <c r="BO247" s="6">
        <v>0</v>
      </c>
      <c r="BP247" s="6">
        <f t="shared" si="271"/>
        <v>0</v>
      </c>
      <c r="BQ247" s="6">
        <f t="shared" si="272"/>
        <v>0</v>
      </c>
      <c r="BR247" s="6">
        <v>0</v>
      </c>
      <c r="BS247" s="6">
        <f t="shared" si="273"/>
        <v>0</v>
      </c>
      <c r="BT247" s="6">
        <f t="shared" si="274"/>
        <v>0</v>
      </c>
      <c r="BU247" s="6">
        <v>0</v>
      </c>
      <c r="BV247" s="6">
        <f t="shared" si="275"/>
        <v>0</v>
      </c>
      <c r="BW247" s="6">
        <f t="shared" si="276"/>
        <v>0</v>
      </c>
      <c r="BX247" s="6">
        <v>0</v>
      </c>
      <c r="BY247" s="6">
        <f t="shared" si="277"/>
        <v>0</v>
      </c>
      <c r="BZ247" s="6">
        <f t="shared" si="278"/>
        <v>0</v>
      </c>
      <c r="CA247" s="6">
        <v>0</v>
      </c>
      <c r="CB247" s="6">
        <f t="shared" si="279"/>
        <v>0</v>
      </c>
      <c r="CC247" s="6">
        <f t="shared" si="280"/>
        <v>0</v>
      </c>
      <c r="CD247" s="6">
        <v>0</v>
      </c>
      <c r="CE247" s="6">
        <f t="shared" si="281"/>
        <v>0</v>
      </c>
      <c r="CF247" s="6">
        <f t="shared" si="282"/>
        <v>0</v>
      </c>
      <c r="CG247" s="6">
        <v>0</v>
      </c>
      <c r="CH247" s="6">
        <f t="shared" si="283"/>
        <v>0</v>
      </c>
      <c r="CI247" s="6">
        <f t="shared" si="284"/>
        <v>0</v>
      </c>
      <c r="CJ247" s="6">
        <v>0</v>
      </c>
      <c r="CK247" s="6">
        <f t="shared" si="285"/>
        <v>0</v>
      </c>
      <c r="CL247" s="6">
        <f t="shared" si="286"/>
        <v>0</v>
      </c>
      <c r="CM247" s="6">
        <v>0</v>
      </c>
      <c r="CN247" s="6">
        <f t="shared" si="287"/>
        <v>0</v>
      </c>
      <c r="CO247" s="6">
        <f t="shared" si="288"/>
        <v>0</v>
      </c>
      <c r="CP247" s="6">
        <v>0</v>
      </c>
      <c r="CQ247" s="6">
        <f t="shared" si="289"/>
        <v>0</v>
      </c>
      <c r="CR247" s="6">
        <f t="shared" si="290"/>
        <v>0</v>
      </c>
      <c r="CS247" s="6">
        <v>0</v>
      </c>
      <c r="CT247" s="6">
        <f t="shared" si="291"/>
        <v>0</v>
      </c>
      <c r="CU247" s="6">
        <f t="shared" si="292"/>
        <v>0</v>
      </c>
      <c r="CV247" s="6">
        <v>0</v>
      </c>
      <c r="CW247" s="6">
        <f t="shared" si="293"/>
        <v>0</v>
      </c>
      <c r="CX247" s="6">
        <f t="shared" si="294"/>
        <v>0</v>
      </c>
      <c r="CY247" s="6">
        <v>0</v>
      </c>
      <c r="CZ247" s="6">
        <f t="shared" si="295"/>
        <v>0</v>
      </c>
      <c r="DA247" s="6">
        <f t="shared" si="296"/>
        <v>0</v>
      </c>
      <c r="DB247" s="6">
        <v>0</v>
      </c>
      <c r="DC247" s="6">
        <f t="shared" si="297"/>
        <v>0</v>
      </c>
      <c r="DD247" s="6">
        <f t="shared" si="298"/>
        <v>0</v>
      </c>
      <c r="DE247" s="6">
        <v>0</v>
      </c>
      <c r="DF247" s="6">
        <f t="shared" si="299"/>
        <v>0</v>
      </c>
      <c r="DG247" s="6">
        <f t="shared" si="300"/>
        <v>0</v>
      </c>
      <c r="DH247" s="6">
        <v>0</v>
      </c>
      <c r="DI247" s="6">
        <f t="shared" si="301"/>
        <v>0</v>
      </c>
      <c r="DJ247" s="6">
        <f t="shared" si="302"/>
        <v>0</v>
      </c>
      <c r="DK247" s="6">
        <v>0</v>
      </c>
      <c r="DL247" s="6">
        <f t="shared" si="303"/>
        <v>0</v>
      </c>
      <c r="DM247" s="6">
        <f t="shared" si="304"/>
        <v>0</v>
      </c>
      <c r="DN247" s="6">
        <v>0</v>
      </c>
      <c r="DO247" s="6">
        <f t="shared" si="305"/>
        <v>0</v>
      </c>
      <c r="DP247" s="6">
        <f t="shared" si="306"/>
        <v>0</v>
      </c>
    </row>
    <row r="248" spans="1:120" x14ac:dyDescent="0.2">
      <c r="A248" s="21">
        <v>20</v>
      </c>
      <c r="B248" s="21" t="s">
        <v>667</v>
      </c>
      <c r="C248" s="21">
        <v>20614</v>
      </c>
      <c r="D248" s="21" t="s">
        <v>711</v>
      </c>
      <c r="E248" s="21" t="s">
        <v>743</v>
      </c>
      <c r="F248" s="22" t="s">
        <v>662</v>
      </c>
      <c r="G248" s="4" t="s">
        <v>360</v>
      </c>
      <c r="H248" s="6">
        <v>7433.94</v>
      </c>
      <c r="I248" s="6">
        <f t="shared" ref="I248:I279" si="314">H248/365</f>
        <v>20.366958904109588</v>
      </c>
      <c r="J248" s="6">
        <v>0</v>
      </c>
      <c r="K248" s="6"/>
      <c r="L248" s="6"/>
      <c r="M248" s="6">
        <v>0</v>
      </c>
      <c r="N248" s="6"/>
      <c r="O248" s="6"/>
      <c r="P248" s="6">
        <v>24433.1764</v>
      </c>
      <c r="Q248" s="6"/>
      <c r="R248" s="6"/>
      <c r="S248" s="6">
        <v>22086.5609</v>
      </c>
      <c r="T248" s="6">
        <f t="shared" si="239"/>
        <v>22086.5609</v>
      </c>
      <c r="U248" s="6">
        <f t="shared" si="240"/>
        <v>60.511125753424658</v>
      </c>
      <c r="V248" s="6">
        <v>18160.1152</v>
      </c>
      <c r="W248" s="6">
        <f t="shared" si="241"/>
        <v>18160.1152</v>
      </c>
      <c r="X248" s="6">
        <f t="shared" si="242"/>
        <v>49.753740273972603</v>
      </c>
      <c r="Y248" s="6">
        <v>14853.1345</v>
      </c>
      <c r="Z248" s="6">
        <f t="shared" si="243"/>
        <v>14853.1345</v>
      </c>
      <c r="AA248" s="6">
        <f t="shared" si="244"/>
        <v>40.693519178082191</v>
      </c>
      <c r="AB248" s="6">
        <v>12187.6855</v>
      </c>
      <c r="AC248" s="6">
        <f t="shared" si="245"/>
        <v>12187.6855</v>
      </c>
      <c r="AD248" s="6">
        <f t="shared" si="246"/>
        <v>33.390919178082193</v>
      </c>
      <c r="AE248" s="6">
        <v>10002.729600000001</v>
      </c>
      <c r="AF248" s="6">
        <f t="shared" si="247"/>
        <v>10002.729600000001</v>
      </c>
      <c r="AG248" s="6">
        <f t="shared" si="248"/>
        <v>27.404738630136986</v>
      </c>
      <c r="AH248" s="6">
        <v>5470.6632</v>
      </c>
      <c r="AI248" s="6">
        <f t="shared" si="249"/>
        <v>5470.6632</v>
      </c>
      <c r="AJ248" s="6">
        <f t="shared" si="250"/>
        <v>14.988118356164383</v>
      </c>
      <c r="AK248" s="6">
        <v>2956.2856000000002</v>
      </c>
      <c r="AL248" s="6">
        <f t="shared" si="251"/>
        <v>2956.2856000000002</v>
      </c>
      <c r="AM248" s="6">
        <f t="shared" si="252"/>
        <v>8.0994126027397257</v>
      </c>
      <c r="AN248" s="6">
        <v>0</v>
      </c>
      <c r="AO248" s="6">
        <f t="shared" si="253"/>
        <v>0</v>
      </c>
      <c r="AP248" s="6">
        <f t="shared" si="254"/>
        <v>0</v>
      </c>
      <c r="AQ248" s="6">
        <v>0</v>
      </c>
      <c r="AR248" s="6">
        <f t="shared" si="255"/>
        <v>0</v>
      </c>
      <c r="AS248" s="6">
        <f t="shared" si="256"/>
        <v>0</v>
      </c>
      <c r="AT248" s="6">
        <v>0</v>
      </c>
      <c r="AU248" s="6">
        <f t="shared" si="257"/>
        <v>0</v>
      </c>
      <c r="AV248" s="6">
        <f t="shared" si="258"/>
        <v>0</v>
      </c>
      <c r="AW248" s="6">
        <v>0</v>
      </c>
      <c r="AX248" s="6">
        <f t="shared" si="259"/>
        <v>0</v>
      </c>
      <c r="AY248" s="6">
        <f t="shared" si="260"/>
        <v>0</v>
      </c>
      <c r="AZ248" s="6">
        <v>0</v>
      </c>
      <c r="BA248" s="6">
        <f t="shared" si="261"/>
        <v>0</v>
      </c>
      <c r="BB248" s="6">
        <f t="shared" si="262"/>
        <v>0</v>
      </c>
      <c r="BC248" s="6">
        <v>0</v>
      </c>
      <c r="BD248" s="6">
        <f t="shared" si="263"/>
        <v>0</v>
      </c>
      <c r="BE248" s="6">
        <f t="shared" si="264"/>
        <v>0</v>
      </c>
      <c r="BF248" s="6">
        <v>0</v>
      </c>
      <c r="BG248" s="6">
        <f t="shared" si="265"/>
        <v>0</v>
      </c>
      <c r="BH248" s="6">
        <f t="shared" si="266"/>
        <v>0</v>
      </c>
      <c r="BI248" s="6">
        <v>0</v>
      </c>
      <c r="BJ248" s="6">
        <f t="shared" si="267"/>
        <v>0</v>
      </c>
      <c r="BK248" s="6">
        <f t="shared" si="268"/>
        <v>0</v>
      </c>
      <c r="BL248" s="6">
        <v>0</v>
      </c>
      <c r="BM248" s="6">
        <f t="shared" si="269"/>
        <v>0</v>
      </c>
      <c r="BN248" s="6">
        <f t="shared" si="270"/>
        <v>0</v>
      </c>
      <c r="BO248" s="6">
        <v>0</v>
      </c>
      <c r="BP248" s="6">
        <f t="shared" si="271"/>
        <v>0</v>
      </c>
      <c r="BQ248" s="6">
        <f t="shared" si="272"/>
        <v>0</v>
      </c>
      <c r="BR248" s="6">
        <v>0</v>
      </c>
      <c r="BS248" s="6">
        <f t="shared" si="273"/>
        <v>0</v>
      </c>
      <c r="BT248" s="6">
        <f t="shared" si="274"/>
        <v>0</v>
      </c>
      <c r="BU248" s="6">
        <v>0</v>
      </c>
      <c r="BV248" s="6">
        <f t="shared" si="275"/>
        <v>0</v>
      </c>
      <c r="BW248" s="6">
        <f t="shared" si="276"/>
        <v>0</v>
      </c>
      <c r="BX248" s="6">
        <v>0</v>
      </c>
      <c r="BY248" s="6">
        <f t="shared" si="277"/>
        <v>0</v>
      </c>
      <c r="BZ248" s="6">
        <f t="shared" si="278"/>
        <v>0</v>
      </c>
      <c r="CA248" s="6">
        <v>0</v>
      </c>
      <c r="CB248" s="6">
        <f t="shared" si="279"/>
        <v>0</v>
      </c>
      <c r="CC248" s="6">
        <f t="shared" si="280"/>
        <v>0</v>
      </c>
      <c r="CD248" s="6">
        <v>0</v>
      </c>
      <c r="CE248" s="6">
        <f t="shared" si="281"/>
        <v>0</v>
      </c>
      <c r="CF248" s="6">
        <f t="shared" si="282"/>
        <v>0</v>
      </c>
      <c r="CG248" s="6">
        <v>0</v>
      </c>
      <c r="CH248" s="6">
        <f t="shared" si="283"/>
        <v>0</v>
      </c>
      <c r="CI248" s="6">
        <f t="shared" si="284"/>
        <v>0</v>
      </c>
      <c r="CJ248" s="6">
        <v>0</v>
      </c>
      <c r="CK248" s="6">
        <f t="shared" si="285"/>
        <v>0</v>
      </c>
      <c r="CL248" s="6">
        <f t="shared" si="286"/>
        <v>0</v>
      </c>
      <c r="CM248" s="6">
        <v>0</v>
      </c>
      <c r="CN248" s="6">
        <f t="shared" si="287"/>
        <v>0</v>
      </c>
      <c r="CO248" s="6">
        <f t="shared" si="288"/>
        <v>0</v>
      </c>
      <c r="CP248" s="6">
        <v>0</v>
      </c>
      <c r="CQ248" s="6">
        <f t="shared" si="289"/>
        <v>0</v>
      </c>
      <c r="CR248" s="6">
        <f t="shared" si="290"/>
        <v>0</v>
      </c>
      <c r="CS248" s="6">
        <v>0</v>
      </c>
      <c r="CT248" s="6">
        <f t="shared" si="291"/>
        <v>0</v>
      </c>
      <c r="CU248" s="6">
        <f t="shared" si="292"/>
        <v>0</v>
      </c>
      <c r="CV248" s="6">
        <v>0</v>
      </c>
      <c r="CW248" s="6">
        <f t="shared" si="293"/>
        <v>0</v>
      </c>
      <c r="CX248" s="6">
        <f t="shared" si="294"/>
        <v>0</v>
      </c>
      <c r="CY248" s="6">
        <v>0</v>
      </c>
      <c r="CZ248" s="6">
        <f t="shared" si="295"/>
        <v>0</v>
      </c>
      <c r="DA248" s="6">
        <f t="shared" si="296"/>
        <v>0</v>
      </c>
      <c r="DB248" s="6">
        <v>0</v>
      </c>
      <c r="DC248" s="6">
        <f t="shared" si="297"/>
        <v>0</v>
      </c>
      <c r="DD248" s="6">
        <f t="shared" si="298"/>
        <v>0</v>
      </c>
      <c r="DE248" s="6">
        <v>0</v>
      </c>
      <c r="DF248" s="6">
        <f t="shared" si="299"/>
        <v>0</v>
      </c>
      <c r="DG248" s="6">
        <f t="shared" si="300"/>
        <v>0</v>
      </c>
      <c r="DH248" s="6">
        <v>0</v>
      </c>
      <c r="DI248" s="6">
        <f t="shared" si="301"/>
        <v>0</v>
      </c>
      <c r="DJ248" s="6">
        <f t="shared" si="302"/>
        <v>0</v>
      </c>
      <c r="DK248" s="6">
        <v>0</v>
      </c>
      <c r="DL248" s="6">
        <f t="shared" si="303"/>
        <v>0</v>
      </c>
      <c r="DM248" s="6">
        <f t="shared" si="304"/>
        <v>0</v>
      </c>
      <c r="DN248" s="6">
        <v>0</v>
      </c>
      <c r="DO248" s="6">
        <f t="shared" si="305"/>
        <v>0</v>
      </c>
      <c r="DP248" s="6">
        <f t="shared" si="306"/>
        <v>0</v>
      </c>
    </row>
    <row r="249" spans="1:120" x14ac:dyDescent="0.2">
      <c r="A249" s="21">
        <v>50</v>
      </c>
      <c r="B249" s="21" t="s">
        <v>675</v>
      </c>
      <c r="C249" s="21">
        <v>50568</v>
      </c>
      <c r="D249" s="21" t="s">
        <v>700</v>
      </c>
      <c r="E249" s="21" t="s">
        <v>542</v>
      </c>
      <c r="F249" s="22" t="s">
        <v>662</v>
      </c>
      <c r="G249" s="4" t="s">
        <v>361</v>
      </c>
      <c r="H249" s="6">
        <v>9284903.7200000007</v>
      </c>
      <c r="I249" s="6">
        <f t="shared" si="314"/>
        <v>25438.092383561645</v>
      </c>
      <c r="J249" s="6">
        <v>8812269</v>
      </c>
      <c r="K249" s="6">
        <v>9023357.4800000004</v>
      </c>
      <c r="L249" s="6">
        <f t="shared" ref="L249:L279" si="315">K249/366</f>
        <v>24653.982185792353</v>
      </c>
      <c r="M249" s="6">
        <v>7993453</v>
      </c>
      <c r="N249" s="6">
        <v>9193265.2699999996</v>
      </c>
      <c r="O249" s="6">
        <f t="shared" ref="O249:O262" si="316">N249/365</f>
        <v>25187.028136986301</v>
      </c>
      <c r="P249" s="6">
        <v>7860089</v>
      </c>
      <c r="Q249" s="6">
        <v>4334689.12</v>
      </c>
      <c r="R249" s="6">
        <f t="shared" ref="R249:R262" si="317">Q249/181</f>
        <v>23948.558674033149</v>
      </c>
      <c r="S249" s="6">
        <v>7532344</v>
      </c>
      <c r="T249" s="6">
        <f t="shared" si="239"/>
        <v>7532344</v>
      </c>
      <c r="U249" s="6">
        <f t="shared" si="240"/>
        <v>20636.558904109588</v>
      </c>
      <c r="V249" s="6">
        <v>5492764</v>
      </c>
      <c r="W249" s="6">
        <f t="shared" si="241"/>
        <v>5492764</v>
      </c>
      <c r="X249" s="6">
        <f t="shared" si="242"/>
        <v>15048.668493150684</v>
      </c>
      <c r="Y249" s="6">
        <v>3699205</v>
      </c>
      <c r="Z249" s="6">
        <f t="shared" si="243"/>
        <v>3699205</v>
      </c>
      <c r="AA249" s="6">
        <f t="shared" si="244"/>
        <v>10134.808219178081</v>
      </c>
      <c r="AB249" s="6">
        <v>3011977</v>
      </c>
      <c r="AC249" s="6">
        <f t="shared" si="245"/>
        <v>3011977</v>
      </c>
      <c r="AD249" s="6">
        <f t="shared" si="246"/>
        <v>8251.9917808219179</v>
      </c>
      <c r="AE249" s="6">
        <v>2211040</v>
      </c>
      <c r="AF249" s="6">
        <f t="shared" si="247"/>
        <v>2211040</v>
      </c>
      <c r="AG249" s="6">
        <f t="shared" si="248"/>
        <v>6057.6438356164381</v>
      </c>
      <c r="AH249" s="6">
        <v>2347841</v>
      </c>
      <c r="AI249" s="6">
        <f t="shared" si="249"/>
        <v>2347841</v>
      </c>
      <c r="AJ249" s="6">
        <f t="shared" si="250"/>
        <v>6432.4410958904109</v>
      </c>
      <c r="AK249" s="6">
        <v>0</v>
      </c>
      <c r="AL249" s="6">
        <f t="shared" si="251"/>
        <v>0</v>
      </c>
      <c r="AM249" s="6">
        <f t="shared" si="252"/>
        <v>0</v>
      </c>
      <c r="AN249" s="6">
        <v>0</v>
      </c>
      <c r="AO249" s="6">
        <f t="shared" si="253"/>
        <v>0</v>
      </c>
      <c r="AP249" s="6">
        <f t="shared" si="254"/>
        <v>0</v>
      </c>
      <c r="AQ249" s="6">
        <v>0</v>
      </c>
      <c r="AR249" s="6">
        <f t="shared" si="255"/>
        <v>0</v>
      </c>
      <c r="AS249" s="6">
        <f t="shared" si="256"/>
        <v>0</v>
      </c>
      <c r="AT249" s="6">
        <v>0</v>
      </c>
      <c r="AU249" s="6">
        <f t="shared" si="257"/>
        <v>0</v>
      </c>
      <c r="AV249" s="6">
        <f t="shared" si="258"/>
        <v>0</v>
      </c>
      <c r="AW249" s="6">
        <v>0</v>
      </c>
      <c r="AX249" s="6">
        <f t="shared" si="259"/>
        <v>0</v>
      </c>
      <c r="AY249" s="6">
        <f t="shared" si="260"/>
        <v>0</v>
      </c>
      <c r="AZ249" s="6">
        <v>0</v>
      </c>
      <c r="BA249" s="6">
        <f t="shared" si="261"/>
        <v>0</v>
      </c>
      <c r="BB249" s="6">
        <f t="shared" si="262"/>
        <v>0</v>
      </c>
      <c r="BC249" s="6">
        <v>0</v>
      </c>
      <c r="BD249" s="6">
        <f t="shared" si="263"/>
        <v>0</v>
      </c>
      <c r="BE249" s="6">
        <f t="shared" si="264"/>
        <v>0</v>
      </c>
      <c r="BF249" s="6">
        <v>0</v>
      </c>
      <c r="BG249" s="6">
        <f t="shared" si="265"/>
        <v>0</v>
      </c>
      <c r="BH249" s="6">
        <f t="shared" si="266"/>
        <v>0</v>
      </c>
      <c r="BI249" s="6">
        <v>0</v>
      </c>
      <c r="BJ249" s="6">
        <f t="shared" si="267"/>
        <v>0</v>
      </c>
      <c r="BK249" s="6">
        <f t="shared" si="268"/>
        <v>0</v>
      </c>
      <c r="BL249" s="6">
        <v>0</v>
      </c>
      <c r="BM249" s="6">
        <f t="shared" si="269"/>
        <v>0</v>
      </c>
      <c r="BN249" s="6">
        <f t="shared" si="270"/>
        <v>0</v>
      </c>
      <c r="BO249" s="6">
        <v>0</v>
      </c>
      <c r="BP249" s="6">
        <f t="shared" si="271"/>
        <v>0</v>
      </c>
      <c r="BQ249" s="6">
        <f t="shared" si="272"/>
        <v>0</v>
      </c>
      <c r="BR249" s="6">
        <v>0</v>
      </c>
      <c r="BS249" s="6">
        <f t="shared" si="273"/>
        <v>0</v>
      </c>
      <c r="BT249" s="6">
        <f t="shared" si="274"/>
        <v>0</v>
      </c>
      <c r="BU249" s="6">
        <v>0</v>
      </c>
      <c r="BV249" s="6">
        <f t="shared" si="275"/>
        <v>0</v>
      </c>
      <c r="BW249" s="6">
        <f t="shared" si="276"/>
        <v>0</v>
      </c>
      <c r="BX249" s="6">
        <v>0</v>
      </c>
      <c r="BY249" s="6">
        <f t="shared" si="277"/>
        <v>0</v>
      </c>
      <c r="BZ249" s="6">
        <f t="shared" si="278"/>
        <v>0</v>
      </c>
      <c r="CA249" s="6">
        <v>0</v>
      </c>
      <c r="CB249" s="6">
        <f t="shared" si="279"/>
        <v>0</v>
      </c>
      <c r="CC249" s="6">
        <f t="shared" si="280"/>
        <v>0</v>
      </c>
      <c r="CD249" s="6">
        <v>0</v>
      </c>
      <c r="CE249" s="6">
        <f t="shared" si="281"/>
        <v>0</v>
      </c>
      <c r="CF249" s="6">
        <f t="shared" si="282"/>
        <v>0</v>
      </c>
      <c r="CG249" s="6">
        <v>0</v>
      </c>
      <c r="CH249" s="6">
        <f t="shared" si="283"/>
        <v>0</v>
      </c>
      <c r="CI249" s="6">
        <f t="shared" si="284"/>
        <v>0</v>
      </c>
      <c r="CJ249" s="6">
        <v>0</v>
      </c>
      <c r="CK249" s="6">
        <f t="shared" si="285"/>
        <v>0</v>
      </c>
      <c r="CL249" s="6">
        <f t="shared" si="286"/>
        <v>0</v>
      </c>
      <c r="CM249" s="6">
        <v>0</v>
      </c>
      <c r="CN249" s="6">
        <f t="shared" si="287"/>
        <v>0</v>
      </c>
      <c r="CO249" s="6">
        <f t="shared" si="288"/>
        <v>0</v>
      </c>
      <c r="CP249" s="6">
        <v>0</v>
      </c>
      <c r="CQ249" s="6">
        <f t="shared" si="289"/>
        <v>0</v>
      </c>
      <c r="CR249" s="6">
        <f t="shared" si="290"/>
        <v>0</v>
      </c>
      <c r="CS249" s="6">
        <v>0</v>
      </c>
      <c r="CT249" s="6">
        <f t="shared" si="291"/>
        <v>0</v>
      </c>
      <c r="CU249" s="6">
        <f t="shared" si="292"/>
        <v>0</v>
      </c>
      <c r="CV249" s="6">
        <v>0</v>
      </c>
      <c r="CW249" s="6">
        <f t="shared" si="293"/>
        <v>0</v>
      </c>
      <c r="CX249" s="6">
        <f t="shared" si="294"/>
        <v>0</v>
      </c>
      <c r="CY249" s="6">
        <v>0</v>
      </c>
      <c r="CZ249" s="6">
        <f t="shared" si="295"/>
        <v>0</v>
      </c>
      <c r="DA249" s="6">
        <f t="shared" si="296"/>
        <v>0</v>
      </c>
      <c r="DB249" s="6">
        <v>0</v>
      </c>
      <c r="DC249" s="6">
        <f t="shared" si="297"/>
        <v>0</v>
      </c>
      <c r="DD249" s="6">
        <f t="shared" si="298"/>
        <v>0</v>
      </c>
      <c r="DE249" s="6">
        <v>0</v>
      </c>
      <c r="DF249" s="6">
        <f t="shared" si="299"/>
        <v>0</v>
      </c>
      <c r="DG249" s="6">
        <f t="shared" si="300"/>
        <v>0</v>
      </c>
      <c r="DH249" s="6">
        <v>0</v>
      </c>
      <c r="DI249" s="6">
        <f t="shared" si="301"/>
        <v>0</v>
      </c>
      <c r="DJ249" s="6">
        <f t="shared" si="302"/>
        <v>0</v>
      </c>
      <c r="DK249" s="6">
        <v>0</v>
      </c>
      <c r="DL249" s="6">
        <f t="shared" si="303"/>
        <v>0</v>
      </c>
      <c r="DM249" s="6">
        <f t="shared" si="304"/>
        <v>0</v>
      </c>
      <c r="DN249" s="6">
        <v>0</v>
      </c>
      <c r="DO249" s="6">
        <f t="shared" si="305"/>
        <v>0</v>
      </c>
      <c r="DP249" s="6">
        <f t="shared" si="306"/>
        <v>0</v>
      </c>
    </row>
    <row r="250" spans="1:120" x14ac:dyDescent="0.2">
      <c r="A250" s="21">
        <v>86</v>
      </c>
      <c r="B250" s="21" t="s">
        <v>664</v>
      </c>
      <c r="C250" s="21">
        <v>86568</v>
      </c>
      <c r="D250" s="21" t="s">
        <v>712</v>
      </c>
      <c r="E250" s="21" t="s">
        <v>570</v>
      </c>
      <c r="F250" s="22" t="s">
        <v>666</v>
      </c>
      <c r="G250" s="4" t="s">
        <v>362</v>
      </c>
      <c r="H250" s="6">
        <v>221682.89</v>
      </c>
      <c r="I250" s="6">
        <f t="shared" si="314"/>
        <v>607.35038356164387</v>
      </c>
      <c r="J250" s="6">
        <v>230453.88620000001</v>
      </c>
      <c r="K250" s="6">
        <v>236982.92</v>
      </c>
      <c r="L250" s="6">
        <f t="shared" si="315"/>
        <v>647.49431693989072</v>
      </c>
      <c r="M250" s="6">
        <v>191899.54680000001</v>
      </c>
      <c r="N250" s="6">
        <v>173384.72</v>
      </c>
      <c r="O250" s="6">
        <f t="shared" si="316"/>
        <v>475.02663013698628</v>
      </c>
      <c r="P250" s="6">
        <v>161340.45869999999</v>
      </c>
      <c r="Q250" s="6">
        <v>699.45</v>
      </c>
      <c r="R250" s="6">
        <f t="shared" si="317"/>
        <v>3.864364640883978</v>
      </c>
      <c r="S250" s="6">
        <v>0</v>
      </c>
      <c r="T250" s="6">
        <f t="shared" si="239"/>
        <v>0</v>
      </c>
      <c r="U250" s="6">
        <f t="shared" si="240"/>
        <v>0</v>
      </c>
      <c r="V250" s="6">
        <v>0</v>
      </c>
      <c r="W250" s="6">
        <f t="shared" si="241"/>
        <v>0</v>
      </c>
      <c r="X250" s="6">
        <f t="shared" si="242"/>
        <v>0</v>
      </c>
      <c r="Y250" s="6">
        <v>0</v>
      </c>
      <c r="Z250" s="6">
        <f t="shared" si="243"/>
        <v>0</v>
      </c>
      <c r="AA250" s="6">
        <f t="shared" si="244"/>
        <v>0</v>
      </c>
      <c r="AB250" s="6">
        <v>0</v>
      </c>
      <c r="AC250" s="6">
        <f t="shared" si="245"/>
        <v>0</v>
      </c>
      <c r="AD250" s="6">
        <f t="shared" si="246"/>
        <v>0</v>
      </c>
      <c r="AE250" s="6">
        <v>0</v>
      </c>
      <c r="AF250" s="6">
        <f t="shared" si="247"/>
        <v>0</v>
      </c>
      <c r="AG250" s="6">
        <f t="shared" si="248"/>
        <v>0</v>
      </c>
      <c r="AH250" s="6">
        <v>0</v>
      </c>
      <c r="AI250" s="6">
        <f t="shared" si="249"/>
        <v>0</v>
      </c>
      <c r="AJ250" s="6">
        <f t="shared" si="250"/>
        <v>0</v>
      </c>
      <c r="AK250" s="6">
        <v>0</v>
      </c>
      <c r="AL250" s="6">
        <f t="shared" si="251"/>
        <v>0</v>
      </c>
      <c r="AM250" s="6">
        <f t="shared" si="252"/>
        <v>0</v>
      </c>
      <c r="AN250" s="6">
        <v>0</v>
      </c>
      <c r="AO250" s="6">
        <f t="shared" si="253"/>
        <v>0</v>
      </c>
      <c r="AP250" s="6">
        <f t="shared" si="254"/>
        <v>0</v>
      </c>
      <c r="AQ250" s="6">
        <v>0</v>
      </c>
      <c r="AR250" s="6">
        <f t="shared" si="255"/>
        <v>0</v>
      </c>
      <c r="AS250" s="6">
        <f t="shared" si="256"/>
        <v>0</v>
      </c>
      <c r="AT250" s="6">
        <v>0</v>
      </c>
      <c r="AU250" s="6">
        <f t="shared" si="257"/>
        <v>0</v>
      </c>
      <c r="AV250" s="6">
        <f t="shared" si="258"/>
        <v>0</v>
      </c>
      <c r="AW250" s="6">
        <v>0</v>
      </c>
      <c r="AX250" s="6">
        <f t="shared" si="259"/>
        <v>0</v>
      </c>
      <c r="AY250" s="6">
        <f t="shared" si="260"/>
        <v>0</v>
      </c>
      <c r="AZ250" s="6">
        <v>0</v>
      </c>
      <c r="BA250" s="6">
        <f t="shared" si="261"/>
        <v>0</v>
      </c>
      <c r="BB250" s="6">
        <f t="shared" si="262"/>
        <v>0</v>
      </c>
      <c r="BC250" s="6">
        <v>0</v>
      </c>
      <c r="BD250" s="6">
        <f t="shared" si="263"/>
        <v>0</v>
      </c>
      <c r="BE250" s="6">
        <f t="shared" si="264"/>
        <v>0</v>
      </c>
      <c r="BF250" s="6">
        <v>0</v>
      </c>
      <c r="BG250" s="6">
        <f t="shared" si="265"/>
        <v>0</v>
      </c>
      <c r="BH250" s="6">
        <f t="shared" si="266"/>
        <v>0</v>
      </c>
      <c r="BI250" s="6">
        <v>0</v>
      </c>
      <c r="BJ250" s="6">
        <f t="shared" si="267"/>
        <v>0</v>
      </c>
      <c r="BK250" s="6">
        <f t="shared" si="268"/>
        <v>0</v>
      </c>
      <c r="BL250" s="6">
        <v>0</v>
      </c>
      <c r="BM250" s="6">
        <f t="shared" si="269"/>
        <v>0</v>
      </c>
      <c r="BN250" s="6">
        <f t="shared" si="270"/>
        <v>0</v>
      </c>
      <c r="BO250" s="6">
        <v>0</v>
      </c>
      <c r="BP250" s="6">
        <f t="shared" si="271"/>
        <v>0</v>
      </c>
      <c r="BQ250" s="6">
        <f t="shared" si="272"/>
        <v>0</v>
      </c>
      <c r="BR250" s="6">
        <v>0</v>
      </c>
      <c r="BS250" s="6">
        <f t="shared" si="273"/>
        <v>0</v>
      </c>
      <c r="BT250" s="6">
        <f t="shared" si="274"/>
        <v>0</v>
      </c>
      <c r="BU250" s="6">
        <v>0</v>
      </c>
      <c r="BV250" s="6">
        <f t="shared" si="275"/>
        <v>0</v>
      </c>
      <c r="BW250" s="6">
        <f t="shared" si="276"/>
        <v>0</v>
      </c>
      <c r="BX250" s="6">
        <v>0</v>
      </c>
      <c r="BY250" s="6">
        <f t="shared" si="277"/>
        <v>0</v>
      </c>
      <c r="BZ250" s="6">
        <f t="shared" si="278"/>
        <v>0</v>
      </c>
      <c r="CA250" s="6">
        <v>0</v>
      </c>
      <c r="CB250" s="6">
        <f t="shared" si="279"/>
        <v>0</v>
      </c>
      <c r="CC250" s="6">
        <f t="shared" si="280"/>
        <v>0</v>
      </c>
      <c r="CD250" s="6">
        <v>0</v>
      </c>
      <c r="CE250" s="6">
        <f t="shared" si="281"/>
        <v>0</v>
      </c>
      <c r="CF250" s="6">
        <f t="shared" si="282"/>
        <v>0</v>
      </c>
      <c r="CG250" s="6">
        <v>0</v>
      </c>
      <c r="CH250" s="6">
        <f t="shared" si="283"/>
        <v>0</v>
      </c>
      <c r="CI250" s="6">
        <f t="shared" si="284"/>
        <v>0</v>
      </c>
      <c r="CJ250" s="6">
        <v>0</v>
      </c>
      <c r="CK250" s="6">
        <f t="shared" si="285"/>
        <v>0</v>
      </c>
      <c r="CL250" s="6">
        <f t="shared" si="286"/>
        <v>0</v>
      </c>
      <c r="CM250" s="6">
        <v>0</v>
      </c>
      <c r="CN250" s="6">
        <f t="shared" si="287"/>
        <v>0</v>
      </c>
      <c r="CO250" s="6">
        <f t="shared" si="288"/>
        <v>0</v>
      </c>
      <c r="CP250" s="6">
        <v>0</v>
      </c>
      <c r="CQ250" s="6">
        <f t="shared" si="289"/>
        <v>0</v>
      </c>
      <c r="CR250" s="6">
        <f t="shared" si="290"/>
        <v>0</v>
      </c>
      <c r="CS250" s="6">
        <v>0</v>
      </c>
      <c r="CT250" s="6">
        <f t="shared" si="291"/>
        <v>0</v>
      </c>
      <c r="CU250" s="6">
        <f t="shared" si="292"/>
        <v>0</v>
      </c>
      <c r="CV250" s="6">
        <v>0</v>
      </c>
      <c r="CW250" s="6">
        <f t="shared" si="293"/>
        <v>0</v>
      </c>
      <c r="CX250" s="6">
        <f t="shared" si="294"/>
        <v>0</v>
      </c>
      <c r="CY250" s="6">
        <v>0</v>
      </c>
      <c r="CZ250" s="6">
        <f t="shared" si="295"/>
        <v>0</v>
      </c>
      <c r="DA250" s="6">
        <f t="shared" si="296"/>
        <v>0</v>
      </c>
      <c r="DB250" s="6">
        <v>0</v>
      </c>
      <c r="DC250" s="6">
        <f t="shared" si="297"/>
        <v>0</v>
      </c>
      <c r="DD250" s="6">
        <f t="shared" si="298"/>
        <v>0</v>
      </c>
      <c r="DE250" s="6">
        <v>0</v>
      </c>
      <c r="DF250" s="6">
        <f t="shared" si="299"/>
        <v>0</v>
      </c>
      <c r="DG250" s="6">
        <f t="shared" si="300"/>
        <v>0</v>
      </c>
      <c r="DH250" s="6">
        <v>0</v>
      </c>
      <c r="DI250" s="6">
        <f t="shared" si="301"/>
        <v>0</v>
      </c>
      <c r="DJ250" s="6">
        <f t="shared" si="302"/>
        <v>0</v>
      </c>
      <c r="DK250" s="6">
        <v>0</v>
      </c>
      <c r="DL250" s="6">
        <f t="shared" si="303"/>
        <v>0</v>
      </c>
      <c r="DM250" s="6">
        <f t="shared" si="304"/>
        <v>0</v>
      </c>
      <c r="DN250" s="6">
        <v>0</v>
      </c>
      <c r="DO250" s="6">
        <f t="shared" si="305"/>
        <v>0</v>
      </c>
      <c r="DP250" s="6">
        <f t="shared" si="306"/>
        <v>0</v>
      </c>
    </row>
    <row r="251" spans="1:120" x14ac:dyDescent="0.2">
      <c r="A251" s="21">
        <v>86</v>
      </c>
      <c r="B251" s="21" t="s">
        <v>664</v>
      </c>
      <c r="C251" s="21">
        <v>86568</v>
      </c>
      <c r="D251" s="21" t="s">
        <v>712</v>
      </c>
      <c r="E251" s="21" t="s">
        <v>570</v>
      </c>
      <c r="F251" s="22" t="s">
        <v>666</v>
      </c>
      <c r="G251" s="4" t="s">
        <v>363</v>
      </c>
      <c r="H251" s="6">
        <v>97977.53</v>
      </c>
      <c r="I251" s="6">
        <f t="shared" si="314"/>
        <v>268.43158904109589</v>
      </c>
      <c r="J251" s="6">
        <v>135260.97510000001</v>
      </c>
      <c r="K251" s="6">
        <v>74793.64</v>
      </c>
      <c r="L251" s="6">
        <f t="shared" si="315"/>
        <v>204.35420765027322</v>
      </c>
      <c r="M251" s="6">
        <v>108593.99559999999</v>
      </c>
      <c r="N251" s="6">
        <v>31318.18</v>
      </c>
      <c r="O251" s="6">
        <f t="shared" si="316"/>
        <v>85.803232876712329</v>
      </c>
      <c r="P251" s="6">
        <v>79214.791700000002</v>
      </c>
      <c r="Q251" s="6">
        <v>1539.5</v>
      </c>
      <c r="R251" s="6">
        <f t="shared" si="317"/>
        <v>8.5055248618784525</v>
      </c>
      <c r="S251" s="6">
        <v>58061.196199999998</v>
      </c>
      <c r="T251" s="6">
        <f t="shared" si="239"/>
        <v>58061.196199999998</v>
      </c>
      <c r="U251" s="6">
        <f t="shared" si="240"/>
        <v>159.07177041095889</v>
      </c>
      <c r="V251" s="6">
        <v>42874.243000000002</v>
      </c>
      <c r="W251" s="6">
        <f t="shared" si="241"/>
        <v>42874.243000000002</v>
      </c>
      <c r="X251" s="6">
        <f t="shared" si="242"/>
        <v>117.46367945205481</v>
      </c>
      <c r="Y251" s="6">
        <v>31628.359799999998</v>
      </c>
      <c r="Z251" s="6">
        <f t="shared" si="243"/>
        <v>31628.359799999998</v>
      </c>
      <c r="AA251" s="6">
        <f t="shared" si="244"/>
        <v>86.653040547945196</v>
      </c>
      <c r="AB251" s="6">
        <v>23498.671999999999</v>
      </c>
      <c r="AC251" s="6">
        <f t="shared" si="245"/>
        <v>23498.671999999999</v>
      </c>
      <c r="AD251" s="6">
        <f t="shared" si="246"/>
        <v>64.379923287671232</v>
      </c>
      <c r="AE251" s="6">
        <v>0</v>
      </c>
      <c r="AF251" s="6">
        <f t="shared" si="247"/>
        <v>0</v>
      </c>
      <c r="AG251" s="6">
        <f t="shared" si="248"/>
        <v>0</v>
      </c>
      <c r="AH251" s="6">
        <v>0</v>
      </c>
      <c r="AI251" s="6">
        <f t="shared" si="249"/>
        <v>0</v>
      </c>
      <c r="AJ251" s="6">
        <f t="shared" si="250"/>
        <v>0</v>
      </c>
      <c r="AK251" s="6">
        <v>0</v>
      </c>
      <c r="AL251" s="6">
        <f t="shared" si="251"/>
        <v>0</v>
      </c>
      <c r="AM251" s="6">
        <f t="shared" si="252"/>
        <v>0</v>
      </c>
      <c r="AN251" s="6">
        <v>0</v>
      </c>
      <c r="AO251" s="6">
        <f t="shared" si="253"/>
        <v>0</v>
      </c>
      <c r="AP251" s="6">
        <f t="shared" si="254"/>
        <v>0</v>
      </c>
      <c r="AQ251" s="6">
        <v>0</v>
      </c>
      <c r="AR251" s="6">
        <f t="shared" si="255"/>
        <v>0</v>
      </c>
      <c r="AS251" s="6">
        <f t="shared" si="256"/>
        <v>0</v>
      </c>
      <c r="AT251" s="6">
        <v>0</v>
      </c>
      <c r="AU251" s="6">
        <f t="shared" si="257"/>
        <v>0</v>
      </c>
      <c r="AV251" s="6">
        <f t="shared" si="258"/>
        <v>0</v>
      </c>
      <c r="AW251" s="6">
        <v>0</v>
      </c>
      <c r="AX251" s="6">
        <f t="shared" si="259"/>
        <v>0</v>
      </c>
      <c r="AY251" s="6">
        <f t="shared" si="260"/>
        <v>0</v>
      </c>
      <c r="AZ251" s="6">
        <v>0</v>
      </c>
      <c r="BA251" s="6">
        <f t="shared" si="261"/>
        <v>0</v>
      </c>
      <c r="BB251" s="6">
        <f t="shared" si="262"/>
        <v>0</v>
      </c>
      <c r="BC251" s="6">
        <v>0</v>
      </c>
      <c r="BD251" s="6">
        <f t="shared" si="263"/>
        <v>0</v>
      </c>
      <c r="BE251" s="6">
        <f t="shared" si="264"/>
        <v>0</v>
      </c>
      <c r="BF251" s="6">
        <v>0</v>
      </c>
      <c r="BG251" s="6">
        <f t="shared" si="265"/>
        <v>0</v>
      </c>
      <c r="BH251" s="6">
        <f t="shared" si="266"/>
        <v>0</v>
      </c>
      <c r="BI251" s="6">
        <v>0</v>
      </c>
      <c r="BJ251" s="6">
        <f t="shared" si="267"/>
        <v>0</v>
      </c>
      <c r="BK251" s="6">
        <f t="shared" si="268"/>
        <v>0</v>
      </c>
      <c r="BL251" s="6">
        <v>0</v>
      </c>
      <c r="BM251" s="6">
        <f t="shared" si="269"/>
        <v>0</v>
      </c>
      <c r="BN251" s="6">
        <f t="shared" si="270"/>
        <v>0</v>
      </c>
      <c r="BO251" s="6">
        <v>0</v>
      </c>
      <c r="BP251" s="6">
        <f t="shared" si="271"/>
        <v>0</v>
      </c>
      <c r="BQ251" s="6">
        <f t="shared" si="272"/>
        <v>0</v>
      </c>
      <c r="BR251" s="6">
        <v>0</v>
      </c>
      <c r="BS251" s="6">
        <f t="shared" si="273"/>
        <v>0</v>
      </c>
      <c r="BT251" s="6">
        <f t="shared" si="274"/>
        <v>0</v>
      </c>
      <c r="BU251" s="6">
        <v>0</v>
      </c>
      <c r="BV251" s="6">
        <f t="shared" si="275"/>
        <v>0</v>
      </c>
      <c r="BW251" s="6">
        <f t="shared" si="276"/>
        <v>0</v>
      </c>
      <c r="BX251" s="6">
        <v>0</v>
      </c>
      <c r="BY251" s="6">
        <f t="shared" si="277"/>
        <v>0</v>
      </c>
      <c r="BZ251" s="6">
        <f t="shared" si="278"/>
        <v>0</v>
      </c>
      <c r="CA251" s="6">
        <v>0</v>
      </c>
      <c r="CB251" s="6">
        <f t="shared" si="279"/>
        <v>0</v>
      </c>
      <c r="CC251" s="6">
        <f t="shared" si="280"/>
        <v>0</v>
      </c>
      <c r="CD251" s="6">
        <v>0</v>
      </c>
      <c r="CE251" s="6">
        <f t="shared" si="281"/>
        <v>0</v>
      </c>
      <c r="CF251" s="6">
        <f t="shared" si="282"/>
        <v>0</v>
      </c>
      <c r="CG251" s="6">
        <v>0</v>
      </c>
      <c r="CH251" s="6">
        <f t="shared" si="283"/>
        <v>0</v>
      </c>
      <c r="CI251" s="6">
        <f t="shared" si="284"/>
        <v>0</v>
      </c>
      <c r="CJ251" s="6">
        <v>0</v>
      </c>
      <c r="CK251" s="6">
        <f t="shared" si="285"/>
        <v>0</v>
      </c>
      <c r="CL251" s="6">
        <f t="shared" si="286"/>
        <v>0</v>
      </c>
      <c r="CM251" s="6">
        <v>0</v>
      </c>
      <c r="CN251" s="6">
        <f t="shared" si="287"/>
        <v>0</v>
      </c>
      <c r="CO251" s="6">
        <f t="shared" si="288"/>
        <v>0</v>
      </c>
      <c r="CP251" s="6">
        <v>0</v>
      </c>
      <c r="CQ251" s="6">
        <f t="shared" si="289"/>
        <v>0</v>
      </c>
      <c r="CR251" s="6">
        <f t="shared" si="290"/>
        <v>0</v>
      </c>
      <c r="CS251" s="6">
        <v>0</v>
      </c>
      <c r="CT251" s="6">
        <f t="shared" si="291"/>
        <v>0</v>
      </c>
      <c r="CU251" s="6">
        <f t="shared" si="292"/>
        <v>0</v>
      </c>
      <c r="CV251" s="6">
        <v>0</v>
      </c>
      <c r="CW251" s="6">
        <f t="shared" si="293"/>
        <v>0</v>
      </c>
      <c r="CX251" s="6">
        <f t="shared" si="294"/>
        <v>0</v>
      </c>
      <c r="CY251" s="6">
        <v>0</v>
      </c>
      <c r="CZ251" s="6">
        <f t="shared" si="295"/>
        <v>0</v>
      </c>
      <c r="DA251" s="6">
        <f t="shared" si="296"/>
        <v>0</v>
      </c>
      <c r="DB251" s="6">
        <v>0</v>
      </c>
      <c r="DC251" s="6">
        <f t="shared" si="297"/>
        <v>0</v>
      </c>
      <c r="DD251" s="6">
        <f t="shared" si="298"/>
        <v>0</v>
      </c>
      <c r="DE251" s="6">
        <v>0</v>
      </c>
      <c r="DF251" s="6">
        <f t="shared" si="299"/>
        <v>0</v>
      </c>
      <c r="DG251" s="6">
        <f t="shared" si="300"/>
        <v>0</v>
      </c>
      <c r="DH251" s="6">
        <v>0</v>
      </c>
      <c r="DI251" s="6">
        <f t="shared" si="301"/>
        <v>0</v>
      </c>
      <c r="DJ251" s="6">
        <f t="shared" si="302"/>
        <v>0</v>
      </c>
      <c r="DK251" s="6">
        <v>0</v>
      </c>
      <c r="DL251" s="6">
        <f t="shared" si="303"/>
        <v>0</v>
      </c>
      <c r="DM251" s="6">
        <f t="shared" si="304"/>
        <v>0</v>
      </c>
      <c r="DN251" s="6">
        <v>0</v>
      </c>
      <c r="DO251" s="6">
        <f t="shared" si="305"/>
        <v>0</v>
      </c>
      <c r="DP251" s="6">
        <f t="shared" si="306"/>
        <v>0</v>
      </c>
    </row>
    <row r="252" spans="1:120" x14ac:dyDescent="0.2">
      <c r="A252" s="21">
        <v>86</v>
      </c>
      <c r="B252" s="21" t="s">
        <v>664</v>
      </c>
      <c r="C252" s="21">
        <v>86320</v>
      </c>
      <c r="D252" s="21" t="s">
        <v>329</v>
      </c>
      <c r="E252" s="21" t="s">
        <v>522</v>
      </c>
      <c r="F252" s="22" t="s">
        <v>666</v>
      </c>
      <c r="G252" s="4" t="s">
        <v>364</v>
      </c>
      <c r="H252" s="6">
        <v>235544</v>
      </c>
      <c r="I252" s="6">
        <f t="shared" si="314"/>
        <v>645.3260273972603</v>
      </c>
      <c r="J252" s="6">
        <v>205296</v>
      </c>
      <c r="K252" s="6">
        <v>200334.63</v>
      </c>
      <c r="L252" s="6">
        <f t="shared" si="315"/>
        <v>547.3623770491804</v>
      </c>
      <c r="M252" s="6">
        <v>137963</v>
      </c>
      <c r="N252" s="6">
        <v>165599.39000000001</v>
      </c>
      <c r="O252" s="6">
        <f t="shared" si="316"/>
        <v>453.69695890410964</v>
      </c>
      <c r="P252" s="6">
        <v>93025</v>
      </c>
      <c r="Q252" s="6">
        <v>88151.67</v>
      </c>
      <c r="R252" s="6">
        <f t="shared" si="317"/>
        <v>487.02580110497235</v>
      </c>
      <c r="S252" s="6">
        <v>62722</v>
      </c>
      <c r="T252" s="6">
        <f t="shared" si="239"/>
        <v>62722</v>
      </c>
      <c r="U252" s="6">
        <f t="shared" si="240"/>
        <v>171.84109589041097</v>
      </c>
      <c r="V252" s="6">
        <v>30072</v>
      </c>
      <c r="W252" s="6">
        <f t="shared" si="241"/>
        <v>30072</v>
      </c>
      <c r="X252" s="6">
        <f t="shared" si="242"/>
        <v>82.389041095890406</v>
      </c>
      <c r="Y252" s="6">
        <v>0</v>
      </c>
      <c r="Z252" s="6">
        <f t="shared" si="243"/>
        <v>0</v>
      </c>
      <c r="AA252" s="6">
        <f t="shared" si="244"/>
        <v>0</v>
      </c>
      <c r="AB252" s="6">
        <v>0</v>
      </c>
      <c r="AC252" s="6">
        <f t="shared" si="245"/>
        <v>0</v>
      </c>
      <c r="AD252" s="6">
        <f t="shared" si="246"/>
        <v>0</v>
      </c>
      <c r="AE252" s="6">
        <v>0</v>
      </c>
      <c r="AF252" s="6">
        <f t="shared" si="247"/>
        <v>0</v>
      </c>
      <c r="AG252" s="6">
        <f t="shared" si="248"/>
        <v>0</v>
      </c>
      <c r="AH252" s="6">
        <v>0</v>
      </c>
      <c r="AI252" s="6">
        <f t="shared" si="249"/>
        <v>0</v>
      </c>
      <c r="AJ252" s="6">
        <f t="shared" si="250"/>
        <v>0</v>
      </c>
      <c r="AK252" s="6">
        <v>0</v>
      </c>
      <c r="AL252" s="6">
        <f t="shared" si="251"/>
        <v>0</v>
      </c>
      <c r="AM252" s="6">
        <f t="shared" si="252"/>
        <v>0</v>
      </c>
      <c r="AN252" s="6">
        <v>0</v>
      </c>
      <c r="AO252" s="6">
        <f t="shared" si="253"/>
        <v>0</v>
      </c>
      <c r="AP252" s="6">
        <f t="shared" si="254"/>
        <v>0</v>
      </c>
      <c r="AQ252" s="6">
        <v>0</v>
      </c>
      <c r="AR252" s="6">
        <f t="shared" si="255"/>
        <v>0</v>
      </c>
      <c r="AS252" s="6">
        <f t="shared" si="256"/>
        <v>0</v>
      </c>
      <c r="AT252" s="6">
        <v>0</v>
      </c>
      <c r="AU252" s="6">
        <f t="shared" si="257"/>
        <v>0</v>
      </c>
      <c r="AV252" s="6">
        <f t="shared" si="258"/>
        <v>0</v>
      </c>
      <c r="AW252" s="6">
        <v>0</v>
      </c>
      <c r="AX252" s="6">
        <f t="shared" si="259"/>
        <v>0</v>
      </c>
      <c r="AY252" s="6">
        <f t="shared" si="260"/>
        <v>0</v>
      </c>
      <c r="AZ252" s="6">
        <v>0</v>
      </c>
      <c r="BA252" s="6">
        <f t="shared" si="261"/>
        <v>0</v>
      </c>
      <c r="BB252" s="6">
        <f t="shared" si="262"/>
        <v>0</v>
      </c>
      <c r="BC252" s="6">
        <v>0</v>
      </c>
      <c r="BD252" s="6">
        <f t="shared" si="263"/>
        <v>0</v>
      </c>
      <c r="BE252" s="6">
        <f t="shared" si="264"/>
        <v>0</v>
      </c>
      <c r="BF252" s="6">
        <v>0</v>
      </c>
      <c r="BG252" s="6">
        <f t="shared" si="265"/>
        <v>0</v>
      </c>
      <c r="BH252" s="6">
        <f t="shared" si="266"/>
        <v>0</v>
      </c>
      <c r="BI252" s="6">
        <v>0</v>
      </c>
      <c r="BJ252" s="6">
        <f t="shared" si="267"/>
        <v>0</v>
      </c>
      <c r="BK252" s="6">
        <f t="shared" si="268"/>
        <v>0</v>
      </c>
      <c r="BL252" s="6">
        <v>0</v>
      </c>
      <c r="BM252" s="6">
        <f t="shared" si="269"/>
        <v>0</v>
      </c>
      <c r="BN252" s="6">
        <f t="shared" si="270"/>
        <v>0</v>
      </c>
      <c r="BO252" s="6">
        <v>0</v>
      </c>
      <c r="BP252" s="6">
        <f t="shared" si="271"/>
        <v>0</v>
      </c>
      <c r="BQ252" s="6">
        <f t="shared" si="272"/>
        <v>0</v>
      </c>
      <c r="BR252" s="6">
        <v>0</v>
      </c>
      <c r="BS252" s="6">
        <f t="shared" si="273"/>
        <v>0</v>
      </c>
      <c r="BT252" s="6">
        <f t="shared" si="274"/>
        <v>0</v>
      </c>
      <c r="BU252" s="6">
        <v>0</v>
      </c>
      <c r="BV252" s="6">
        <f t="shared" si="275"/>
        <v>0</v>
      </c>
      <c r="BW252" s="6">
        <f t="shared" si="276"/>
        <v>0</v>
      </c>
      <c r="BX252" s="6">
        <v>0</v>
      </c>
      <c r="BY252" s="6">
        <f t="shared" si="277"/>
        <v>0</v>
      </c>
      <c r="BZ252" s="6">
        <f t="shared" si="278"/>
        <v>0</v>
      </c>
      <c r="CA252" s="6">
        <v>0</v>
      </c>
      <c r="CB252" s="6">
        <f t="shared" si="279"/>
        <v>0</v>
      </c>
      <c r="CC252" s="6">
        <f t="shared" si="280"/>
        <v>0</v>
      </c>
      <c r="CD252" s="6">
        <v>0</v>
      </c>
      <c r="CE252" s="6">
        <f t="shared" si="281"/>
        <v>0</v>
      </c>
      <c r="CF252" s="6">
        <f t="shared" si="282"/>
        <v>0</v>
      </c>
      <c r="CG252" s="6">
        <v>0</v>
      </c>
      <c r="CH252" s="6">
        <f t="shared" si="283"/>
        <v>0</v>
      </c>
      <c r="CI252" s="6">
        <f t="shared" si="284"/>
        <v>0</v>
      </c>
      <c r="CJ252" s="6">
        <v>0</v>
      </c>
      <c r="CK252" s="6">
        <f t="shared" si="285"/>
        <v>0</v>
      </c>
      <c r="CL252" s="6">
        <f t="shared" si="286"/>
        <v>0</v>
      </c>
      <c r="CM252" s="6">
        <v>0</v>
      </c>
      <c r="CN252" s="6">
        <f t="shared" si="287"/>
        <v>0</v>
      </c>
      <c r="CO252" s="6">
        <f t="shared" si="288"/>
        <v>0</v>
      </c>
      <c r="CP252" s="6">
        <v>0</v>
      </c>
      <c r="CQ252" s="6">
        <f t="shared" si="289"/>
        <v>0</v>
      </c>
      <c r="CR252" s="6">
        <f t="shared" si="290"/>
        <v>0</v>
      </c>
      <c r="CS252" s="6">
        <v>0</v>
      </c>
      <c r="CT252" s="6">
        <f t="shared" si="291"/>
        <v>0</v>
      </c>
      <c r="CU252" s="6">
        <f t="shared" si="292"/>
        <v>0</v>
      </c>
      <c r="CV252" s="6">
        <v>0</v>
      </c>
      <c r="CW252" s="6">
        <f t="shared" si="293"/>
        <v>0</v>
      </c>
      <c r="CX252" s="6">
        <f t="shared" si="294"/>
        <v>0</v>
      </c>
      <c r="CY252" s="6">
        <v>0</v>
      </c>
      <c r="CZ252" s="6">
        <f t="shared" si="295"/>
        <v>0</v>
      </c>
      <c r="DA252" s="6">
        <f t="shared" si="296"/>
        <v>0</v>
      </c>
      <c r="DB252" s="6">
        <v>0</v>
      </c>
      <c r="DC252" s="6">
        <f t="shared" si="297"/>
        <v>0</v>
      </c>
      <c r="DD252" s="6">
        <f t="shared" si="298"/>
        <v>0</v>
      </c>
      <c r="DE252" s="6">
        <v>0</v>
      </c>
      <c r="DF252" s="6">
        <f t="shared" si="299"/>
        <v>0</v>
      </c>
      <c r="DG252" s="6">
        <f t="shared" si="300"/>
        <v>0</v>
      </c>
      <c r="DH252" s="6">
        <v>0</v>
      </c>
      <c r="DI252" s="6">
        <f t="shared" si="301"/>
        <v>0</v>
      </c>
      <c r="DJ252" s="6">
        <f t="shared" si="302"/>
        <v>0</v>
      </c>
      <c r="DK252" s="6">
        <v>0</v>
      </c>
      <c r="DL252" s="6">
        <f t="shared" si="303"/>
        <v>0</v>
      </c>
      <c r="DM252" s="6">
        <f t="shared" si="304"/>
        <v>0</v>
      </c>
      <c r="DN252" s="6">
        <v>0</v>
      </c>
      <c r="DO252" s="6">
        <f t="shared" si="305"/>
        <v>0</v>
      </c>
      <c r="DP252" s="6">
        <f t="shared" si="306"/>
        <v>0</v>
      </c>
    </row>
    <row r="253" spans="1:120" x14ac:dyDescent="0.2">
      <c r="A253" s="21">
        <v>85</v>
      </c>
      <c r="B253" s="21" t="s">
        <v>612</v>
      </c>
      <c r="C253" s="21">
        <v>85010</v>
      </c>
      <c r="D253" s="21" t="s">
        <v>716</v>
      </c>
      <c r="E253" s="21" t="s">
        <v>699</v>
      </c>
      <c r="F253" s="22" t="s">
        <v>659</v>
      </c>
      <c r="G253" s="4" t="s">
        <v>365</v>
      </c>
      <c r="H253" s="6">
        <v>155577.18</v>
      </c>
      <c r="I253" s="6">
        <f t="shared" si="314"/>
        <v>426.23884931506848</v>
      </c>
      <c r="J253" s="6">
        <v>87354.378500000006</v>
      </c>
      <c r="K253" s="6">
        <v>113653.14</v>
      </c>
      <c r="L253" s="6">
        <f t="shared" si="315"/>
        <v>310.52770491803278</v>
      </c>
      <c r="M253" s="6">
        <v>0</v>
      </c>
      <c r="N253" s="6">
        <v>96283.88</v>
      </c>
      <c r="O253" s="6">
        <f t="shared" si="316"/>
        <v>263.79145205479455</v>
      </c>
      <c r="P253" s="6">
        <v>0</v>
      </c>
      <c r="Q253" s="6">
        <v>40342.22</v>
      </c>
      <c r="R253" s="6">
        <f t="shared" si="317"/>
        <v>222.88519337016575</v>
      </c>
      <c r="S253" s="6">
        <v>0</v>
      </c>
      <c r="T253" s="6">
        <f t="shared" si="239"/>
        <v>0</v>
      </c>
      <c r="U253" s="6">
        <f t="shared" si="240"/>
        <v>0</v>
      </c>
      <c r="V253" s="6">
        <v>0</v>
      </c>
      <c r="W253" s="6">
        <f t="shared" si="241"/>
        <v>0</v>
      </c>
      <c r="X253" s="6">
        <f t="shared" si="242"/>
        <v>0</v>
      </c>
      <c r="Y253" s="6">
        <v>0</v>
      </c>
      <c r="Z253" s="6">
        <f t="shared" si="243"/>
        <v>0</v>
      </c>
      <c r="AA253" s="6">
        <f t="shared" si="244"/>
        <v>0</v>
      </c>
      <c r="AB253" s="6">
        <v>0</v>
      </c>
      <c r="AC253" s="6">
        <f t="shared" si="245"/>
        <v>0</v>
      </c>
      <c r="AD253" s="6">
        <f t="shared" si="246"/>
        <v>0</v>
      </c>
      <c r="AE253" s="6">
        <v>0</v>
      </c>
      <c r="AF253" s="6">
        <f t="shared" si="247"/>
        <v>0</v>
      </c>
      <c r="AG253" s="6">
        <f t="shared" si="248"/>
        <v>0</v>
      </c>
      <c r="AH253" s="6">
        <v>0</v>
      </c>
      <c r="AI253" s="6">
        <f t="shared" si="249"/>
        <v>0</v>
      </c>
      <c r="AJ253" s="6">
        <f t="shared" si="250"/>
        <v>0</v>
      </c>
      <c r="AK253" s="6">
        <v>0</v>
      </c>
      <c r="AL253" s="6">
        <f t="shared" si="251"/>
        <v>0</v>
      </c>
      <c r="AM253" s="6">
        <f t="shared" si="252"/>
        <v>0</v>
      </c>
      <c r="AN253" s="6">
        <v>0</v>
      </c>
      <c r="AO253" s="6">
        <f t="shared" si="253"/>
        <v>0</v>
      </c>
      <c r="AP253" s="6">
        <f t="shared" si="254"/>
        <v>0</v>
      </c>
      <c r="AQ253" s="6">
        <v>0</v>
      </c>
      <c r="AR253" s="6">
        <f t="shared" si="255"/>
        <v>0</v>
      </c>
      <c r="AS253" s="6">
        <f t="shared" si="256"/>
        <v>0</v>
      </c>
      <c r="AT253" s="6">
        <v>0</v>
      </c>
      <c r="AU253" s="6">
        <f t="shared" si="257"/>
        <v>0</v>
      </c>
      <c r="AV253" s="6">
        <f t="shared" si="258"/>
        <v>0</v>
      </c>
      <c r="AW253" s="6">
        <v>0</v>
      </c>
      <c r="AX253" s="6">
        <f t="shared" si="259"/>
        <v>0</v>
      </c>
      <c r="AY253" s="6">
        <f t="shared" si="260"/>
        <v>0</v>
      </c>
      <c r="AZ253" s="6">
        <v>0</v>
      </c>
      <c r="BA253" s="6">
        <f t="shared" si="261"/>
        <v>0</v>
      </c>
      <c r="BB253" s="6">
        <f t="shared" si="262"/>
        <v>0</v>
      </c>
      <c r="BC253" s="6">
        <v>0</v>
      </c>
      <c r="BD253" s="6">
        <f t="shared" si="263"/>
        <v>0</v>
      </c>
      <c r="BE253" s="6">
        <f t="shared" si="264"/>
        <v>0</v>
      </c>
      <c r="BF253" s="6">
        <v>0</v>
      </c>
      <c r="BG253" s="6">
        <f t="shared" si="265"/>
        <v>0</v>
      </c>
      <c r="BH253" s="6">
        <f t="shared" si="266"/>
        <v>0</v>
      </c>
      <c r="BI253" s="6">
        <v>0</v>
      </c>
      <c r="BJ253" s="6">
        <f t="shared" si="267"/>
        <v>0</v>
      </c>
      <c r="BK253" s="6">
        <f t="shared" si="268"/>
        <v>0</v>
      </c>
      <c r="BL253" s="6">
        <v>0</v>
      </c>
      <c r="BM253" s="6">
        <f t="shared" si="269"/>
        <v>0</v>
      </c>
      <c r="BN253" s="6">
        <f t="shared" si="270"/>
        <v>0</v>
      </c>
      <c r="BO253" s="6">
        <v>0</v>
      </c>
      <c r="BP253" s="6">
        <f t="shared" si="271"/>
        <v>0</v>
      </c>
      <c r="BQ253" s="6">
        <f t="shared" si="272"/>
        <v>0</v>
      </c>
      <c r="BR253" s="6">
        <v>0</v>
      </c>
      <c r="BS253" s="6">
        <f t="shared" si="273"/>
        <v>0</v>
      </c>
      <c r="BT253" s="6">
        <f t="shared" si="274"/>
        <v>0</v>
      </c>
      <c r="BU253" s="6">
        <v>0</v>
      </c>
      <c r="BV253" s="6">
        <f t="shared" si="275"/>
        <v>0</v>
      </c>
      <c r="BW253" s="6">
        <f t="shared" si="276"/>
        <v>0</v>
      </c>
      <c r="BX253" s="6">
        <v>0</v>
      </c>
      <c r="BY253" s="6">
        <f t="shared" si="277"/>
        <v>0</v>
      </c>
      <c r="BZ253" s="6">
        <f t="shared" si="278"/>
        <v>0</v>
      </c>
      <c r="CA253" s="6">
        <v>0</v>
      </c>
      <c r="CB253" s="6">
        <f t="shared" si="279"/>
        <v>0</v>
      </c>
      <c r="CC253" s="6">
        <f t="shared" si="280"/>
        <v>0</v>
      </c>
      <c r="CD253" s="6">
        <v>0</v>
      </c>
      <c r="CE253" s="6">
        <f t="shared" si="281"/>
        <v>0</v>
      </c>
      <c r="CF253" s="6">
        <f t="shared" si="282"/>
        <v>0</v>
      </c>
      <c r="CG253" s="6">
        <v>0</v>
      </c>
      <c r="CH253" s="6">
        <f t="shared" si="283"/>
        <v>0</v>
      </c>
      <c r="CI253" s="6">
        <f t="shared" si="284"/>
        <v>0</v>
      </c>
      <c r="CJ253" s="6">
        <v>0</v>
      </c>
      <c r="CK253" s="6">
        <f t="shared" si="285"/>
        <v>0</v>
      </c>
      <c r="CL253" s="6">
        <f t="shared" si="286"/>
        <v>0</v>
      </c>
      <c r="CM253" s="6">
        <v>0</v>
      </c>
      <c r="CN253" s="6">
        <f t="shared" si="287"/>
        <v>0</v>
      </c>
      <c r="CO253" s="6">
        <f t="shared" si="288"/>
        <v>0</v>
      </c>
      <c r="CP253" s="6">
        <v>0</v>
      </c>
      <c r="CQ253" s="6">
        <f t="shared" si="289"/>
        <v>0</v>
      </c>
      <c r="CR253" s="6">
        <f t="shared" si="290"/>
        <v>0</v>
      </c>
      <c r="CS253" s="6">
        <v>0</v>
      </c>
      <c r="CT253" s="6">
        <f t="shared" si="291"/>
        <v>0</v>
      </c>
      <c r="CU253" s="6">
        <f t="shared" si="292"/>
        <v>0</v>
      </c>
      <c r="CV253" s="6">
        <v>0</v>
      </c>
      <c r="CW253" s="6">
        <f t="shared" si="293"/>
        <v>0</v>
      </c>
      <c r="CX253" s="6">
        <f t="shared" si="294"/>
        <v>0</v>
      </c>
      <c r="CY253" s="6">
        <v>0</v>
      </c>
      <c r="CZ253" s="6">
        <f t="shared" si="295"/>
        <v>0</v>
      </c>
      <c r="DA253" s="6">
        <f t="shared" si="296"/>
        <v>0</v>
      </c>
      <c r="DB253" s="6">
        <v>0</v>
      </c>
      <c r="DC253" s="6">
        <f t="shared" si="297"/>
        <v>0</v>
      </c>
      <c r="DD253" s="6">
        <f t="shared" si="298"/>
        <v>0</v>
      </c>
      <c r="DE253" s="6">
        <v>0</v>
      </c>
      <c r="DF253" s="6">
        <f t="shared" si="299"/>
        <v>0</v>
      </c>
      <c r="DG253" s="6">
        <f t="shared" si="300"/>
        <v>0</v>
      </c>
      <c r="DH253" s="6">
        <v>0</v>
      </c>
      <c r="DI253" s="6">
        <f t="shared" si="301"/>
        <v>0</v>
      </c>
      <c r="DJ253" s="6">
        <f t="shared" si="302"/>
        <v>0</v>
      </c>
      <c r="DK253" s="6">
        <v>0</v>
      </c>
      <c r="DL253" s="6">
        <f t="shared" si="303"/>
        <v>0</v>
      </c>
      <c r="DM253" s="6">
        <f t="shared" si="304"/>
        <v>0</v>
      </c>
      <c r="DN253" s="6">
        <v>0</v>
      </c>
      <c r="DO253" s="6">
        <f t="shared" si="305"/>
        <v>0</v>
      </c>
      <c r="DP253" s="6">
        <f t="shared" si="306"/>
        <v>0</v>
      </c>
    </row>
    <row r="254" spans="1:120" x14ac:dyDescent="0.2">
      <c r="A254" s="21">
        <v>85</v>
      </c>
      <c r="B254" s="21" t="s">
        <v>612</v>
      </c>
      <c r="C254" s="21">
        <v>85001</v>
      </c>
      <c r="D254" s="21" t="s">
        <v>698</v>
      </c>
      <c r="E254" s="21" t="s">
        <v>512</v>
      </c>
      <c r="F254" s="22" t="s">
        <v>666</v>
      </c>
      <c r="G254" s="4" t="s">
        <v>366</v>
      </c>
      <c r="H254" s="6">
        <v>470715.46</v>
      </c>
      <c r="I254" s="6">
        <f t="shared" si="314"/>
        <v>1289.6313972602741</v>
      </c>
      <c r="J254" s="6">
        <v>533004</v>
      </c>
      <c r="K254" s="6">
        <v>741644.86</v>
      </c>
      <c r="L254" s="6">
        <f t="shared" si="315"/>
        <v>2026.3520765027322</v>
      </c>
      <c r="M254" s="6">
        <v>421008</v>
      </c>
      <c r="N254" s="6">
        <v>649699.18999999994</v>
      </c>
      <c r="O254" s="6">
        <f t="shared" si="316"/>
        <v>1779.9977808219176</v>
      </c>
      <c r="P254" s="6">
        <v>337000</v>
      </c>
      <c r="Q254" s="6">
        <v>263961.84999999998</v>
      </c>
      <c r="R254" s="6">
        <f t="shared" si="317"/>
        <v>1458.352762430939</v>
      </c>
      <c r="S254" s="6">
        <v>278000</v>
      </c>
      <c r="T254" s="6">
        <f t="shared" si="239"/>
        <v>278000</v>
      </c>
      <c r="U254" s="6">
        <f t="shared" si="240"/>
        <v>761.64383561643831</v>
      </c>
      <c r="V254" s="6">
        <v>225000</v>
      </c>
      <c r="W254" s="6">
        <f t="shared" si="241"/>
        <v>225000</v>
      </c>
      <c r="X254" s="6">
        <f t="shared" si="242"/>
        <v>616.43835616438355</v>
      </c>
      <c r="Y254" s="6">
        <v>189000</v>
      </c>
      <c r="Z254" s="6">
        <f t="shared" si="243"/>
        <v>189000</v>
      </c>
      <c r="AA254" s="6">
        <f t="shared" si="244"/>
        <v>517.80821917808214</v>
      </c>
      <c r="AB254" s="6">
        <v>158000</v>
      </c>
      <c r="AC254" s="6">
        <f t="shared" si="245"/>
        <v>158000</v>
      </c>
      <c r="AD254" s="6">
        <f t="shared" si="246"/>
        <v>432.8767123287671</v>
      </c>
      <c r="AE254" s="6">
        <v>100000</v>
      </c>
      <c r="AF254" s="6">
        <f t="shared" si="247"/>
        <v>100000</v>
      </c>
      <c r="AG254" s="6">
        <f t="shared" si="248"/>
        <v>273.97260273972603</v>
      </c>
      <c r="AH254" s="6">
        <v>0</v>
      </c>
      <c r="AI254" s="6">
        <f t="shared" si="249"/>
        <v>0</v>
      </c>
      <c r="AJ254" s="6">
        <f t="shared" si="250"/>
        <v>0</v>
      </c>
      <c r="AK254" s="6">
        <v>0</v>
      </c>
      <c r="AL254" s="6">
        <f t="shared" si="251"/>
        <v>0</v>
      </c>
      <c r="AM254" s="6">
        <f t="shared" si="252"/>
        <v>0</v>
      </c>
      <c r="AN254" s="6">
        <v>0</v>
      </c>
      <c r="AO254" s="6">
        <f t="shared" si="253"/>
        <v>0</v>
      </c>
      <c r="AP254" s="6">
        <f t="shared" si="254"/>
        <v>0</v>
      </c>
      <c r="AQ254" s="6">
        <v>0</v>
      </c>
      <c r="AR254" s="6">
        <f t="shared" si="255"/>
        <v>0</v>
      </c>
      <c r="AS254" s="6">
        <f t="shared" si="256"/>
        <v>0</v>
      </c>
      <c r="AT254" s="6">
        <v>0</v>
      </c>
      <c r="AU254" s="6">
        <f t="shared" si="257"/>
        <v>0</v>
      </c>
      <c r="AV254" s="6">
        <f t="shared" si="258"/>
        <v>0</v>
      </c>
      <c r="AW254" s="6">
        <v>0</v>
      </c>
      <c r="AX254" s="6">
        <f t="shared" si="259"/>
        <v>0</v>
      </c>
      <c r="AY254" s="6">
        <f t="shared" si="260"/>
        <v>0</v>
      </c>
      <c r="AZ254" s="6">
        <v>0</v>
      </c>
      <c r="BA254" s="6">
        <f t="shared" si="261"/>
        <v>0</v>
      </c>
      <c r="BB254" s="6">
        <f t="shared" si="262"/>
        <v>0</v>
      </c>
      <c r="BC254" s="6">
        <v>0</v>
      </c>
      <c r="BD254" s="6">
        <f t="shared" si="263"/>
        <v>0</v>
      </c>
      <c r="BE254" s="6">
        <f t="shared" si="264"/>
        <v>0</v>
      </c>
      <c r="BF254" s="6">
        <v>0</v>
      </c>
      <c r="BG254" s="6">
        <f t="shared" si="265"/>
        <v>0</v>
      </c>
      <c r="BH254" s="6">
        <f t="shared" si="266"/>
        <v>0</v>
      </c>
      <c r="BI254" s="6">
        <v>0</v>
      </c>
      <c r="BJ254" s="6">
        <f t="shared" si="267"/>
        <v>0</v>
      </c>
      <c r="BK254" s="6">
        <f t="shared" si="268"/>
        <v>0</v>
      </c>
      <c r="BL254" s="6">
        <v>0</v>
      </c>
      <c r="BM254" s="6">
        <f t="shared" si="269"/>
        <v>0</v>
      </c>
      <c r="BN254" s="6">
        <f t="shared" si="270"/>
        <v>0</v>
      </c>
      <c r="BO254" s="6">
        <v>0</v>
      </c>
      <c r="BP254" s="6">
        <f t="shared" si="271"/>
        <v>0</v>
      </c>
      <c r="BQ254" s="6">
        <f t="shared" si="272"/>
        <v>0</v>
      </c>
      <c r="BR254" s="6">
        <v>0</v>
      </c>
      <c r="BS254" s="6">
        <f t="shared" si="273"/>
        <v>0</v>
      </c>
      <c r="BT254" s="6">
        <f t="shared" si="274"/>
        <v>0</v>
      </c>
      <c r="BU254" s="6">
        <v>0</v>
      </c>
      <c r="BV254" s="6">
        <f t="shared" si="275"/>
        <v>0</v>
      </c>
      <c r="BW254" s="6">
        <f t="shared" si="276"/>
        <v>0</v>
      </c>
      <c r="BX254" s="6">
        <v>0</v>
      </c>
      <c r="BY254" s="6">
        <f t="shared" si="277"/>
        <v>0</v>
      </c>
      <c r="BZ254" s="6">
        <f t="shared" si="278"/>
        <v>0</v>
      </c>
      <c r="CA254" s="6">
        <v>0</v>
      </c>
      <c r="CB254" s="6">
        <f t="shared" si="279"/>
        <v>0</v>
      </c>
      <c r="CC254" s="6">
        <f t="shared" si="280"/>
        <v>0</v>
      </c>
      <c r="CD254" s="6">
        <v>0</v>
      </c>
      <c r="CE254" s="6">
        <f t="shared" si="281"/>
        <v>0</v>
      </c>
      <c r="CF254" s="6">
        <f t="shared" si="282"/>
        <v>0</v>
      </c>
      <c r="CG254" s="6">
        <v>0</v>
      </c>
      <c r="CH254" s="6">
        <f t="shared" si="283"/>
        <v>0</v>
      </c>
      <c r="CI254" s="6">
        <f t="shared" si="284"/>
        <v>0</v>
      </c>
      <c r="CJ254" s="6">
        <v>0</v>
      </c>
      <c r="CK254" s="6">
        <f t="shared" si="285"/>
        <v>0</v>
      </c>
      <c r="CL254" s="6">
        <f t="shared" si="286"/>
        <v>0</v>
      </c>
      <c r="CM254" s="6">
        <v>0</v>
      </c>
      <c r="CN254" s="6">
        <f t="shared" si="287"/>
        <v>0</v>
      </c>
      <c r="CO254" s="6">
        <f t="shared" si="288"/>
        <v>0</v>
      </c>
      <c r="CP254" s="6">
        <v>0</v>
      </c>
      <c r="CQ254" s="6">
        <f t="shared" si="289"/>
        <v>0</v>
      </c>
      <c r="CR254" s="6">
        <f t="shared" si="290"/>
        <v>0</v>
      </c>
      <c r="CS254" s="6">
        <v>0</v>
      </c>
      <c r="CT254" s="6">
        <f t="shared" si="291"/>
        <v>0</v>
      </c>
      <c r="CU254" s="6">
        <f t="shared" si="292"/>
        <v>0</v>
      </c>
      <c r="CV254" s="6">
        <v>0</v>
      </c>
      <c r="CW254" s="6">
        <f t="shared" si="293"/>
        <v>0</v>
      </c>
      <c r="CX254" s="6">
        <f t="shared" si="294"/>
        <v>0</v>
      </c>
      <c r="CY254" s="6">
        <v>0</v>
      </c>
      <c r="CZ254" s="6">
        <f t="shared" si="295"/>
        <v>0</v>
      </c>
      <c r="DA254" s="6">
        <f t="shared" si="296"/>
        <v>0</v>
      </c>
      <c r="DB254" s="6">
        <v>0</v>
      </c>
      <c r="DC254" s="6">
        <f t="shared" si="297"/>
        <v>0</v>
      </c>
      <c r="DD254" s="6">
        <f t="shared" si="298"/>
        <v>0</v>
      </c>
      <c r="DE254" s="6">
        <v>0</v>
      </c>
      <c r="DF254" s="6">
        <f t="shared" si="299"/>
        <v>0</v>
      </c>
      <c r="DG254" s="6">
        <f t="shared" si="300"/>
        <v>0</v>
      </c>
      <c r="DH254" s="6">
        <v>0</v>
      </c>
      <c r="DI254" s="6">
        <f t="shared" si="301"/>
        <v>0</v>
      </c>
      <c r="DJ254" s="6">
        <f t="shared" si="302"/>
        <v>0</v>
      </c>
      <c r="DK254" s="6">
        <v>0</v>
      </c>
      <c r="DL254" s="6">
        <f t="shared" si="303"/>
        <v>0</v>
      </c>
      <c r="DM254" s="6">
        <f t="shared" si="304"/>
        <v>0</v>
      </c>
      <c r="DN254" s="6">
        <v>0</v>
      </c>
      <c r="DO254" s="6">
        <f t="shared" si="305"/>
        <v>0</v>
      </c>
      <c r="DP254" s="6">
        <f t="shared" si="306"/>
        <v>0</v>
      </c>
    </row>
    <row r="255" spans="1:120" x14ac:dyDescent="0.2">
      <c r="A255" s="21">
        <v>50</v>
      </c>
      <c r="B255" s="21" t="s">
        <v>675</v>
      </c>
      <c r="C255" s="21">
        <v>50568</v>
      </c>
      <c r="D255" s="21" t="s">
        <v>700</v>
      </c>
      <c r="E255" s="21" t="s">
        <v>699</v>
      </c>
      <c r="F255" s="22" t="s">
        <v>659</v>
      </c>
      <c r="G255" s="4" t="s">
        <v>367</v>
      </c>
      <c r="H255" s="6">
        <v>25977.79</v>
      </c>
      <c r="I255" s="6">
        <f t="shared" si="314"/>
        <v>71.17202739726028</v>
      </c>
      <c r="J255" s="6">
        <v>24077.555499999999</v>
      </c>
      <c r="K255" s="6">
        <v>25218.12</v>
      </c>
      <c r="L255" s="6">
        <f t="shared" si="315"/>
        <v>68.901967213114744</v>
      </c>
      <c r="M255" s="6">
        <v>21205.043900000001</v>
      </c>
      <c r="N255" s="6">
        <v>23967.29</v>
      </c>
      <c r="O255" s="6">
        <f t="shared" si="316"/>
        <v>65.66380821917808</v>
      </c>
      <c r="P255" s="6">
        <v>18758.2042</v>
      </c>
      <c r="Q255" s="6">
        <v>7907.54</v>
      </c>
      <c r="R255" s="6">
        <f t="shared" si="317"/>
        <v>43.688066298342541</v>
      </c>
      <c r="S255" s="6">
        <v>16618.3688</v>
      </c>
      <c r="T255" s="6">
        <f t="shared" si="239"/>
        <v>16618.3688</v>
      </c>
      <c r="U255" s="6">
        <f t="shared" si="240"/>
        <v>45.529777534246577</v>
      </c>
      <c r="V255" s="6">
        <v>14782.031499999999</v>
      </c>
      <c r="W255" s="6">
        <f t="shared" si="241"/>
        <v>14782.031499999999</v>
      </c>
      <c r="X255" s="6">
        <f t="shared" si="242"/>
        <v>40.498716438356162</v>
      </c>
      <c r="Y255" s="6">
        <v>3373.5045</v>
      </c>
      <c r="Z255" s="6">
        <f t="shared" si="243"/>
        <v>3373.5045</v>
      </c>
      <c r="AA255" s="6">
        <f t="shared" si="244"/>
        <v>9.2424780821917807</v>
      </c>
      <c r="AB255" s="6">
        <v>0</v>
      </c>
      <c r="AC255" s="6">
        <f t="shared" si="245"/>
        <v>0</v>
      </c>
      <c r="AD255" s="6">
        <f t="shared" si="246"/>
        <v>0</v>
      </c>
      <c r="AE255" s="6">
        <v>0</v>
      </c>
      <c r="AF255" s="6">
        <f t="shared" si="247"/>
        <v>0</v>
      </c>
      <c r="AG255" s="6">
        <f t="shared" si="248"/>
        <v>0</v>
      </c>
      <c r="AH255" s="6">
        <v>0</v>
      </c>
      <c r="AI255" s="6">
        <f t="shared" si="249"/>
        <v>0</v>
      </c>
      <c r="AJ255" s="6">
        <f t="shared" si="250"/>
        <v>0</v>
      </c>
      <c r="AK255" s="6">
        <v>0</v>
      </c>
      <c r="AL255" s="6">
        <f t="shared" si="251"/>
        <v>0</v>
      </c>
      <c r="AM255" s="6">
        <f t="shared" si="252"/>
        <v>0</v>
      </c>
      <c r="AN255" s="6">
        <v>0</v>
      </c>
      <c r="AO255" s="6">
        <f t="shared" si="253"/>
        <v>0</v>
      </c>
      <c r="AP255" s="6">
        <f t="shared" si="254"/>
        <v>0</v>
      </c>
      <c r="AQ255" s="6">
        <v>0</v>
      </c>
      <c r="AR255" s="6">
        <f t="shared" si="255"/>
        <v>0</v>
      </c>
      <c r="AS255" s="6">
        <f t="shared" si="256"/>
        <v>0</v>
      </c>
      <c r="AT255" s="6">
        <v>0</v>
      </c>
      <c r="AU255" s="6">
        <f t="shared" si="257"/>
        <v>0</v>
      </c>
      <c r="AV255" s="6">
        <f t="shared" si="258"/>
        <v>0</v>
      </c>
      <c r="AW255" s="6">
        <v>0</v>
      </c>
      <c r="AX255" s="6">
        <f t="shared" si="259"/>
        <v>0</v>
      </c>
      <c r="AY255" s="6">
        <f t="shared" si="260"/>
        <v>0</v>
      </c>
      <c r="AZ255" s="6">
        <v>0</v>
      </c>
      <c r="BA255" s="6">
        <f t="shared" si="261"/>
        <v>0</v>
      </c>
      <c r="BB255" s="6">
        <f t="shared" si="262"/>
        <v>0</v>
      </c>
      <c r="BC255" s="6">
        <v>0</v>
      </c>
      <c r="BD255" s="6">
        <f t="shared" si="263"/>
        <v>0</v>
      </c>
      <c r="BE255" s="6">
        <f t="shared" si="264"/>
        <v>0</v>
      </c>
      <c r="BF255" s="6">
        <v>0</v>
      </c>
      <c r="BG255" s="6">
        <f t="shared" si="265"/>
        <v>0</v>
      </c>
      <c r="BH255" s="6">
        <f t="shared" si="266"/>
        <v>0</v>
      </c>
      <c r="BI255" s="6">
        <v>0</v>
      </c>
      <c r="BJ255" s="6">
        <f t="shared" si="267"/>
        <v>0</v>
      </c>
      <c r="BK255" s="6">
        <f t="shared" si="268"/>
        <v>0</v>
      </c>
      <c r="BL255" s="6">
        <v>0</v>
      </c>
      <c r="BM255" s="6">
        <f t="shared" si="269"/>
        <v>0</v>
      </c>
      <c r="BN255" s="6">
        <f t="shared" si="270"/>
        <v>0</v>
      </c>
      <c r="BO255" s="6">
        <v>0</v>
      </c>
      <c r="BP255" s="6">
        <f t="shared" si="271"/>
        <v>0</v>
      </c>
      <c r="BQ255" s="6">
        <f t="shared" si="272"/>
        <v>0</v>
      </c>
      <c r="BR255" s="6">
        <v>0</v>
      </c>
      <c r="BS255" s="6">
        <f t="shared" si="273"/>
        <v>0</v>
      </c>
      <c r="BT255" s="6">
        <f t="shared" si="274"/>
        <v>0</v>
      </c>
      <c r="BU255" s="6">
        <v>0</v>
      </c>
      <c r="BV255" s="6">
        <f t="shared" si="275"/>
        <v>0</v>
      </c>
      <c r="BW255" s="6">
        <f t="shared" si="276"/>
        <v>0</v>
      </c>
      <c r="BX255" s="6">
        <v>0</v>
      </c>
      <c r="BY255" s="6">
        <f t="shared" si="277"/>
        <v>0</v>
      </c>
      <c r="BZ255" s="6">
        <f t="shared" si="278"/>
        <v>0</v>
      </c>
      <c r="CA255" s="6">
        <v>0</v>
      </c>
      <c r="CB255" s="6">
        <f t="shared" si="279"/>
        <v>0</v>
      </c>
      <c r="CC255" s="6">
        <f t="shared" si="280"/>
        <v>0</v>
      </c>
      <c r="CD255" s="6">
        <v>0</v>
      </c>
      <c r="CE255" s="6">
        <f t="shared" si="281"/>
        <v>0</v>
      </c>
      <c r="CF255" s="6">
        <f t="shared" si="282"/>
        <v>0</v>
      </c>
      <c r="CG255" s="6">
        <v>0</v>
      </c>
      <c r="CH255" s="6">
        <f t="shared" si="283"/>
        <v>0</v>
      </c>
      <c r="CI255" s="6">
        <f t="shared" si="284"/>
        <v>0</v>
      </c>
      <c r="CJ255" s="6">
        <v>0</v>
      </c>
      <c r="CK255" s="6">
        <f t="shared" si="285"/>
        <v>0</v>
      </c>
      <c r="CL255" s="6">
        <f t="shared" si="286"/>
        <v>0</v>
      </c>
      <c r="CM255" s="6">
        <v>0</v>
      </c>
      <c r="CN255" s="6">
        <f t="shared" si="287"/>
        <v>0</v>
      </c>
      <c r="CO255" s="6">
        <f t="shared" si="288"/>
        <v>0</v>
      </c>
      <c r="CP255" s="6">
        <v>0</v>
      </c>
      <c r="CQ255" s="6">
        <f t="shared" si="289"/>
        <v>0</v>
      </c>
      <c r="CR255" s="6">
        <f t="shared" si="290"/>
        <v>0</v>
      </c>
      <c r="CS255" s="6">
        <v>0</v>
      </c>
      <c r="CT255" s="6">
        <f t="shared" si="291"/>
        <v>0</v>
      </c>
      <c r="CU255" s="6">
        <f t="shared" si="292"/>
        <v>0</v>
      </c>
      <c r="CV255" s="6">
        <v>0</v>
      </c>
      <c r="CW255" s="6">
        <f t="shared" si="293"/>
        <v>0</v>
      </c>
      <c r="CX255" s="6">
        <f t="shared" si="294"/>
        <v>0</v>
      </c>
      <c r="CY255" s="6">
        <v>0</v>
      </c>
      <c r="CZ255" s="6">
        <f t="shared" si="295"/>
        <v>0</v>
      </c>
      <c r="DA255" s="6">
        <f t="shared" si="296"/>
        <v>0</v>
      </c>
      <c r="DB255" s="6">
        <v>0</v>
      </c>
      <c r="DC255" s="6">
        <f t="shared" si="297"/>
        <v>0</v>
      </c>
      <c r="DD255" s="6">
        <f t="shared" si="298"/>
        <v>0</v>
      </c>
      <c r="DE255" s="6">
        <v>0</v>
      </c>
      <c r="DF255" s="6">
        <f t="shared" si="299"/>
        <v>0</v>
      </c>
      <c r="DG255" s="6">
        <f t="shared" si="300"/>
        <v>0</v>
      </c>
      <c r="DH255" s="6">
        <v>0</v>
      </c>
      <c r="DI255" s="6">
        <f t="shared" si="301"/>
        <v>0</v>
      </c>
      <c r="DJ255" s="6">
        <f t="shared" si="302"/>
        <v>0</v>
      </c>
      <c r="DK255" s="6">
        <v>0</v>
      </c>
      <c r="DL255" s="6">
        <f t="shared" si="303"/>
        <v>0</v>
      </c>
      <c r="DM255" s="6">
        <f t="shared" si="304"/>
        <v>0</v>
      </c>
      <c r="DN255" s="6">
        <v>0</v>
      </c>
      <c r="DO255" s="6">
        <f t="shared" si="305"/>
        <v>0</v>
      </c>
      <c r="DP255" s="6">
        <f t="shared" si="306"/>
        <v>0</v>
      </c>
    </row>
    <row r="256" spans="1:120" x14ac:dyDescent="0.2">
      <c r="A256" s="21">
        <v>85</v>
      </c>
      <c r="B256" s="21" t="s">
        <v>612</v>
      </c>
      <c r="C256" s="21">
        <v>85010</v>
      </c>
      <c r="D256" s="21" t="s">
        <v>716</v>
      </c>
      <c r="E256" s="21" t="s">
        <v>522</v>
      </c>
      <c r="F256" s="22" t="s">
        <v>662</v>
      </c>
      <c r="G256" s="4" t="s">
        <v>368</v>
      </c>
      <c r="H256" s="6">
        <v>97352.62</v>
      </c>
      <c r="I256" s="6">
        <f t="shared" si="314"/>
        <v>266.71950684931505</v>
      </c>
      <c r="J256" s="6">
        <v>49116.634299999998</v>
      </c>
      <c r="K256" s="6">
        <v>69210.95</v>
      </c>
      <c r="L256" s="6">
        <f t="shared" si="315"/>
        <v>189.100956284153</v>
      </c>
      <c r="M256" s="6">
        <v>22352.698199999999</v>
      </c>
      <c r="N256" s="6">
        <v>70492.009999999995</v>
      </c>
      <c r="O256" s="6">
        <f t="shared" si="316"/>
        <v>193.12879452054793</v>
      </c>
      <c r="P256" s="6">
        <v>9890.4974999999995</v>
      </c>
      <c r="Q256" s="6">
        <v>31410.68</v>
      </c>
      <c r="R256" s="6">
        <f t="shared" si="317"/>
        <v>173.53966850828729</v>
      </c>
      <c r="S256" s="6">
        <v>0</v>
      </c>
      <c r="T256" s="6">
        <f t="shared" si="239"/>
        <v>0</v>
      </c>
      <c r="U256" s="6">
        <f t="shared" si="240"/>
        <v>0</v>
      </c>
      <c r="V256" s="6">
        <v>0</v>
      </c>
      <c r="W256" s="6">
        <f t="shared" si="241"/>
        <v>0</v>
      </c>
      <c r="X256" s="6">
        <f t="shared" si="242"/>
        <v>0</v>
      </c>
      <c r="Y256" s="6">
        <v>0</v>
      </c>
      <c r="Z256" s="6">
        <f t="shared" si="243"/>
        <v>0</v>
      </c>
      <c r="AA256" s="6">
        <f t="shared" si="244"/>
        <v>0</v>
      </c>
      <c r="AB256" s="6">
        <v>0</v>
      </c>
      <c r="AC256" s="6">
        <f t="shared" si="245"/>
        <v>0</v>
      </c>
      <c r="AD256" s="6">
        <f t="shared" si="246"/>
        <v>0</v>
      </c>
      <c r="AE256" s="6">
        <v>0</v>
      </c>
      <c r="AF256" s="6">
        <f t="shared" si="247"/>
        <v>0</v>
      </c>
      <c r="AG256" s="6">
        <f t="shared" si="248"/>
        <v>0</v>
      </c>
      <c r="AH256" s="6">
        <v>0</v>
      </c>
      <c r="AI256" s="6">
        <f t="shared" si="249"/>
        <v>0</v>
      </c>
      <c r="AJ256" s="6">
        <f t="shared" si="250"/>
        <v>0</v>
      </c>
      <c r="AK256" s="6">
        <v>0</v>
      </c>
      <c r="AL256" s="6">
        <f t="shared" si="251"/>
        <v>0</v>
      </c>
      <c r="AM256" s="6">
        <f t="shared" si="252"/>
        <v>0</v>
      </c>
      <c r="AN256" s="6">
        <v>0</v>
      </c>
      <c r="AO256" s="6">
        <f t="shared" si="253"/>
        <v>0</v>
      </c>
      <c r="AP256" s="6">
        <f t="shared" si="254"/>
        <v>0</v>
      </c>
      <c r="AQ256" s="6">
        <v>0</v>
      </c>
      <c r="AR256" s="6">
        <f t="shared" si="255"/>
        <v>0</v>
      </c>
      <c r="AS256" s="6">
        <f t="shared" si="256"/>
        <v>0</v>
      </c>
      <c r="AT256" s="6">
        <v>0</v>
      </c>
      <c r="AU256" s="6">
        <f t="shared" si="257"/>
        <v>0</v>
      </c>
      <c r="AV256" s="6">
        <f t="shared" si="258"/>
        <v>0</v>
      </c>
      <c r="AW256" s="6">
        <v>0</v>
      </c>
      <c r="AX256" s="6">
        <f t="shared" si="259"/>
        <v>0</v>
      </c>
      <c r="AY256" s="6">
        <f t="shared" si="260"/>
        <v>0</v>
      </c>
      <c r="AZ256" s="6">
        <v>0</v>
      </c>
      <c r="BA256" s="6">
        <f t="shared" si="261"/>
        <v>0</v>
      </c>
      <c r="BB256" s="6">
        <f t="shared" si="262"/>
        <v>0</v>
      </c>
      <c r="BC256" s="6">
        <v>0</v>
      </c>
      <c r="BD256" s="6">
        <f t="shared" si="263"/>
        <v>0</v>
      </c>
      <c r="BE256" s="6">
        <f t="shared" si="264"/>
        <v>0</v>
      </c>
      <c r="BF256" s="6">
        <v>0</v>
      </c>
      <c r="BG256" s="6">
        <f t="shared" si="265"/>
        <v>0</v>
      </c>
      <c r="BH256" s="6">
        <f t="shared" si="266"/>
        <v>0</v>
      </c>
      <c r="BI256" s="6">
        <v>0</v>
      </c>
      <c r="BJ256" s="6">
        <f t="shared" si="267"/>
        <v>0</v>
      </c>
      <c r="BK256" s="6">
        <f t="shared" si="268"/>
        <v>0</v>
      </c>
      <c r="BL256" s="6">
        <v>0</v>
      </c>
      <c r="BM256" s="6">
        <f t="shared" si="269"/>
        <v>0</v>
      </c>
      <c r="BN256" s="6">
        <f t="shared" si="270"/>
        <v>0</v>
      </c>
      <c r="BO256" s="6">
        <v>0</v>
      </c>
      <c r="BP256" s="6">
        <f t="shared" si="271"/>
        <v>0</v>
      </c>
      <c r="BQ256" s="6">
        <f t="shared" si="272"/>
        <v>0</v>
      </c>
      <c r="BR256" s="6">
        <v>0</v>
      </c>
      <c r="BS256" s="6">
        <f t="shared" si="273"/>
        <v>0</v>
      </c>
      <c r="BT256" s="6">
        <f t="shared" si="274"/>
        <v>0</v>
      </c>
      <c r="BU256" s="6">
        <v>0</v>
      </c>
      <c r="BV256" s="6">
        <f t="shared" si="275"/>
        <v>0</v>
      </c>
      <c r="BW256" s="6">
        <f t="shared" si="276"/>
        <v>0</v>
      </c>
      <c r="BX256" s="6">
        <v>0</v>
      </c>
      <c r="BY256" s="6">
        <f t="shared" si="277"/>
        <v>0</v>
      </c>
      <c r="BZ256" s="6">
        <f t="shared" si="278"/>
        <v>0</v>
      </c>
      <c r="CA256" s="6">
        <v>0</v>
      </c>
      <c r="CB256" s="6">
        <f t="shared" si="279"/>
        <v>0</v>
      </c>
      <c r="CC256" s="6">
        <f t="shared" si="280"/>
        <v>0</v>
      </c>
      <c r="CD256" s="6">
        <v>0</v>
      </c>
      <c r="CE256" s="6">
        <f t="shared" si="281"/>
        <v>0</v>
      </c>
      <c r="CF256" s="6">
        <f t="shared" si="282"/>
        <v>0</v>
      </c>
      <c r="CG256" s="6">
        <v>0</v>
      </c>
      <c r="CH256" s="6">
        <f t="shared" si="283"/>
        <v>0</v>
      </c>
      <c r="CI256" s="6">
        <f t="shared" si="284"/>
        <v>0</v>
      </c>
      <c r="CJ256" s="6">
        <v>0</v>
      </c>
      <c r="CK256" s="6">
        <f t="shared" si="285"/>
        <v>0</v>
      </c>
      <c r="CL256" s="6">
        <f t="shared" si="286"/>
        <v>0</v>
      </c>
      <c r="CM256" s="6">
        <v>0</v>
      </c>
      <c r="CN256" s="6">
        <f t="shared" si="287"/>
        <v>0</v>
      </c>
      <c r="CO256" s="6">
        <f t="shared" si="288"/>
        <v>0</v>
      </c>
      <c r="CP256" s="6">
        <v>0</v>
      </c>
      <c r="CQ256" s="6">
        <f t="shared" si="289"/>
        <v>0</v>
      </c>
      <c r="CR256" s="6">
        <f t="shared" si="290"/>
        <v>0</v>
      </c>
      <c r="CS256" s="6">
        <v>0</v>
      </c>
      <c r="CT256" s="6">
        <f t="shared" si="291"/>
        <v>0</v>
      </c>
      <c r="CU256" s="6">
        <f t="shared" si="292"/>
        <v>0</v>
      </c>
      <c r="CV256" s="6">
        <v>0</v>
      </c>
      <c r="CW256" s="6">
        <f t="shared" si="293"/>
        <v>0</v>
      </c>
      <c r="CX256" s="6">
        <f t="shared" si="294"/>
        <v>0</v>
      </c>
      <c r="CY256" s="6">
        <v>0</v>
      </c>
      <c r="CZ256" s="6">
        <f t="shared" si="295"/>
        <v>0</v>
      </c>
      <c r="DA256" s="6">
        <f t="shared" si="296"/>
        <v>0</v>
      </c>
      <c r="DB256" s="6">
        <v>0</v>
      </c>
      <c r="DC256" s="6">
        <f t="shared" si="297"/>
        <v>0</v>
      </c>
      <c r="DD256" s="6">
        <f t="shared" si="298"/>
        <v>0</v>
      </c>
      <c r="DE256" s="6">
        <v>0</v>
      </c>
      <c r="DF256" s="6">
        <f t="shared" si="299"/>
        <v>0</v>
      </c>
      <c r="DG256" s="6">
        <f t="shared" si="300"/>
        <v>0</v>
      </c>
      <c r="DH256" s="6">
        <v>0</v>
      </c>
      <c r="DI256" s="6">
        <f t="shared" si="301"/>
        <v>0</v>
      </c>
      <c r="DJ256" s="6">
        <f t="shared" si="302"/>
        <v>0</v>
      </c>
      <c r="DK256" s="6">
        <v>0</v>
      </c>
      <c r="DL256" s="6">
        <f t="shared" si="303"/>
        <v>0</v>
      </c>
      <c r="DM256" s="6">
        <f t="shared" si="304"/>
        <v>0</v>
      </c>
      <c r="DN256" s="6">
        <v>0</v>
      </c>
      <c r="DO256" s="6">
        <f t="shared" si="305"/>
        <v>0</v>
      </c>
      <c r="DP256" s="6">
        <f t="shared" si="306"/>
        <v>0</v>
      </c>
    </row>
    <row r="257" spans="1:120" x14ac:dyDescent="0.2">
      <c r="A257" s="21">
        <v>81</v>
      </c>
      <c r="B257" s="21" t="s">
        <v>132</v>
      </c>
      <c r="C257" s="21">
        <v>81065</v>
      </c>
      <c r="D257" s="21" t="s">
        <v>682</v>
      </c>
      <c r="E257" s="21" t="s">
        <v>683</v>
      </c>
      <c r="F257" s="22" t="s">
        <v>662</v>
      </c>
      <c r="G257" s="4" t="s">
        <v>369</v>
      </c>
      <c r="H257" s="6">
        <v>509225.36</v>
      </c>
      <c r="I257" s="6">
        <f t="shared" si="314"/>
        <v>1395.1379726027396</v>
      </c>
      <c r="J257" s="6">
        <v>573604.93669999996</v>
      </c>
      <c r="K257" s="6">
        <v>635970.37</v>
      </c>
      <c r="L257" s="6">
        <f t="shared" si="315"/>
        <v>1737.623961748634</v>
      </c>
      <c r="M257" s="6">
        <v>405485.85519999999</v>
      </c>
      <c r="N257" s="6">
        <v>426568.83</v>
      </c>
      <c r="O257" s="6">
        <f t="shared" si="316"/>
        <v>1168.6817260273974</v>
      </c>
      <c r="P257" s="6">
        <v>297992</v>
      </c>
      <c r="Q257" s="6">
        <v>245074.91</v>
      </c>
      <c r="R257" s="6">
        <f t="shared" si="317"/>
        <v>1354.0050276243094</v>
      </c>
      <c r="S257" s="6">
        <v>216376</v>
      </c>
      <c r="T257" s="6">
        <f t="shared" si="239"/>
        <v>216376</v>
      </c>
      <c r="U257" s="6">
        <f t="shared" si="240"/>
        <v>592.81095890410961</v>
      </c>
      <c r="V257" s="6">
        <v>143687</v>
      </c>
      <c r="W257" s="6">
        <f t="shared" si="241"/>
        <v>143687</v>
      </c>
      <c r="X257" s="6">
        <f t="shared" si="242"/>
        <v>393.66301369863015</v>
      </c>
      <c r="Y257" s="6">
        <v>101071</v>
      </c>
      <c r="Z257" s="6">
        <f t="shared" si="243"/>
        <v>101071</v>
      </c>
      <c r="AA257" s="6">
        <f t="shared" si="244"/>
        <v>276.90684931506848</v>
      </c>
      <c r="AB257" s="6">
        <v>71368</v>
      </c>
      <c r="AC257" s="6">
        <f t="shared" si="245"/>
        <v>71368</v>
      </c>
      <c r="AD257" s="6">
        <f t="shared" si="246"/>
        <v>195.52876712328768</v>
      </c>
      <c r="AE257" s="6">
        <v>51262</v>
      </c>
      <c r="AF257" s="6">
        <f t="shared" si="247"/>
        <v>51262</v>
      </c>
      <c r="AG257" s="6">
        <f t="shared" si="248"/>
        <v>140.44383561643835</v>
      </c>
      <c r="AH257" s="6">
        <v>40764</v>
      </c>
      <c r="AI257" s="6">
        <f t="shared" si="249"/>
        <v>40764</v>
      </c>
      <c r="AJ257" s="6">
        <f t="shared" si="250"/>
        <v>111.68219178082192</v>
      </c>
      <c r="AK257" s="6">
        <v>0</v>
      </c>
      <c r="AL257" s="6">
        <f t="shared" si="251"/>
        <v>0</v>
      </c>
      <c r="AM257" s="6">
        <f t="shared" si="252"/>
        <v>0</v>
      </c>
      <c r="AN257" s="6">
        <v>0</v>
      </c>
      <c r="AO257" s="6">
        <f t="shared" si="253"/>
        <v>0</v>
      </c>
      <c r="AP257" s="6">
        <f t="shared" si="254"/>
        <v>0</v>
      </c>
      <c r="AQ257" s="6">
        <v>0</v>
      </c>
      <c r="AR257" s="6">
        <f t="shared" si="255"/>
        <v>0</v>
      </c>
      <c r="AS257" s="6">
        <f t="shared" si="256"/>
        <v>0</v>
      </c>
      <c r="AT257" s="6">
        <v>0</v>
      </c>
      <c r="AU257" s="6">
        <f t="shared" si="257"/>
        <v>0</v>
      </c>
      <c r="AV257" s="6">
        <f t="shared" si="258"/>
        <v>0</v>
      </c>
      <c r="AW257" s="6">
        <v>0</v>
      </c>
      <c r="AX257" s="6">
        <f t="shared" si="259"/>
        <v>0</v>
      </c>
      <c r="AY257" s="6">
        <f t="shared" si="260"/>
        <v>0</v>
      </c>
      <c r="AZ257" s="6">
        <v>0</v>
      </c>
      <c r="BA257" s="6">
        <f t="shared" si="261"/>
        <v>0</v>
      </c>
      <c r="BB257" s="6">
        <f t="shared" si="262"/>
        <v>0</v>
      </c>
      <c r="BC257" s="6">
        <v>0</v>
      </c>
      <c r="BD257" s="6">
        <f t="shared" si="263"/>
        <v>0</v>
      </c>
      <c r="BE257" s="6">
        <f t="shared" si="264"/>
        <v>0</v>
      </c>
      <c r="BF257" s="6">
        <v>0</v>
      </c>
      <c r="BG257" s="6">
        <f t="shared" si="265"/>
        <v>0</v>
      </c>
      <c r="BH257" s="6">
        <f t="shared" si="266"/>
        <v>0</v>
      </c>
      <c r="BI257" s="6">
        <v>0</v>
      </c>
      <c r="BJ257" s="6">
        <f t="shared" si="267"/>
        <v>0</v>
      </c>
      <c r="BK257" s="6">
        <f t="shared" si="268"/>
        <v>0</v>
      </c>
      <c r="BL257" s="6">
        <v>0</v>
      </c>
      <c r="BM257" s="6">
        <f t="shared" si="269"/>
        <v>0</v>
      </c>
      <c r="BN257" s="6">
        <f t="shared" si="270"/>
        <v>0</v>
      </c>
      <c r="BO257" s="6">
        <v>0</v>
      </c>
      <c r="BP257" s="6">
        <f t="shared" si="271"/>
        <v>0</v>
      </c>
      <c r="BQ257" s="6">
        <f t="shared" si="272"/>
        <v>0</v>
      </c>
      <c r="BR257" s="6">
        <v>0</v>
      </c>
      <c r="BS257" s="6">
        <f t="shared" si="273"/>
        <v>0</v>
      </c>
      <c r="BT257" s="6">
        <f t="shared" si="274"/>
        <v>0</v>
      </c>
      <c r="BU257" s="6">
        <v>0</v>
      </c>
      <c r="BV257" s="6">
        <f t="shared" si="275"/>
        <v>0</v>
      </c>
      <c r="BW257" s="6">
        <f t="shared" si="276"/>
        <v>0</v>
      </c>
      <c r="BX257" s="6">
        <v>0</v>
      </c>
      <c r="BY257" s="6">
        <f t="shared" si="277"/>
        <v>0</v>
      </c>
      <c r="BZ257" s="6">
        <f t="shared" si="278"/>
        <v>0</v>
      </c>
      <c r="CA257" s="6">
        <v>0</v>
      </c>
      <c r="CB257" s="6">
        <f t="shared" si="279"/>
        <v>0</v>
      </c>
      <c r="CC257" s="6">
        <f t="shared" si="280"/>
        <v>0</v>
      </c>
      <c r="CD257" s="6">
        <v>0</v>
      </c>
      <c r="CE257" s="6">
        <f t="shared" si="281"/>
        <v>0</v>
      </c>
      <c r="CF257" s="6">
        <f t="shared" si="282"/>
        <v>0</v>
      </c>
      <c r="CG257" s="6">
        <v>0</v>
      </c>
      <c r="CH257" s="6">
        <f t="shared" si="283"/>
        <v>0</v>
      </c>
      <c r="CI257" s="6">
        <f t="shared" si="284"/>
        <v>0</v>
      </c>
      <c r="CJ257" s="6">
        <v>0</v>
      </c>
      <c r="CK257" s="6">
        <f t="shared" si="285"/>
        <v>0</v>
      </c>
      <c r="CL257" s="6">
        <f t="shared" si="286"/>
        <v>0</v>
      </c>
      <c r="CM257" s="6">
        <v>0</v>
      </c>
      <c r="CN257" s="6">
        <f t="shared" si="287"/>
        <v>0</v>
      </c>
      <c r="CO257" s="6">
        <f t="shared" si="288"/>
        <v>0</v>
      </c>
      <c r="CP257" s="6">
        <v>0</v>
      </c>
      <c r="CQ257" s="6">
        <f t="shared" si="289"/>
        <v>0</v>
      </c>
      <c r="CR257" s="6">
        <f t="shared" si="290"/>
        <v>0</v>
      </c>
      <c r="CS257" s="6">
        <v>0</v>
      </c>
      <c r="CT257" s="6">
        <f t="shared" si="291"/>
        <v>0</v>
      </c>
      <c r="CU257" s="6">
        <f t="shared" si="292"/>
        <v>0</v>
      </c>
      <c r="CV257" s="6">
        <v>0</v>
      </c>
      <c r="CW257" s="6">
        <f t="shared" si="293"/>
        <v>0</v>
      </c>
      <c r="CX257" s="6">
        <f t="shared" si="294"/>
        <v>0</v>
      </c>
      <c r="CY257" s="6">
        <v>0</v>
      </c>
      <c r="CZ257" s="6">
        <f t="shared" si="295"/>
        <v>0</v>
      </c>
      <c r="DA257" s="6">
        <f t="shared" si="296"/>
        <v>0</v>
      </c>
      <c r="DB257" s="6">
        <v>0</v>
      </c>
      <c r="DC257" s="6">
        <f t="shared" si="297"/>
        <v>0</v>
      </c>
      <c r="DD257" s="6">
        <f t="shared" si="298"/>
        <v>0</v>
      </c>
      <c r="DE257" s="6">
        <v>0</v>
      </c>
      <c r="DF257" s="6">
        <f t="shared" si="299"/>
        <v>0</v>
      </c>
      <c r="DG257" s="6">
        <f t="shared" si="300"/>
        <v>0</v>
      </c>
      <c r="DH257" s="6">
        <v>0</v>
      </c>
      <c r="DI257" s="6">
        <f t="shared" si="301"/>
        <v>0</v>
      </c>
      <c r="DJ257" s="6">
        <f t="shared" si="302"/>
        <v>0</v>
      </c>
      <c r="DK257" s="6">
        <v>0</v>
      </c>
      <c r="DL257" s="6">
        <f t="shared" si="303"/>
        <v>0</v>
      </c>
      <c r="DM257" s="6">
        <f t="shared" si="304"/>
        <v>0</v>
      </c>
      <c r="DN257" s="6">
        <v>0</v>
      </c>
      <c r="DO257" s="6">
        <f t="shared" si="305"/>
        <v>0</v>
      </c>
      <c r="DP257" s="6">
        <f t="shared" si="306"/>
        <v>0</v>
      </c>
    </row>
    <row r="258" spans="1:120" x14ac:dyDescent="0.2">
      <c r="A258" s="21">
        <v>81</v>
      </c>
      <c r="B258" s="21" t="s">
        <v>132</v>
      </c>
      <c r="C258" s="21">
        <v>81065</v>
      </c>
      <c r="D258" s="21" t="s">
        <v>682</v>
      </c>
      <c r="E258" s="21" t="s">
        <v>683</v>
      </c>
      <c r="F258" s="22" t="s">
        <v>662</v>
      </c>
      <c r="G258" s="4" t="s">
        <v>370</v>
      </c>
      <c r="H258" s="6">
        <v>12039.34</v>
      </c>
      <c r="I258" s="6">
        <f t="shared" si="314"/>
        <v>32.984493150684933</v>
      </c>
      <c r="J258" s="6">
        <v>12797.3986</v>
      </c>
      <c r="K258" s="6">
        <v>8030</v>
      </c>
      <c r="L258" s="6">
        <f t="shared" si="315"/>
        <v>21.939890710382514</v>
      </c>
      <c r="M258" s="6">
        <v>11155.2057</v>
      </c>
      <c r="N258" s="6">
        <v>2405.0300000000002</v>
      </c>
      <c r="O258" s="6">
        <f t="shared" si="316"/>
        <v>6.5891232876712333</v>
      </c>
      <c r="P258" s="6">
        <v>9752</v>
      </c>
      <c r="Q258" s="6">
        <v>1198.69</v>
      </c>
      <c r="R258" s="6">
        <f t="shared" si="317"/>
        <v>6.6225966850828728</v>
      </c>
      <c r="S258" s="6">
        <v>8526</v>
      </c>
      <c r="T258" s="6">
        <f t="shared" ref="T258:T321" si="318">S258</f>
        <v>8526</v>
      </c>
      <c r="U258" s="6">
        <f t="shared" ref="U258:U321" si="319">T258/365</f>
        <v>23.358904109589041</v>
      </c>
      <c r="V258" s="6">
        <v>7472</v>
      </c>
      <c r="W258" s="6">
        <f t="shared" ref="W258:W321" si="320">V258</f>
        <v>7472</v>
      </c>
      <c r="X258" s="6">
        <f t="shared" ref="X258:X321" si="321">W258/365</f>
        <v>20.471232876712328</v>
      </c>
      <c r="Y258" s="6">
        <v>6514</v>
      </c>
      <c r="Z258" s="6">
        <f t="shared" ref="Z258:Z321" si="322">Y258</f>
        <v>6514</v>
      </c>
      <c r="AA258" s="6">
        <f t="shared" ref="AA258:AA321" si="323">Z258/365</f>
        <v>17.846575342465755</v>
      </c>
      <c r="AB258" s="6">
        <v>0</v>
      </c>
      <c r="AC258" s="6">
        <f t="shared" ref="AC258:AC321" si="324">AB258</f>
        <v>0</v>
      </c>
      <c r="AD258" s="6">
        <f t="shared" ref="AD258:AD321" si="325">AC258/365</f>
        <v>0</v>
      </c>
      <c r="AE258" s="6">
        <v>0</v>
      </c>
      <c r="AF258" s="6">
        <f t="shared" ref="AF258:AF321" si="326">AE258</f>
        <v>0</v>
      </c>
      <c r="AG258" s="6">
        <f t="shared" ref="AG258:AG321" si="327">AF258/365</f>
        <v>0</v>
      </c>
      <c r="AH258" s="6">
        <v>0</v>
      </c>
      <c r="AI258" s="6">
        <f t="shared" ref="AI258:AI321" si="328">AH258</f>
        <v>0</v>
      </c>
      <c r="AJ258" s="6">
        <f t="shared" ref="AJ258:AJ321" si="329">AI258/365</f>
        <v>0</v>
      </c>
      <c r="AK258" s="6">
        <v>0</v>
      </c>
      <c r="AL258" s="6">
        <f t="shared" ref="AL258:AL321" si="330">AK258</f>
        <v>0</v>
      </c>
      <c r="AM258" s="6">
        <f t="shared" ref="AM258:AM321" si="331">AL258/365</f>
        <v>0</v>
      </c>
      <c r="AN258" s="6">
        <v>0</v>
      </c>
      <c r="AO258" s="6">
        <f t="shared" ref="AO258:AO321" si="332">AN258</f>
        <v>0</v>
      </c>
      <c r="AP258" s="6">
        <f t="shared" ref="AP258:AP321" si="333">AO258/365</f>
        <v>0</v>
      </c>
      <c r="AQ258" s="6">
        <v>0</v>
      </c>
      <c r="AR258" s="6">
        <f t="shared" ref="AR258:AR321" si="334">AQ258</f>
        <v>0</v>
      </c>
      <c r="AS258" s="6">
        <f t="shared" ref="AS258:AS321" si="335">AR258/365</f>
        <v>0</v>
      </c>
      <c r="AT258" s="6">
        <v>0</v>
      </c>
      <c r="AU258" s="6">
        <f t="shared" ref="AU258:AU321" si="336">AT258</f>
        <v>0</v>
      </c>
      <c r="AV258" s="6">
        <f t="shared" ref="AV258:AV321" si="337">AU258/365</f>
        <v>0</v>
      </c>
      <c r="AW258" s="6">
        <v>0</v>
      </c>
      <c r="AX258" s="6">
        <f t="shared" ref="AX258:AX321" si="338">AW258</f>
        <v>0</v>
      </c>
      <c r="AY258" s="6">
        <f t="shared" ref="AY258:AY321" si="339">AX258/365</f>
        <v>0</v>
      </c>
      <c r="AZ258" s="6">
        <v>0</v>
      </c>
      <c r="BA258" s="6">
        <f t="shared" ref="BA258:BA321" si="340">AZ258</f>
        <v>0</v>
      </c>
      <c r="BB258" s="6">
        <f t="shared" ref="BB258:BB321" si="341">BA258/365</f>
        <v>0</v>
      </c>
      <c r="BC258" s="6">
        <v>0</v>
      </c>
      <c r="BD258" s="6">
        <f t="shared" ref="BD258:BD321" si="342">BC258</f>
        <v>0</v>
      </c>
      <c r="BE258" s="6">
        <f t="shared" ref="BE258:BE321" si="343">BD258/365</f>
        <v>0</v>
      </c>
      <c r="BF258" s="6">
        <v>0</v>
      </c>
      <c r="BG258" s="6">
        <f t="shared" ref="BG258:BG321" si="344">BF258</f>
        <v>0</v>
      </c>
      <c r="BH258" s="6">
        <f t="shared" ref="BH258:BH321" si="345">BG258/365</f>
        <v>0</v>
      </c>
      <c r="BI258" s="6">
        <v>0</v>
      </c>
      <c r="BJ258" s="6">
        <f t="shared" ref="BJ258:BJ321" si="346">BI258</f>
        <v>0</v>
      </c>
      <c r="BK258" s="6">
        <f t="shared" ref="BK258:BK321" si="347">BJ258/365</f>
        <v>0</v>
      </c>
      <c r="BL258" s="6">
        <v>0</v>
      </c>
      <c r="BM258" s="6">
        <f t="shared" ref="BM258:BM321" si="348">BL258</f>
        <v>0</v>
      </c>
      <c r="BN258" s="6">
        <f t="shared" ref="BN258:BN321" si="349">BM258/365</f>
        <v>0</v>
      </c>
      <c r="BO258" s="6">
        <v>0</v>
      </c>
      <c r="BP258" s="6">
        <f t="shared" ref="BP258:BP321" si="350">BO258</f>
        <v>0</v>
      </c>
      <c r="BQ258" s="6">
        <f t="shared" ref="BQ258:BQ321" si="351">BP258/365</f>
        <v>0</v>
      </c>
      <c r="BR258" s="6">
        <v>0</v>
      </c>
      <c r="BS258" s="6">
        <f t="shared" ref="BS258:BS321" si="352">BR258</f>
        <v>0</v>
      </c>
      <c r="BT258" s="6">
        <f t="shared" ref="BT258:BT321" si="353">BS258/365</f>
        <v>0</v>
      </c>
      <c r="BU258" s="6">
        <v>0</v>
      </c>
      <c r="BV258" s="6">
        <f t="shared" ref="BV258:BV321" si="354">BU258</f>
        <v>0</v>
      </c>
      <c r="BW258" s="6">
        <f t="shared" ref="BW258:BW321" si="355">BV258/365</f>
        <v>0</v>
      </c>
      <c r="BX258" s="6">
        <v>0</v>
      </c>
      <c r="BY258" s="6">
        <f t="shared" ref="BY258:BY321" si="356">BX258</f>
        <v>0</v>
      </c>
      <c r="BZ258" s="6">
        <f t="shared" ref="BZ258:BZ321" si="357">BY258/365</f>
        <v>0</v>
      </c>
      <c r="CA258" s="6">
        <v>0</v>
      </c>
      <c r="CB258" s="6">
        <f t="shared" ref="CB258:CB321" si="358">CA258</f>
        <v>0</v>
      </c>
      <c r="CC258" s="6">
        <f t="shared" ref="CC258:CC321" si="359">CB258/365</f>
        <v>0</v>
      </c>
      <c r="CD258" s="6">
        <v>0</v>
      </c>
      <c r="CE258" s="6">
        <f t="shared" ref="CE258:CE321" si="360">CD258</f>
        <v>0</v>
      </c>
      <c r="CF258" s="6">
        <f t="shared" ref="CF258:CF321" si="361">CE258/365</f>
        <v>0</v>
      </c>
      <c r="CG258" s="6">
        <v>0</v>
      </c>
      <c r="CH258" s="6">
        <f t="shared" ref="CH258:CH321" si="362">CG258</f>
        <v>0</v>
      </c>
      <c r="CI258" s="6">
        <f t="shared" ref="CI258:CI321" si="363">CH258/365</f>
        <v>0</v>
      </c>
      <c r="CJ258" s="6">
        <v>0</v>
      </c>
      <c r="CK258" s="6">
        <f t="shared" ref="CK258:CK321" si="364">CJ258</f>
        <v>0</v>
      </c>
      <c r="CL258" s="6">
        <f t="shared" ref="CL258:CL321" si="365">CK258/365</f>
        <v>0</v>
      </c>
      <c r="CM258" s="6">
        <v>0</v>
      </c>
      <c r="CN258" s="6">
        <f t="shared" ref="CN258:CN321" si="366">CM258</f>
        <v>0</v>
      </c>
      <c r="CO258" s="6">
        <f t="shared" ref="CO258:CO321" si="367">CN258/365</f>
        <v>0</v>
      </c>
      <c r="CP258" s="6">
        <v>0</v>
      </c>
      <c r="CQ258" s="6">
        <f t="shared" ref="CQ258:CQ321" si="368">CP258</f>
        <v>0</v>
      </c>
      <c r="CR258" s="6">
        <f t="shared" ref="CR258:CR321" si="369">CQ258/365</f>
        <v>0</v>
      </c>
      <c r="CS258" s="6">
        <v>0</v>
      </c>
      <c r="CT258" s="6">
        <f t="shared" ref="CT258:CT321" si="370">CS258</f>
        <v>0</v>
      </c>
      <c r="CU258" s="6">
        <f t="shared" ref="CU258:CU321" si="371">CT258/365</f>
        <v>0</v>
      </c>
      <c r="CV258" s="6">
        <v>0</v>
      </c>
      <c r="CW258" s="6">
        <f t="shared" ref="CW258:CW321" si="372">CV258</f>
        <v>0</v>
      </c>
      <c r="CX258" s="6">
        <f t="shared" ref="CX258:CX321" si="373">CW258/365</f>
        <v>0</v>
      </c>
      <c r="CY258" s="6">
        <v>0</v>
      </c>
      <c r="CZ258" s="6">
        <f t="shared" ref="CZ258:CZ321" si="374">CY258</f>
        <v>0</v>
      </c>
      <c r="DA258" s="6">
        <f t="shared" ref="DA258:DA321" si="375">CZ258/365</f>
        <v>0</v>
      </c>
      <c r="DB258" s="6">
        <v>0</v>
      </c>
      <c r="DC258" s="6">
        <f t="shared" ref="DC258:DC321" si="376">DB258</f>
        <v>0</v>
      </c>
      <c r="DD258" s="6">
        <f t="shared" ref="DD258:DD321" si="377">DC258/365</f>
        <v>0</v>
      </c>
      <c r="DE258" s="6">
        <v>0</v>
      </c>
      <c r="DF258" s="6">
        <f t="shared" ref="DF258:DF321" si="378">DE258</f>
        <v>0</v>
      </c>
      <c r="DG258" s="6">
        <f t="shared" ref="DG258:DG321" si="379">DF258/365</f>
        <v>0</v>
      </c>
      <c r="DH258" s="6">
        <v>0</v>
      </c>
      <c r="DI258" s="6">
        <f t="shared" ref="DI258:DI321" si="380">DH258</f>
        <v>0</v>
      </c>
      <c r="DJ258" s="6">
        <f t="shared" ref="DJ258:DJ321" si="381">DI258/365</f>
        <v>0</v>
      </c>
      <c r="DK258" s="6">
        <v>0</v>
      </c>
      <c r="DL258" s="6">
        <f t="shared" ref="DL258:DL321" si="382">DK258</f>
        <v>0</v>
      </c>
      <c r="DM258" s="6">
        <f t="shared" ref="DM258:DM321" si="383">DL258/365</f>
        <v>0</v>
      </c>
      <c r="DN258" s="6">
        <v>0</v>
      </c>
      <c r="DO258" s="6">
        <f t="shared" ref="DO258:DO321" si="384">DN258</f>
        <v>0</v>
      </c>
      <c r="DP258" s="6">
        <f t="shared" ref="DP258:DP321" si="385">DO258/365</f>
        <v>0</v>
      </c>
    </row>
    <row r="259" spans="1:120" x14ac:dyDescent="0.2">
      <c r="A259" s="21">
        <v>85</v>
      </c>
      <c r="B259" s="21" t="s">
        <v>612</v>
      </c>
      <c r="C259" s="21">
        <v>85325</v>
      </c>
      <c r="D259" s="21" t="s">
        <v>670</v>
      </c>
      <c r="E259" s="21" t="s">
        <v>611</v>
      </c>
      <c r="F259" s="22" t="s">
        <v>662</v>
      </c>
      <c r="G259" s="4" t="s">
        <v>371</v>
      </c>
      <c r="H259" s="6">
        <v>149293.92000000001</v>
      </c>
      <c r="I259" s="6">
        <f t="shared" si="314"/>
        <v>409.02443835616441</v>
      </c>
      <c r="J259" s="6">
        <v>130424.7549</v>
      </c>
      <c r="K259" s="6">
        <v>149354.94</v>
      </c>
      <c r="L259" s="6">
        <f t="shared" si="315"/>
        <v>408.07360655737705</v>
      </c>
      <c r="M259" s="6">
        <v>114580.94409999999</v>
      </c>
      <c r="N259" s="6">
        <v>123590.2</v>
      </c>
      <c r="O259" s="6">
        <f t="shared" si="316"/>
        <v>338.60328767123286</v>
      </c>
      <c r="P259" s="6">
        <v>109482.4559</v>
      </c>
      <c r="Q259" s="6">
        <v>48942.21</v>
      </c>
      <c r="R259" s="6">
        <f t="shared" si="317"/>
        <v>270.39895027624311</v>
      </c>
      <c r="S259" s="6">
        <v>159679.4822</v>
      </c>
      <c r="T259" s="6">
        <f t="shared" si="318"/>
        <v>159679.4822</v>
      </c>
      <c r="U259" s="6">
        <f t="shared" si="319"/>
        <v>437.47803342465755</v>
      </c>
      <c r="V259" s="6">
        <v>119050.4111</v>
      </c>
      <c r="W259" s="6">
        <f t="shared" si="320"/>
        <v>119050.4111</v>
      </c>
      <c r="X259" s="6">
        <f t="shared" si="321"/>
        <v>326.16550986301371</v>
      </c>
      <c r="Y259" s="6">
        <v>93022.110499999995</v>
      </c>
      <c r="Z259" s="6">
        <f t="shared" si="322"/>
        <v>93022.110499999995</v>
      </c>
      <c r="AA259" s="6">
        <f t="shared" si="323"/>
        <v>254.85509726027396</v>
      </c>
      <c r="AB259" s="6">
        <v>75543.082999999999</v>
      </c>
      <c r="AC259" s="6">
        <f t="shared" si="324"/>
        <v>75543.082999999999</v>
      </c>
      <c r="AD259" s="6">
        <f t="shared" si="325"/>
        <v>206.96735068493152</v>
      </c>
      <c r="AE259" s="6">
        <v>63180.642999999996</v>
      </c>
      <c r="AF259" s="6">
        <f t="shared" si="326"/>
        <v>63180.642999999996</v>
      </c>
      <c r="AG259" s="6">
        <f t="shared" si="327"/>
        <v>173.09765205479451</v>
      </c>
      <c r="AH259" s="6">
        <v>48733.537600000003</v>
      </c>
      <c r="AI259" s="6">
        <f t="shared" si="328"/>
        <v>48733.537600000003</v>
      </c>
      <c r="AJ259" s="6">
        <f t="shared" si="329"/>
        <v>133.51654136986303</v>
      </c>
      <c r="AK259" s="6">
        <v>40652.103199999998</v>
      </c>
      <c r="AL259" s="6">
        <f t="shared" si="330"/>
        <v>40652.103199999998</v>
      </c>
      <c r="AM259" s="6">
        <f t="shared" si="331"/>
        <v>111.37562520547945</v>
      </c>
      <c r="AN259" s="6">
        <v>3183.8193999999999</v>
      </c>
      <c r="AO259" s="6">
        <f t="shared" si="332"/>
        <v>3183.8193999999999</v>
      </c>
      <c r="AP259" s="6">
        <f t="shared" si="333"/>
        <v>8.7227928767123277</v>
      </c>
      <c r="AQ259" s="6">
        <v>0</v>
      </c>
      <c r="AR259" s="6">
        <f t="shared" si="334"/>
        <v>0</v>
      </c>
      <c r="AS259" s="6">
        <f t="shared" si="335"/>
        <v>0</v>
      </c>
      <c r="AT259" s="6">
        <v>0</v>
      </c>
      <c r="AU259" s="6">
        <f t="shared" si="336"/>
        <v>0</v>
      </c>
      <c r="AV259" s="6">
        <f t="shared" si="337"/>
        <v>0</v>
      </c>
      <c r="AW259" s="6">
        <v>0</v>
      </c>
      <c r="AX259" s="6">
        <f t="shared" si="338"/>
        <v>0</v>
      </c>
      <c r="AY259" s="6">
        <f t="shared" si="339"/>
        <v>0</v>
      </c>
      <c r="AZ259" s="6">
        <v>0</v>
      </c>
      <c r="BA259" s="6">
        <f t="shared" si="340"/>
        <v>0</v>
      </c>
      <c r="BB259" s="6">
        <f t="shared" si="341"/>
        <v>0</v>
      </c>
      <c r="BC259" s="6">
        <v>0</v>
      </c>
      <c r="BD259" s="6">
        <f t="shared" si="342"/>
        <v>0</v>
      </c>
      <c r="BE259" s="6">
        <f t="shared" si="343"/>
        <v>0</v>
      </c>
      <c r="BF259" s="6">
        <v>0</v>
      </c>
      <c r="BG259" s="6">
        <f t="shared" si="344"/>
        <v>0</v>
      </c>
      <c r="BH259" s="6">
        <f t="shared" si="345"/>
        <v>0</v>
      </c>
      <c r="BI259" s="6">
        <v>0</v>
      </c>
      <c r="BJ259" s="6">
        <f t="shared" si="346"/>
        <v>0</v>
      </c>
      <c r="BK259" s="6">
        <f t="shared" si="347"/>
        <v>0</v>
      </c>
      <c r="BL259" s="6">
        <v>0</v>
      </c>
      <c r="BM259" s="6">
        <f t="shared" si="348"/>
        <v>0</v>
      </c>
      <c r="BN259" s="6">
        <f t="shared" si="349"/>
        <v>0</v>
      </c>
      <c r="BO259" s="6">
        <v>0</v>
      </c>
      <c r="BP259" s="6">
        <f t="shared" si="350"/>
        <v>0</v>
      </c>
      <c r="BQ259" s="6">
        <f t="shared" si="351"/>
        <v>0</v>
      </c>
      <c r="BR259" s="6">
        <v>0</v>
      </c>
      <c r="BS259" s="6">
        <f t="shared" si="352"/>
        <v>0</v>
      </c>
      <c r="BT259" s="6">
        <f t="shared" si="353"/>
        <v>0</v>
      </c>
      <c r="BU259" s="6">
        <v>0</v>
      </c>
      <c r="BV259" s="6">
        <f t="shared" si="354"/>
        <v>0</v>
      </c>
      <c r="BW259" s="6">
        <f t="shared" si="355"/>
        <v>0</v>
      </c>
      <c r="BX259" s="6">
        <v>0</v>
      </c>
      <c r="BY259" s="6">
        <f t="shared" si="356"/>
        <v>0</v>
      </c>
      <c r="BZ259" s="6">
        <f t="shared" si="357"/>
        <v>0</v>
      </c>
      <c r="CA259" s="6">
        <v>0</v>
      </c>
      <c r="CB259" s="6">
        <f t="shared" si="358"/>
        <v>0</v>
      </c>
      <c r="CC259" s="6">
        <f t="shared" si="359"/>
        <v>0</v>
      </c>
      <c r="CD259" s="6">
        <v>0</v>
      </c>
      <c r="CE259" s="6">
        <f t="shared" si="360"/>
        <v>0</v>
      </c>
      <c r="CF259" s="6">
        <f t="shared" si="361"/>
        <v>0</v>
      </c>
      <c r="CG259" s="6">
        <v>0</v>
      </c>
      <c r="CH259" s="6">
        <f t="shared" si="362"/>
        <v>0</v>
      </c>
      <c r="CI259" s="6">
        <f t="shared" si="363"/>
        <v>0</v>
      </c>
      <c r="CJ259" s="6">
        <v>0</v>
      </c>
      <c r="CK259" s="6">
        <f t="shared" si="364"/>
        <v>0</v>
      </c>
      <c r="CL259" s="6">
        <f t="shared" si="365"/>
        <v>0</v>
      </c>
      <c r="CM259" s="6">
        <v>0</v>
      </c>
      <c r="CN259" s="6">
        <f t="shared" si="366"/>
        <v>0</v>
      </c>
      <c r="CO259" s="6">
        <f t="shared" si="367"/>
        <v>0</v>
      </c>
      <c r="CP259" s="6">
        <v>0</v>
      </c>
      <c r="CQ259" s="6">
        <f t="shared" si="368"/>
        <v>0</v>
      </c>
      <c r="CR259" s="6">
        <f t="shared" si="369"/>
        <v>0</v>
      </c>
      <c r="CS259" s="6">
        <v>0</v>
      </c>
      <c r="CT259" s="6">
        <f t="shared" si="370"/>
        <v>0</v>
      </c>
      <c r="CU259" s="6">
        <f t="shared" si="371"/>
        <v>0</v>
      </c>
      <c r="CV259" s="6">
        <v>0</v>
      </c>
      <c r="CW259" s="6">
        <f t="shared" si="372"/>
        <v>0</v>
      </c>
      <c r="CX259" s="6">
        <f t="shared" si="373"/>
        <v>0</v>
      </c>
      <c r="CY259" s="6">
        <v>0</v>
      </c>
      <c r="CZ259" s="6">
        <f t="shared" si="374"/>
        <v>0</v>
      </c>
      <c r="DA259" s="6">
        <f t="shared" si="375"/>
        <v>0</v>
      </c>
      <c r="DB259" s="6">
        <v>0</v>
      </c>
      <c r="DC259" s="6">
        <f t="shared" si="376"/>
        <v>0</v>
      </c>
      <c r="DD259" s="6">
        <f t="shared" si="377"/>
        <v>0</v>
      </c>
      <c r="DE259" s="6">
        <v>0</v>
      </c>
      <c r="DF259" s="6">
        <f t="shared" si="378"/>
        <v>0</v>
      </c>
      <c r="DG259" s="6">
        <f t="shared" si="379"/>
        <v>0</v>
      </c>
      <c r="DH259" s="6">
        <v>0</v>
      </c>
      <c r="DI259" s="6">
        <f t="shared" si="380"/>
        <v>0</v>
      </c>
      <c r="DJ259" s="6">
        <f t="shared" si="381"/>
        <v>0</v>
      </c>
      <c r="DK259" s="6">
        <v>0</v>
      </c>
      <c r="DL259" s="6">
        <f t="shared" si="382"/>
        <v>0</v>
      </c>
      <c r="DM259" s="6">
        <f t="shared" si="383"/>
        <v>0</v>
      </c>
      <c r="DN259" s="6">
        <v>0</v>
      </c>
      <c r="DO259" s="6">
        <f t="shared" si="384"/>
        <v>0</v>
      </c>
      <c r="DP259" s="6">
        <f t="shared" si="385"/>
        <v>0</v>
      </c>
    </row>
    <row r="260" spans="1:120" x14ac:dyDescent="0.2">
      <c r="A260" s="21">
        <v>85</v>
      </c>
      <c r="B260" s="21" t="s">
        <v>612</v>
      </c>
      <c r="C260" s="21">
        <v>85325</v>
      </c>
      <c r="D260" s="21" t="s">
        <v>670</v>
      </c>
      <c r="E260" s="21" t="s">
        <v>611</v>
      </c>
      <c r="F260" s="22" t="s">
        <v>662</v>
      </c>
      <c r="G260" s="4" t="s">
        <v>372</v>
      </c>
      <c r="H260" s="6">
        <v>65202.879999999997</v>
      </c>
      <c r="I260" s="6">
        <f t="shared" si="314"/>
        <v>178.63802739726026</v>
      </c>
      <c r="J260" s="6">
        <v>59198.025600000001</v>
      </c>
      <c r="K260" s="6">
        <v>59315.82</v>
      </c>
      <c r="L260" s="6">
        <f t="shared" si="315"/>
        <v>162.0650819672131</v>
      </c>
      <c r="M260" s="6">
        <v>54462.183599999997</v>
      </c>
      <c r="N260" s="6">
        <v>53531.71</v>
      </c>
      <c r="O260" s="6">
        <f t="shared" si="316"/>
        <v>146.66221917808218</v>
      </c>
      <c r="P260" s="6">
        <v>50105.208899999998</v>
      </c>
      <c r="Q260" s="6">
        <v>24704.33</v>
      </c>
      <c r="R260" s="6">
        <f t="shared" si="317"/>
        <v>136.48801104972375</v>
      </c>
      <c r="S260" s="6">
        <v>46096.792200000004</v>
      </c>
      <c r="T260" s="6">
        <f t="shared" si="318"/>
        <v>46096.792200000004</v>
      </c>
      <c r="U260" s="6">
        <f t="shared" si="319"/>
        <v>126.29258136986303</v>
      </c>
      <c r="V260" s="6">
        <v>42409.048799999997</v>
      </c>
      <c r="W260" s="6">
        <f t="shared" si="320"/>
        <v>42409.048799999997</v>
      </c>
      <c r="X260" s="6">
        <f t="shared" si="321"/>
        <v>116.18917479452054</v>
      </c>
      <c r="Y260" s="6">
        <v>39016.3249</v>
      </c>
      <c r="Z260" s="6">
        <f t="shared" si="322"/>
        <v>39016.3249</v>
      </c>
      <c r="AA260" s="6">
        <f t="shared" si="323"/>
        <v>106.89404082191781</v>
      </c>
      <c r="AB260" s="6">
        <v>35895.018900000003</v>
      </c>
      <c r="AC260" s="6">
        <f t="shared" si="324"/>
        <v>35895.018900000003</v>
      </c>
      <c r="AD260" s="6">
        <f t="shared" si="325"/>
        <v>98.342517534246582</v>
      </c>
      <c r="AE260" s="6">
        <v>33023.417399999998</v>
      </c>
      <c r="AF260" s="6">
        <f t="shared" si="326"/>
        <v>33023.417399999998</v>
      </c>
      <c r="AG260" s="6">
        <f t="shared" si="327"/>
        <v>90.475116164383564</v>
      </c>
      <c r="AH260" s="6">
        <v>30381.544000000002</v>
      </c>
      <c r="AI260" s="6">
        <f t="shared" si="328"/>
        <v>30381.544000000002</v>
      </c>
      <c r="AJ260" s="6">
        <f t="shared" si="329"/>
        <v>83.237106849315069</v>
      </c>
      <c r="AK260" s="6">
        <v>27951.020499999999</v>
      </c>
      <c r="AL260" s="6">
        <f t="shared" si="330"/>
        <v>27951.020499999999</v>
      </c>
      <c r="AM260" s="6">
        <f t="shared" si="331"/>
        <v>76.578138356164374</v>
      </c>
      <c r="AN260" s="6">
        <v>2225.7510000000002</v>
      </c>
      <c r="AO260" s="6">
        <f t="shared" si="332"/>
        <v>2225.7510000000002</v>
      </c>
      <c r="AP260" s="6">
        <f t="shared" si="333"/>
        <v>6.0979479452054797</v>
      </c>
      <c r="AQ260" s="6">
        <v>0</v>
      </c>
      <c r="AR260" s="6">
        <f t="shared" si="334"/>
        <v>0</v>
      </c>
      <c r="AS260" s="6">
        <f t="shared" si="335"/>
        <v>0</v>
      </c>
      <c r="AT260" s="6">
        <v>0</v>
      </c>
      <c r="AU260" s="6">
        <f t="shared" si="336"/>
        <v>0</v>
      </c>
      <c r="AV260" s="6">
        <f t="shared" si="337"/>
        <v>0</v>
      </c>
      <c r="AW260" s="6">
        <v>0</v>
      </c>
      <c r="AX260" s="6">
        <f t="shared" si="338"/>
        <v>0</v>
      </c>
      <c r="AY260" s="6">
        <f t="shared" si="339"/>
        <v>0</v>
      </c>
      <c r="AZ260" s="6">
        <v>0</v>
      </c>
      <c r="BA260" s="6">
        <f t="shared" si="340"/>
        <v>0</v>
      </c>
      <c r="BB260" s="6">
        <f t="shared" si="341"/>
        <v>0</v>
      </c>
      <c r="BC260" s="6">
        <v>0</v>
      </c>
      <c r="BD260" s="6">
        <f t="shared" si="342"/>
        <v>0</v>
      </c>
      <c r="BE260" s="6">
        <f t="shared" si="343"/>
        <v>0</v>
      </c>
      <c r="BF260" s="6">
        <v>0</v>
      </c>
      <c r="BG260" s="6">
        <f t="shared" si="344"/>
        <v>0</v>
      </c>
      <c r="BH260" s="6">
        <f t="shared" si="345"/>
        <v>0</v>
      </c>
      <c r="BI260" s="6">
        <v>0</v>
      </c>
      <c r="BJ260" s="6">
        <f t="shared" si="346"/>
        <v>0</v>
      </c>
      <c r="BK260" s="6">
        <f t="shared" si="347"/>
        <v>0</v>
      </c>
      <c r="BL260" s="6">
        <v>0</v>
      </c>
      <c r="BM260" s="6">
        <f t="shared" si="348"/>
        <v>0</v>
      </c>
      <c r="BN260" s="6">
        <f t="shared" si="349"/>
        <v>0</v>
      </c>
      <c r="BO260" s="6">
        <v>0</v>
      </c>
      <c r="BP260" s="6">
        <f t="shared" si="350"/>
        <v>0</v>
      </c>
      <c r="BQ260" s="6">
        <f t="shared" si="351"/>
        <v>0</v>
      </c>
      <c r="BR260" s="6">
        <v>0</v>
      </c>
      <c r="BS260" s="6">
        <f t="shared" si="352"/>
        <v>0</v>
      </c>
      <c r="BT260" s="6">
        <f t="shared" si="353"/>
        <v>0</v>
      </c>
      <c r="BU260" s="6">
        <v>0</v>
      </c>
      <c r="BV260" s="6">
        <f t="shared" si="354"/>
        <v>0</v>
      </c>
      <c r="BW260" s="6">
        <f t="shared" si="355"/>
        <v>0</v>
      </c>
      <c r="BX260" s="6">
        <v>0</v>
      </c>
      <c r="BY260" s="6">
        <f t="shared" si="356"/>
        <v>0</v>
      </c>
      <c r="BZ260" s="6">
        <f t="shared" si="357"/>
        <v>0</v>
      </c>
      <c r="CA260" s="6">
        <v>0</v>
      </c>
      <c r="CB260" s="6">
        <f t="shared" si="358"/>
        <v>0</v>
      </c>
      <c r="CC260" s="6">
        <f t="shared" si="359"/>
        <v>0</v>
      </c>
      <c r="CD260" s="6">
        <v>0</v>
      </c>
      <c r="CE260" s="6">
        <f t="shared" si="360"/>
        <v>0</v>
      </c>
      <c r="CF260" s="6">
        <f t="shared" si="361"/>
        <v>0</v>
      </c>
      <c r="CG260" s="6">
        <v>0</v>
      </c>
      <c r="CH260" s="6">
        <f t="shared" si="362"/>
        <v>0</v>
      </c>
      <c r="CI260" s="6">
        <f t="shared" si="363"/>
        <v>0</v>
      </c>
      <c r="CJ260" s="6">
        <v>0</v>
      </c>
      <c r="CK260" s="6">
        <f t="shared" si="364"/>
        <v>0</v>
      </c>
      <c r="CL260" s="6">
        <f t="shared" si="365"/>
        <v>0</v>
      </c>
      <c r="CM260" s="6">
        <v>0</v>
      </c>
      <c r="CN260" s="6">
        <f t="shared" si="366"/>
        <v>0</v>
      </c>
      <c r="CO260" s="6">
        <f t="shared" si="367"/>
        <v>0</v>
      </c>
      <c r="CP260" s="6">
        <v>0</v>
      </c>
      <c r="CQ260" s="6">
        <f t="shared" si="368"/>
        <v>0</v>
      </c>
      <c r="CR260" s="6">
        <f t="shared" si="369"/>
        <v>0</v>
      </c>
      <c r="CS260" s="6">
        <v>0</v>
      </c>
      <c r="CT260" s="6">
        <f t="shared" si="370"/>
        <v>0</v>
      </c>
      <c r="CU260" s="6">
        <f t="shared" si="371"/>
        <v>0</v>
      </c>
      <c r="CV260" s="6">
        <v>0</v>
      </c>
      <c r="CW260" s="6">
        <f t="shared" si="372"/>
        <v>0</v>
      </c>
      <c r="CX260" s="6">
        <f t="shared" si="373"/>
        <v>0</v>
      </c>
      <c r="CY260" s="6">
        <v>0</v>
      </c>
      <c r="CZ260" s="6">
        <f t="shared" si="374"/>
        <v>0</v>
      </c>
      <c r="DA260" s="6">
        <f t="shared" si="375"/>
        <v>0</v>
      </c>
      <c r="DB260" s="6">
        <v>0</v>
      </c>
      <c r="DC260" s="6">
        <f t="shared" si="376"/>
        <v>0</v>
      </c>
      <c r="DD260" s="6">
        <f t="shared" si="377"/>
        <v>0</v>
      </c>
      <c r="DE260" s="6">
        <v>0</v>
      </c>
      <c r="DF260" s="6">
        <f t="shared" si="378"/>
        <v>0</v>
      </c>
      <c r="DG260" s="6">
        <f t="shared" si="379"/>
        <v>0</v>
      </c>
      <c r="DH260" s="6">
        <v>0</v>
      </c>
      <c r="DI260" s="6">
        <f t="shared" si="380"/>
        <v>0</v>
      </c>
      <c r="DJ260" s="6">
        <f t="shared" si="381"/>
        <v>0</v>
      </c>
      <c r="DK260" s="6">
        <v>0</v>
      </c>
      <c r="DL260" s="6">
        <f t="shared" si="382"/>
        <v>0</v>
      </c>
      <c r="DM260" s="6">
        <f t="shared" si="383"/>
        <v>0</v>
      </c>
      <c r="DN260" s="6">
        <v>0</v>
      </c>
      <c r="DO260" s="6">
        <f t="shared" si="384"/>
        <v>0</v>
      </c>
      <c r="DP260" s="6">
        <f t="shared" si="385"/>
        <v>0</v>
      </c>
    </row>
    <row r="261" spans="1:120" x14ac:dyDescent="0.2">
      <c r="A261" s="21">
        <v>81</v>
      </c>
      <c r="B261" s="21" t="s">
        <v>132</v>
      </c>
      <c r="C261" s="21">
        <v>81065</v>
      </c>
      <c r="D261" s="21" t="s">
        <v>682</v>
      </c>
      <c r="E261" s="21" t="s">
        <v>683</v>
      </c>
      <c r="F261" s="22" t="s">
        <v>662</v>
      </c>
      <c r="G261" s="4" t="s">
        <v>373</v>
      </c>
      <c r="H261" s="6">
        <v>491530.09</v>
      </c>
      <c r="I261" s="6">
        <f t="shared" si="314"/>
        <v>1346.6577808219179</v>
      </c>
      <c r="J261" s="6">
        <v>255536</v>
      </c>
      <c r="K261" s="6">
        <v>189569</v>
      </c>
      <c r="L261" s="6">
        <f t="shared" si="315"/>
        <v>517.94808743169403</v>
      </c>
      <c r="M261" s="6">
        <v>239841</v>
      </c>
      <c r="N261" s="6">
        <v>41091.129999999997</v>
      </c>
      <c r="O261" s="6">
        <f t="shared" si="316"/>
        <v>112.57843835616437</v>
      </c>
      <c r="P261" s="6">
        <v>180303</v>
      </c>
      <c r="Q261" s="6">
        <v>19393.64</v>
      </c>
      <c r="R261" s="6">
        <f t="shared" si="317"/>
        <v>107.14718232044198</v>
      </c>
      <c r="S261" s="6">
        <v>209719</v>
      </c>
      <c r="T261" s="6">
        <f t="shared" si="318"/>
        <v>209719</v>
      </c>
      <c r="U261" s="6">
        <f t="shared" si="319"/>
        <v>574.57260273972599</v>
      </c>
      <c r="V261" s="6">
        <v>154856</v>
      </c>
      <c r="W261" s="6">
        <f t="shared" si="320"/>
        <v>154856</v>
      </c>
      <c r="X261" s="6">
        <f t="shared" si="321"/>
        <v>424.26301369863012</v>
      </c>
      <c r="Y261" s="6">
        <v>89259</v>
      </c>
      <c r="Z261" s="6">
        <f t="shared" si="322"/>
        <v>89259</v>
      </c>
      <c r="AA261" s="6">
        <f t="shared" si="323"/>
        <v>244.54520547945205</v>
      </c>
      <c r="AB261" s="6">
        <v>49035</v>
      </c>
      <c r="AC261" s="6">
        <f t="shared" si="324"/>
        <v>49035</v>
      </c>
      <c r="AD261" s="6">
        <f t="shared" si="325"/>
        <v>134.34246575342465</v>
      </c>
      <c r="AE261" s="6">
        <v>0</v>
      </c>
      <c r="AF261" s="6">
        <f t="shared" si="326"/>
        <v>0</v>
      </c>
      <c r="AG261" s="6">
        <f t="shared" si="327"/>
        <v>0</v>
      </c>
      <c r="AH261" s="6">
        <v>0</v>
      </c>
      <c r="AI261" s="6">
        <f t="shared" si="328"/>
        <v>0</v>
      </c>
      <c r="AJ261" s="6">
        <f t="shared" si="329"/>
        <v>0</v>
      </c>
      <c r="AK261" s="6">
        <v>0</v>
      </c>
      <c r="AL261" s="6">
        <f t="shared" si="330"/>
        <v>0</v>
      </c>
      <c r="AM261" s="6">
        <f t="shared" si="331"/>
        <v>0</v>
      </c>
      <c r="AN261" s="6">
        <v>0</v>
      </c>
      <c r="AO261" s="6">
        <f t="shared" si="332"/>
        <v>0</v>
      </c>
      <c r="AP261" s="6">
        <f t="shared" si="333"/>
        <v>0</v>
      </c>
      <c r="AQ261" s="6">
        <v>0</v>
      </c>
      <c r="AR261" s="6">
        <f t="shared" si="334"/>
        <v>0</v>
      </c>
      <c r="AS261" s="6">
        <f t="shared" si="335"/>
        <v>0</v>
      </c>
      <c r="AT261" s="6">
        <v>0</v>
      </c>
      <c r="AU261" s="6">
        <f t="shared" si="336"/>
        <v>0</v>
      </c>
      <c r="AV261" s="6">
        <f t="shared" si="337"/>
        <v>0</v>
      </c>
      <c r="AW261" s="6">
        <v>0</v>
      </c>
      <c r="AX261" s="6">
        <f t="shared" si="338"/>
        <v>0</v>
      </c>
      <c r="AY261" s="6">
        <f t="shared" si="339"/>
        <v>0</v>
      </c>
      <c r="AZ261" s="6">
        <v>0</v>
      </c>
      <c r="BA261" s="6">
        <f t="shared" si="340"/>
        <v>0</v>
      </c>
      <c r="BB261" s="6">
        <f t="shared" si="341"/>
        <v>0</v>
      </c>
      <c r="BC261" s="6">
        <v>0</v>
      </c>
      <c r="BD261" s="6">
        <f t="shared" si="342"/>
        <v>0</v>
      </c>
      <c r="BE261" s="6">
        <f t="shared" si="343"/>
        <v>0</v>
      </c>
      <c r="BF261" s="6">
        <v>0</v>
      </c>
      <c r="BG261" s="6">
        <f t="shared" si="344"/>
        <v>0</v>
      </c>
      <c r="BH261" s="6">
        <f t="shared" si="345"/>
        <v>0</v>
      </c>
      <c r="BI261" s="6">
        <v>0</v>
      </c>
      <c r="BJ261" s="6">
        <f t="shared" si="346"/>
        <v>0</v>
      </c>
      <c r="BK261" s="6">
        <f t="shared" si="347"/>
        <v>0</v>
      </c>
      <c r="BL261" s="6">
        <v>0</v>
      </c>
      <c r="BM261" s="6">
        <f t="shared" si="348"/>
        <v>0</v>
      </c>
      <c r="BN261" s="6">
        <f t="shared" si="349"/>
        <v>0</v>
      </c>
      <c r="BO261" s="6">
        <v>0</v>
      </c>
      <c r="BP261" s="6">
        <f t="shared" si="350"/>
        <v>0</v>
      </c>
      <c r="BQ261" s="6">
        <f t="shared" si="351"/>
        <v>0</v>
      </c>
      <c r="BR261" s="6">
        <v>0</v>
      </c>
      <c r="BS261" s="6">
        <f t="shared" si="352"/>
        <v>0</v>
      </c>
      <c r="BT261" s="6">
        <f t="shared" si="353"/>
        <v>0</v>
      </c>
      <c r="BU261" s="6">
        <v>0</v>
      </c>
      <c r="BV261" s="6">
        <f t="shared" si="354"/>
        <v>0</v>
      </c>
      <c r="BW261" s="6">
        <f t="shared" si="355"/>
        <v>0</v>
      </c>
      <c r="BX261" s="6">
        <v>0</v>
      </c>
      <c r="BY261" s="6">
        <f t="shared" si="356"/>
        <v>0</v>
      </c>
      <c r="BZ261" s="6">
        <f t="shared" si="357"/>
        <v>0</v>
      </c>
      <c r="CA261" s="6">
        <v>0</v>
      </c>
      <c r="CB261" s="6">
        <f t="shared" si="358"/>
        <v>0</v>
      </c>
      <c r="CC261" s="6">
        <f t="shared" si="359"/>
        <v>0</v>
      </c>
      <c r="CD261" s="6">
        <v>0</v>
      </c>
      <c r="CE261" s="6">
        <f t="shared" si="360"/>
        <v>0</v>
      </c>
      <c r="CF261" s="6">
        <f t="shared" si="361"/>
        <v>0</v>
      </c>
      <c r="CG261" s="6">
        <v>0</v>
      </c>
      <c r="CH261" s="6">
        <f t="shared" si="362"/>
        <v>0</v>
      </c>
      <c r="CI261" s="6">
        <f t="shared" si="363"/>
        <v>0</v>
      </c>
      <c r="CJ261" s="6">
        <v>0</v>
      </c>
      <c r="CK261" s="6">
        <f t="shared" si="364"/>
        <v>0</v>
      </c>
      <c r="CL261" s="6">
        <f t="shared" si="365"/>
        <v>0</v>
      </c>
      <c r="CM261" s="6">
        <v>0</v>
      </c>
      <c r="CN261" s="6">
        <f t="shared" si="366"/>
        <v>0</v>
      </c>
      <c r="CO261" s="6">
        <f t="shared" si="367"/>
        <v>0</v>
      </c>
      <c r="CP261" s="6">
        <v>0</v>
      </c>
      <c r="CQ261" s="6">
        <f t="shared" si="368"/>
        <v>0</v>
      </c>
      <c r="CR261" s="6">
        <f t="shared" si="369"/>
        <v>0</v>
      </c>
      <c r="CS261" s="6">
        <v>0</v>
      </c>
      <c r="CT261" s="6">
        <f t="shared" si="370"/>
        <v>0</v>
      </c>
      <c r="CU261" s="6">
        <f t="shared" si="371"/>
        <v>0</v>
      </c>
      <c r="CV261" s="6">
        <v>0</v>
      </c>
      <c r="CW261" s="6">
        <f t="shared" si="372"/>
        <v>0</v>
      </c>
      <c r="CX261" s="6">
        <f t="shared" si="373"/>
        <v>0</v>
      </c>
      <c r="CY261" s="6">
        <v>0</v>
      </c>
      <c r="CZ261" s="6">
        <f t="shared" si="374"/>
        <v>0</v>
      </c>
      <c r="DA261" s="6">
        <f t="shared" si="375"/>
        <v>0</v>
      </c>
      <c r="DB261" s="6">
        <v>0</v>
      </c>
      <c r="DC261" s="6">
        <f t="shared" si="376"/>
        <v>0</v>
      </c>
      <c r="DD261" s="6">
        <f t="shared" si="377"/>
        <v>0</v>
      </c>
      <c r="DE261" s="6">
        <v>0</v>
      </c>
      <c r="DF261" s="6">
        <f t="shared" si="378"/>
        <v>0</v>
      </c>
      <c r="DG261" s="6">
        <f t="shared" si="379"/>
        <v>0</v>
      </c>
      <c r="DH261" s="6">
        <v>0</v>
      </c>
      <c r="DI261" s="6">
        <f t="shared" si="380"/>
        <v>0</v>
      </c>
      <c r="DJ261" s="6">
        <f t="shared" si="381"/>
        <v>0</v>
      </c>
      <c r="DK261" s="6">
        <v>0</v>
      </c>
      <c r="DL261" s="6">
        <f t="shared" si="382"/>
        <v>0</v>
      </c>
      <c r="DM261" s="6">
        <f t="shared" si="383"/>
        <v>0</v>
      </c>
      <c r="DN261" s="6">
        <v>0</v>
      </c>
      <c r="DO261" s="6">
        <f t="shared" si="384"/>
        <v>0</v>
      </c>
      <c r="DP261" s="6">
        <f t="shared" si="385"/>
        <v>0</v>
      </c>
    </row>
    <row r="262" spans="1:120" x14ac:dyDescent="0.2">
      <c r="A262" s="21">
        <v>81</v>
      </c>
      <c r="B262" s="21" t="s">
        <v>132</v>
      </c>
      <c r="C262" s="21">
        <v>81001</v>
      </c>
      <c r="D262" s="21" t="s">
        <v>132</v>
      </c>
      <c r="E262" s="21" t="s">
        <v>683</v>
      </c>
      <c r="F262" s="22" t="s">
        <v>662</v>
      </c>
      <c r="G262" s="4" t="s">
        <v>374</v>
      </c>
      <c r="H262" s="6">
        <v>4930123.66</v>
      </c>
      <c r="I262" s="6">
        <f t="shared" si="314"/>
        <v>13507.188109589042</v>
      </c>
      <c r="J262" s="6">
        <v>4877036.2143999999</v>
      </c>
      <c r="K262" s="6">
        <v>6479266.8300000001</v>
      </c>
      <c r="L262" s="6">
        <f t="shared" si="315"/>
        <v>17702.914836065574</v>
      </c>
      <c r="M262" s="6">
        <v>2711192.4462000001</v>
      </c>
      <c r="N262" s="6">
        <v>4978856.07</v>
      </c>
      <c r="O262" s="6">
        <f t="shared" si="316"/>
        <v>13640.701561643837</v>
      </c>
      <c r="P262" s="6">
        <v>1664626</v>
      </c>
      <c r="Q262" s="6">
        <v>2261687.5099999998</v>
      </c>
      <c r="R262" s="6">
        <f t="shared" si="317"/>
        <v>12495.511104972375</v>
      </c>
      <c r="S262" s="6">
        <v>1041581</v>
      </c>
      <c r="T262" s="6">
        <f t="shared" si="318"/>
        <v>1041581</v>
      </c>
      <c r="U262" s="6">
        <f t="shared" si="319"/>
        <v>2853.6465753424659</v>
      </c>
      <c r="V262" s="6">
        <v>792267</v>
      </c>
      <c r="W262" s="6">
        <f t="shared" si="320"/>
        <v>792267</v>
      </c>
      <c r="X262" s="6">
        <f t="shared" si="321"/>
        <v>2170.5945205479452</v>
      </c>
      <c r="Y262" s="6">
        <v>519960</v>
      </c>
      <c r="Z262" s="6">
        <f t="shared" si="322"/>
        <v>519960</v>
      </c>
      <c r="AA262" s="6">
        <f t="shared" si="323"/>
        <v>1424.5479452054794</v>
      </c>
      <c r="AB262" s="6">
        <v>442401</v>
      </c>
      <c r="AC262" s="6">
        <f t="shared" si="324"/>
        <v>442401</v>
      </c>
      <c r="AD262" s="6">
        <f t="shared" si="325"/>
        <v>1212.0575342465754</v>
      </c>
      <c r="AE262" s="6">
        <v>0</v>
      </c>
      <c r="AF262" s="6">
        <f t="shared" si="326"/>
        <v>0</v>
      </c>
      <c r="AG262" s="6">
        <f t="shared" si="327"/>
        <v>0</v>
      </c>
      <c r="AH262" s="6">
        <v>0</v>
      </c>
      <c r="AI262" s="6">
        <f t="shared" si="328"/>
        <v>0</v>
      </c>
      <c r="AJ262" s="6">
        <f t="shared" si="329"/>
        <v>0</v>
      </c>
      <c r="AK262" s="6">
        <v>0</v>
      </c>
      <c r="AL262" s="6">
        <f t="shared" si="330"/>
        <v>0</v>
      </c>
      <c r="AM262" s="6">
        <f t="shared" si="331"/>
        <v>0</v>
      </c>
      <c r="AN262" s="6">
        <v>0</v>
      </c>
      <c r="AO262" s="6">
        <f t="shared" si="332"/>
        <v>0</v>
      </c>
      <c r="AP262" s="6">
        <f t="shared" si="333"/>
        <v>0</v>
      </c>
      <c r="AQ262" s="6">
        <v>0</v>
      </c>
      <c r="AR262" s="6">
        <f t="shared" si="334"/>
        <v>0</v>
      </c>
      <c r="AS262" s="6">
        <f t="shared" si="335"/>
        <v>0</v>
      </c>
      <c r="AT262" s="6">
        <v>0</v>
      </c>
      <c r="AU262" s="6">
        <f t="shared" si="336"/>
        <v>0</v>
      </c>
      <c r="AV262" s="6">
        <f t="shared" si="337"/>
        <v>0</v>
      </c>
      <c r="AW262" s="6">
        <v>0</v>
      </c>
      <c r="AX262" s="6">
        <f t="shared" si="338"/>
        <v>0</v>
      </c>
      <c r="AY262" s="6">
        <f t="shared" si="339"/>
        <v>0</v>
      </c>
      <c r="AZ262" s="6">
        <v>0</v>
      </c>
      <c r="BA262" s="6">
        <f t="shared" si="340"/>
        <v>0</v>
      </c>
      <c r="BB262" s="6">
        <f t="shared" si="341"/>
        <v>0</v>
      </c>
      <c r="BC262" s="6">
        <v>0</v>
      </c>
      <c r="BD262" s="6">
        <f t="shared" si="342"/>
        <v>0</v>
      </c>
      <c r="BE262" s="6">
        <f t="shared" si="343"/>
        <v>0</v>
      </c>
      <c r="BF262" s="6">
        <v>0</v>
      </c>
      <c r="BG262" s="6">
        <f t="shared" si="344"/>
        <v>0</v>
      </c>
      <c r="BH262" s="6">
        <f t="shared" si="345"/>
        <v>0</v>
      </c>
      <c r="BI262" s="6">
        <v>0</v>
      </c>
      <c r="BJ262" s="6">
        <f t="shared" si="346"/>
        <v>0</v>
      </c>
      <c r="BK262" s="6">
        <f t="shared" si="347"/>
        <v>0</v>
      </c>
      <c r="BL262" s="6">
        <v>0</v>
      </c>
      <c r="BM262" s="6">
        <f t="shared" si="348"/>
        <v>0</v>
      </c>
      <c r="BN262" s="6">
        <f t="shared" si="349"/>
        <v>0</v>
      </c>
      <c r="BO262" s="6">
        <v>0</v>
      </c>
      <c r="BP262" s="6">
        <f t="shared" si="350"/>
        <v>0</v>
      </c>
      <c r="BQ262" s="6">
        <f t="shared" si="351"/>
        <v>0</v>
      </c>
      <c r="BR262" s="6">
        <v>0</v>
      </c>
      <c r="BS262" s="6">
        <f t="shared" si="352"/>
        <v>0</v>
      </c>
      <c r="BT262" s="6">
        <f t="shared" si="353"/>
        <v>0</v>
      </c>
      <c r="BU262" s="6">
        <v>0</v>
      </c>
      <c r="BV262" s="6">
        <f t="shared" si="354"/>
        <v>0</v>
      </c>
      <c r="BW262" s="6">
        <f t="shared" si="355"/>
        <v>0</v>
      </c>
      <c r="BX262" s="6">
        <v>0</v>
      </c>
      <c r="BY262" s="6">
        <f t="shared" si="356"/>
        <v>0</v>
      </c>
      <c r="BZ262" s="6">
        <f t="shared" si="357"/>
        <v>0</v>
      </c>
      <c r="CA262" s="6">
        <v>0</v>
      </c>
      <c r="CB262" s="6">
        <f t="shared" si="358"/>
        <v>0</v>
      </c>
      <c r="CC262" s="6">
        <f t="shared" si="359"/>
        <v>0</v>
      </c>
      <c r="CD262" s="6">
        <v>0</v>
      </c>
      <c r="CE262" s="6">
        <f t="shared" si="360"/>
        <v>0</v>
      </c>
      <c r="CF262" s="6">
        <f t="shared" si="361"/>
        <v>0</v>
      </c>
      <c r="CG262" s="6">
        <v>0</v>
      </c>
      <c r="CH262" s="6">
        <f t="shared" si="362"/>
        <v>0</v>
      </c>
      <c r="CI262" s="6">
        <f t="shared" si="363"/>
        <v>0</v>
      </c>
      <c r="CJ262" s="6">
        <v>0</v>
      </c>
      <c r="CK262" s="6">
        <f t="shared" si="364"/>
        <v>0</v>
      </c>
      <c r="CL262" s="6">
        <f t="shared" si="365"/>
        <v>0</v>
      </c>
      <c r="CM262" s="6">
        <v>0</v>
      </c>
      <c r="CN262" s="6">
        <f t="shared" si="366"/>
        <v>0</v>
      </c>
      <c r="CO262" s="6">
        <f t="shared" si="367"/>
        <v>0</v>
      </c>
      <c r="CP262" s="6">
        <v>0</v>
      </c>
      <c r="CQ262" s="6">
        <f t="shared" si="368"/>
        <v>0</v>
      </c>
      <c r="CR262" s="6">
        <f t="shared" si="369"/>
        <v>0</v>
      </c>
      <c r="CS262" s="6">
        <v>0</v>
      </c>
      <c r="CT262" s="6">
        <f t="shared" si="370"/>
        <v>0</v>
      </c>
      <c r="CU262" s="6">
        <f t="shared" si="371"/>
        <v>0</v>
      </c>
      <c r="CV262" s="6">
        <v>0</v>
      </c>
      <c r="CW262" s="6">
        <f t="shared" si="372"/>
        <v>0</v>
      </c>
      <c r="CX262" s="6">
        <f t="shared" si="373"/>
        <v>0</v>
      </c>
      <c r="CY262" s="6">
        <v>0</v>
      </c>
      <c r="CZ262" s="6">
        <f t="shared" si="374"/>
        <v>0</v>
      </c>
      <c r="DA262" s="6">
        <f t="shared" si="375"/>
        <v>0</v>
      </c>
      <c r="DB262" s="6">
        <v>0</v>
      </c>
      <c r="DC262" s="6">
        <f t="shared" si="376"/>
        <v>0</v>
      </c>
      <c r="DD262" s="6">
        <f t="shared" si="377"/>
        <v>0</v>
      </c>
      <c r="DE262" s="6">
        <v>0</v>
      </c>
      <c r="DF262" s="6">
        <f t="shared" si="378"/>
        <v>0</v>
      </c>
      <c r="DG262" s="6">
        <f t="shared" si="379"/>
        <v>0</v>
      </c>
      <c r="DH262" s="6">
        <v>0</v>
      </c>
      <c r="DI262" s="6">
        <f t="shared" si="380"/>
        <v>0</v>
      </c>
      <c r="DJ262" s="6">
        <f t="shared" si="381"/>
        <v>0</v>
      </c>
      <c r="DK262" s="6">
        <v>0</v>
      </c>
      <c r="DL262" s="6">
        <f t="shared" si="382"/>
        <v>0</v>
      </c>
      <c r="DM262" s="6">
        <f t="shared" si="383"/>
        <v>0</v>
      </c>
      <c r="DN262" s="6">
        <v>0</v>
      </c>
      <c r="DO262" s="6">
        <f t="shared" si="384"/>
        <v>0</v>
      </c>
      <c r="DP262" s="6">
        <f t="shared" si="385"/>
        <v>0</v>
      </c>
    </row>
    <row r="263" spans="1:120" x14ac:dyDescent="0.2">
      <c r="A263" s="21">
        <v>41</v>
      </c>
      <c r="B263" s="21" t="s">
        <v>687</v>
      </c>
      <c r="C263" s="21">
        <v>41001</v>
      </c>
      <c r="D263" s="21" t="s">
        <v>721</v>
      </c>
      <c r="E263" s="21" t="s">
        <v>522</v>
      </c>
      <c r="F263" s="22" t="s">
        <v>666</v>
      </c>
      <c r="G263" s="4" t="s">
        <v>375</v>
      </c>
      <c r="H263" s="6">
        <v>217009.2</v>
      </c>
      <c r="I263" s="6">
        <f t="shared" si="314"/>
        <v>594.54575342465762</v>
      </c>
      <c r="J263" s="6">
        <v>228163</v>
      </c>
      <c r="K263" s="6">
        <v>32836.589999999997</v>
      </c>
      <c r="L263" s="6">
        <f t="shared" si="315"/>
        <v>89.717459016393434</v>
      </c>
      <c r="M263" s="6">
        <v>199615</v>
      </c>
      <c r="N263" s="6"/>
      <c r="O263" s="6"/>
      <c r="P263" s="6">
        <v>175469</v>
      </c>
      <c r="Q263" s="6"/>
      <c r="R263" s="6"/>
      <c r="S263" s="6">
        <v>154449</v>
      </c>
      <c r="T263" s="6">
        <f t="shared" si="318"/>
        <v>154449</v>
      </c>
      <c r="U263" s="6">
        <f t="shared" si="319"/>
        <v>423.14794520547946</v>
      </c>
      <c r="V263" s="6">
        <v>136684</v>
      </c>
      <c r="W263" s="6">
        <f t="shared" si="320"/>
        <v>136684</v>
      </c>
      <c r="X263" s="6">
        <f t="shared" si="321"/>
        <v>374.47671232876712</v>
      </c>
      <c r="Y263" s="6">
        <v>120479</v>
      </c>
      <c r="Z263" s="6">
        <f t="shared" si="322"/>
        <v>120479</v>
      </c>
      <c r="AA263" s="6">
        <f t="shared" si="323"/>
        <v>330.0794520547945</v>
      </c>
      <c r="AB263" s="6">
        <v>106353</v>
      </c>
      <c r="AC263" s="6">
        <f t="shared" si="324"/>
        <v>106353</v>
      </c>
      <c r="AD263" s="6">
        <f t="shared" si="325"/>
        <v>291.37808219178083</v>
      </c>
      <c r="AE263" s="6">
        <v>93861</v>
      </c>
      <c r="AF263" s="6">
        <f t="shared" si="326"/>
        <v>93861</v>
      </c>
      <c r="AG263" s="6">
        <f t="shared" si="327"/>
        <v>257.15342465753423</v>
      </c>
      <c r="AH263" s="6">
        <v>83738</v>
      </c>
      <c r="AI263" s="6">
        <f t="shared" si="328"/>
        <v>83738</v>
      </c>
      <c r="AJ263" s="6">
        <f t="shared" si="329"/>
        <v>229.41917808219179</v>
      </c>
      <c r="AK263" s="6">
        <v>0</v>
      </c>
      <c r="AL263" s="6">
        <f t="shared" si="330"/>
        <v>0</v>
      </c>
      <c r="AM263" s="6">
        <f t="shared" si="331"/>
        <v>0</v>
      </c>
      <c r="AN263" s="6">
        <v>0</v>
      </c>
      <c r="AO263" s="6">
        <f t="shared" si="332"/>
        <v>0</v>
      </c>
      <c r="AP263" s="6">
        <f t="shared" si="333"/>
        <v>0</v>
      </c>
      <c r="AQ263" s="6">
        <v>0</v>
      </c>
      <c r="AR263" s="6">
        <f t="shared" si="334"/>
        <v>0</v>
      </c>
      <c r="AS263" s="6">
        <f t="shared" si="335"/>
        <v>0</v>
      </c>
      <c r="AT263" s="6">
        <v>0</v>
      </c>
      <c r="AU263" s="6">
        <f t="shared" si="336"/>
        <v>0</v>
      </c>
      <c r="AV263" s="6">
        <f t="shared" si="337"/>
        <v>0</v>
      </c>
      <c r="AW263" s="6">
        <v>0</v>
      </c>
      <c r="AX263" s="6">
        <f t="shared" si="338"/>
        <v>0</v>
      </c>
      <c r="AY263" s="6">
        <f t="shared" si="339"/>
        <v>0</v>
      </c>
      <c r="AZ263" s="6">
        <v>0</v>
      </c>
      <c r="BA263" s="6">
        <f t="shared" si="340"/>
        <v>0</v>
      </c>
      <c r="BB263" s="6">
        <f t="shared" si="341"/>
        <v>0</v>
      </c>
      <c r="BC263" s="6">
        <v>0</v>
      </c>
      <c r="BD263" s="6">
        <f t="shared" si="342"/>
        <v>0</v>
      </c>
      <c r="BE263" s="6">
        <f t="shared" si="343"/>
        <v>0</v>
      </c>
      <c r="BF263" s="6">
        <v>0</v>
      </c>
      <c r="BG263" s="6">
        <f t="shared" si="344"/>
        <v>0</v>
      </c>
      <c r="BH263" s="6">
        <f t="shared" si="345"/>
        <v>0</v>
      </c>
      <c r="BI263" s="6">
        <v>0</v>
      </c>
      <c r="BJ263" s="6">
        <f t="shared" si="346"/>
        <v>0</v>
      </c>
      <c r="BK263" s="6">
        <f t="shared" si="347"/>
        <v>0</v>
      </c>
      <c r="BL263" s="6">
        <v>0</v>
      </c>
      <c r="BM263" s="6">
        <f t="shared" si="348"/>
        <v>0</v>
      </c>
      <c r="BN263" s="6">
        <f t="shared" si="349"/>
        <v>0</v>
      </c>
      <c r="BO263" s="6">
        <v>0</v>
      </c>
      <c r="BP263" s="6">
        <f t="shared" si="350"/>
        <v>0</v>
      </c>
      <c r="BQ263" s="6">
        <f t="shared" si="351"/>
        <v>0</v>
      </c>
      <c r="BR263" s="6">
        <v>0</v>
      </c>
      <c r="BS263" s="6">
        <f t="shared" si="352"/>
        <v>0</v>
      </c>
      <c r="BT263" s="6">
        <f t="shared" si="353"/>
        <v>0</v>
      </c>
      <c r="BU263" s="6">
        <v>0</v>
      </c>
      <c r="BV263" s="6">
        <f t="shared" si="354"/>
        <v>0</v>
      </c>
      <c r="BW263" s="6">
        <f t="shared" si="355"/>
        <v>0</v>
      </c>
      <c r="BX263" s="6">
        <v>0</v>
      </c>
      <c r="BY263" s="6">
        <f t="shared" si="356"/>
        <v>0</v>
      </c>
      <c r="BZ263" s="6">
        <f t="shared" si="357"/>
        <v>0</v>
      </c>
      <c r="CA263" s="6">
        <v>0</v>
      </c>
      <c r="CB263" s="6">
        <f t="shared" si="358"/>
        <v>0</v>
      </c>
      <c r="CC263" s="6">
        <f t="shared" si="359"/>
        <v>0</v>
      </c>
      <c r="CD263" s="6">
        <v>0</v>
      </c>
      <c r="CE263" s="6">
        <f t="shared" si="360"/>
        <v>0</v>
      </c>
      <c r="CF263" s="6">
        <f t="shared" si="361"/>
        <v>0</v>
      </c>
      <c r="CG263" s="6">
        <v>0</v>
      </c>
      <c r="CH263" s="6">
        <f t="shared" si="362"/>
        <v>0</v>
      </c>
      <c r="CI263" s="6">
        <f t="shared" si="363"/>
        <v>0</v>
      </c>
      <c r="CJ263" s="6">
        <v>0</v>
      </c>
      <c r="CK263" s="6">
        <f t="shared" si="364"/>
        <v>0</v>
      </c>
      <c r="CL263" s="6">
        <f t="shared" si="365"/>
        <v>0</v>
      </c>
      <c r="CM263" s="6">
        <v>0</v>
      </c>
      <c r="CN263" s="6">
        <f t="shared" si="366"/>
        <v>0</v>
      </c>
      <c r="CO263" s="6">
        <f t="shared" si="367"/>
        <v>0</v>
      </c>
      <c r="CP263" s="6">
        <v>0</v>
      </c>
      <c r="CQ263" s="6">
        <f t="shared" si="368"/>
        <v>0</v>
      </c>
      <c r="CR263" s="6">
        <f t="shared" si="369"/>
        <v>0</v>
      </c>
      <c r="CS263" s="6">
        <v>0</v>
      </c>
      <c r="CT263" s="6">
        <f t="shared" si="370"/>
        <v>0</v>
      </c>
      <c r="CU263" s="6">
        <f t="shared" si="371"/>
        <v>0</v>
      </c>
      <c r="CV263" s="6">
        <v>0</v>
      </c>
      <c r="CW263" s="6">
        <f t="shared" si="372"/>
        <v>0</v>
      </c>
      <c r="CX263" s="6">
        <f t="shared" si="373"/>
        <v>0</v>
      </c>
      <c r="CY263" s="6">
        <v>0</v>
      </c>
      <c r="CZ263" s="6">
        <f t="shared" si="374"/>
        <v>0</v>
      </c>
      <c r="DA263" s="6">
        <f t="shared" si="375"/>
        <v>0</v>
      </c>
      <c r="DB263" s="6">
        <v>0</v>
      </c>
      <c r="DC263" s="6">
        <f t="shared" si="376"/>
        <v>0</v>
      </c>
      <c r="DD263" s="6">
        <f t="shared" si="377"/>
        <v>0</v>
      </c>
      <c r="DE263" s="6">
        <v>0</v>
      </c>
      <c r="DF263" s="6">
        <f t="shared" si="378"/>
        <v>0</v>
      </c>
      <c r="DG263" s="6">
        <f t="shared" si="379"/>
        <v>0</v>
      </c>
      <c r="DH263" s="6">
        <v>0</v>
      </c>
      <c r="DI263" s="6">
        <f t="shared" si="380"/>
        <v>0</v>
      </c>
      <c r="DJ263" s="6">
        <f t="shared" si="381"/>
        <v>0</v>
      </c>
      <c r="DK263" s="6">
        <v>0</v>
      </c>
      <c r="DL263" s="6">
        <f t="shared" si="382"/>
        <v>0</v>
      </c>
      <c r="DM263" s="6">
        <f t="shared" si="383"/>
        <v>0</v>
      </c>
      <c r="DN263" s="6">
        <v>0</v>
      </c>
      <c r="DO263" s="6">
        <f t="shared" si="384"/>
        <v>0</v>
      </c>
      <c r="DP263" s="6">
        <f t="shared" si="385"/>
        <v>0</v>
      </c>
    </row>
    <row r="264" spans="1:120" x14ac:dyDescent="0.2">
      <c r="A264" s="21">
        <v>85</v>
      </c>
      <c r="B264" s="21" t="s">
        <v>612</v>
      </c>
      <c r="C264" s="21">
        <v>85230</v>
      </c>
      <c r="D264" s="21" t="s">
        <v>614</v>
      </c>
      <c r="E264" s="21" t="s">
        <v>617</v>
      </c>
      <c r="F264" s="22" t="s">
        <v>662</v>
      </c>
      <c r="G264" s="4" t="s">
        <v>376</v>
      </c>
      <c r="H264" s="6">
        <v>979960.48</v>
      </c>
      <c r="I264" s="6">
        <f t="shared" si="314"/>
        <v>2684.8232328767122</v>
      </c>
      <c r="J264" s="6">
        <v>773030.0821</v>
      </c>
      <c r="K264" s="6">
        <v>944585.04</v>
      </c>
      <c r="L264" s="6">
        <f t="shared" si="315"/>
        <v>2580.8334426229508</v>
      </c>
      <c r="M264" s="6">
        <v>163198.07930000001</v>
      </c>
      <c r="N264" s="6">
        <v>761637.55</v>
      </c>
      <c r="O264" s="6">
        <f t="shared" ref="O264:O289" si="386">N264/365</f>
        <v>2086.6782191780821</v>
      </c>
      <c r="P264" s="6">
        <v>76894.969599999997</v>
      </c>
      <c r="Q264" s="6">
        <v>294581.24</v>
      </c>
      <c r="R264" s="6">
        <f t="shared" ref="R264:R271" si="387">Q264/181</f>
        <v>1627.5206629834254</v>
      </c>
      <c r="S264" s="6">
        <v>11619.857599999999</v>
      </c>
      <c r="T264" s="6">
        <f t="shared" si="318"/>
        <v>11619.857599999999</v>
      </c>
      <c r="U264" s="6">
        <f t="shared" si="319"/>
        <v>31.835226301369861</v>
      </c>
      <c r="V264" s="6">
        <v>0</v>
      </c>
      <c r="W264" s="6">
        <f t="shared" si="320"/>
        <v>0</v>
      </c>
      <c r="X264" s="6">
        <f t="shared" si="321"/>
        <v>0</v>
      </c>
      <c r="Y264" s="6">
        <v>0</v>
      </c>
      <c r="Z264" s="6">
        <f t="shared" si="322"/>
        <v>0</v>
      </c>
      <c r="AA264" s="6">
        <f t="shared" si="323"/>
        <v>0</v>
      </c>
      <c r="AB264" s="6">
        <v>0</v>
      </c>
      <c r="AC264" s="6">
        <f t="shared" si="324"/>
        <v>0</v>
      </c>
      <c r="AD264" s="6">
        <f t="shared" si="325"/>
        <v>0</v>
      </c>
      <c r="AE264" s="6">
        <v>0</v>
      </c>
      <c r="AF264" s="6">
        <f t="shared" si="326"/>
        <v>0</v>
      </c>
      <c r="AG264" s="6">
        <f t="shared" si="327"/>
        <v>0</v>
      </c>
      <c r="AH264" s="6">
        <v>0</v>
      </c>
      <c r="AI264" s="6">
        <f t="shared" si="328"/>
        <v>0</v>
      </c>
      <c r="AJ264" s="6">
        <f t="shared" si="329"/>
        <v>0</v>
      </c>
      <c r="AK264" s="6">
        <v>0</v>
      </c>
      <c r="AL264" s="6">
        <f t="shared" si="330"/>
        <v>0</v>
      </c>
      <c r="AM264" s="6">
        <f t="shared" si="331"/>
        <v>0</v>
      </c>
      <c r="AN264" s="6">
        <v>0</v>
      </c>
      <c r="AO264" s="6">
        <f t="shared" si="332"/>
        <v>0</v>
      </c>
      <c r="AP264" s="6">
        <f t="shared" si="333"/>
        <v>0</v>
      </c>
      <c r="AQ264" s="6">
        <v>0</v>
      </c>
      <c r="AR264" s="6">
        <f t="shared" si="334"/>
        <v>0</v>
      </c>
      <c r="AS264" s="6">
        <f t="shared" si="335"/>
        <v>0</v>
      </c>
      <c r="AT264" s="6">
        <v>0</v>
      </c>
      <c r="AU264" s="6">
        <f t="shared" si="336"/>
        <v>0</v>
      </c>
      <c r="AV264" s="6">
        <f t="shared" si="337"/>
        <v>0</v>
      </c>
      <c r="AW264" s="6">
        <v>0</v>
      </c>
      <c r="AX264" s="6">
        <f t="shared" si="338"/>
        <v>0</v>
      </c>
      <c r="AY264" s="6">
        <f t="shared" si="339"/>
        <v>0</v>
      </c>
      <c r="AZ264" s="6">
        <v>0</v>
      </c>
      <c r="BA264" s="6">
        <f t="shared" si="340"/>
        <v>0</v>
      </c>
      <c r="BB264" s="6">
        <f t="shared" si="341"/>
        <v>0</v>
      </c>
      <c r="BC264" s="6">
        <v>0</v>
      </c>
      <c r="BD264" s="6">
        <f t="shared" si="342"/>
        <v>0</v>
      </c>
      <c r="BE264" s="6">
        <f t="shared" si="343"/>
        <v>0</v>
      </c>
      <c r="BF264" s="6">
        <v>0</v>
      </c>
      <c r="BG264" s="6">
        <f t="shared" si="344"/>
        <v>0</v>
      </c>
      <c r="BH264" s="6">
        <f t="shared" si="345"/>
        <v>0</v>
      </c>
      <c r="BI264" s="6">
        <v>0</v>
      </c>
      <c r="BJ264" s="6">
        <f t="shared" si="346"/>
        <v>0</v>
      </c>
      <c r="BK264" s="6">
        <f t="shared" si="347"/>
        <v>0</v>
      </c>
      <c r="BL264" s="6">
        <v>0</v>
      </c>
      <c r="BM264" s="6">
        <f t="shared" si="348"/>
        <v>0</v>
      </c>
      <c r="BN264" s="6">
        <f t="shared" si="349"/>
        <v>0</v>
      </c>
      <c r="BO264" s="6">
        <v>0</v>
      </c>
      <c r="BP264" s="6">
        <f t="shared" si="350"/>
        <v>0</v>
      </c>
      <c r="BQ264" s="6">
        <f t="shared" si="351"/>
        <v>0</v>
      </c>
      <c r="BR264" s="6">
        <v>0</v>
      </c>
      <c r="BS264" s="6">
        <f t="shared" si="352"/>
        <v>0</v>
      </c>
      <c r="BT264" s="6">
        <f t="shared" si="353"/>
        <v>0</v>
      </c>
      <c r="BU264" s="6">
        <v>0</v>
      </c>
      <c r="BV264" s="6">
        <f t="shared" si="354"/>
        <v>0</v>
      </c>
      <c r="BW264" s="6">
        <f t="shared" si="355"/>
        <v>0</v>
      </c>
      <c r="BX264" s="6">
        <v>0</v>
      </c>
      <c r="BY264" s="6">
        <f t="shared" si="356"/>
        <v>0</v>
      </c>
      <c r="BZ264" s="6">
        <f t="shared" si="357"/>
        <v>0</v>
      </c>
      <c r="CA264" s="6">
        <v>0</v>
      </c>
      <c r="CB264" s="6">
        <f t="shared" si="358"/>
        <v>0</v>
      </c>
      <c r="CC264" s="6">
        <f t="shared" si="359"/>
        <v>0</v>
      </c>
      <c r="CD264" s="6">
        <v>0</v>
      </c>
      <c r="CE264" s="6">
        <f t="shared" si="360"/>
        <v>0</v>
      </c>
      <c r="CF264" s="6">
        <f t="shared" si="361"/>
        <v>0</v>
      </c>
      <c r="CG264" s="6">
        <v>0</v>
      </c>
      <c r="CH264" s="6">
        <f t="shared" si="362"/>
        <v>0</v>
      </c>
      <c r="CI264" s="6">
        <f t="shared" si="363"/>
        <v>0</v>
      </c>
      <c r="CJ264" s="6">
        <v>0</v>
      </c>
      <c r="CK264" s="6">
        <f t="shared" si="364"/>
        <v>0</v>
      </c>
      <c r="CL264" s="6">
        <f t="shared" si="365"/>
        <v>0</v>
      </c>
      <c r="CM264" s="6">
        <v>0</v>
      </c>
      <c r="CN264" s="6">
        <f t="shared" si="366"/>
        <v>0</v>
      </c>
      <c r="CO264" s="6">
        <f t="shared" si="367"/>
        <v>0</v>
      </c>
      <c r="CP264" s="6">
        <v>0</v>
      </c>
      <c r="CQ264" s="6">
        <f t="shared" si="368"/>
        <v>0</v>
      </c>
      <c r="CR264" s="6">
        <f t="shared" si="369"/>
        <v>0</v>
      </c>
      <c r="CS264" s="6">
        <v>0</v>
      </c>
      <c r="CT264" s="6">
        <f t="shared" si="370"/>
        <v>0</v>
      </c>
      <c r="CU264" s="6">
        <f t="shared" si="371"/>
        <v>0</v>
      </c>
      <c r="CV264" s="6">
        <v>0</v>
      </c>
      <c r="CW264" s="6">
        <f t="shared" si="372"/>
        <v>0</v>
      </c>
      <c r="CX264" s="6">
        <f t="shared" si="373"/>
        <v>0</v>
      </c>
      <c r="CY264" s="6">
        <v>0</v>
      </c>
      <c r="CZ264" s="6">
        <f t="shared" si="374"/>
        <v>0</v>
      </c>
      <c r="DA264" s="6">
        <f t="shared" si="375"/>
        <v>0</v>
      </c>
      <c r="DB264" s="6">
        <v>0</v>
      </c>
      <c r="DC264" s="6">
        <f t="shared" si="376"/>
        <v>0</v>
      </c>
      <c r="DD264" s="6">
        <f t="shared" si="377"/>
        <v>0</v>
      </c>
      <c r="DE264" s="6">
        <v>0</v>
      </c>
      <c r="DF264" s="6">
        <f t="shared" si="378"/>
        <v>0</v>
      </c>
      <c r="DG264" s="6">
        <f t="shared" si="379"/>
        <v>0</v>
      </c>
      <c r="DH264" s="6">
        <v>0</v>
      </c>
      <c r="DI264" s="6">
        <f t="shared" si="380"/>
        <v>0</v>
      </c>
      <c r="DJ264" s="6">
        <f t="shared" si="381"/>
        <v>0</v>
      </c>
      <c r="DK264" s="6">
        <v>0</v>
      </c>
      <c r="DL264" s="6">
        <f t="shared" si="382"/>
        <v>0</v>
      </c>
      <c r="DM264" s="6">
        <f t="shared" si="383"/>
        <v>0</v>
      </c>
      <c r="DN264" s="6">
        <v>0</v>
      </c>
      <c r="DO264" s="6">
        <f t="shared" si="384"/>
        <v>0</v>
      </c>
      <c r="DP264" s="6">
        <f t="shared" si="385"/>
        <v>0</v>
      </c>
    </row>
    <row r="265" spans="1:120" x14ac:dyDescent="0.2">
      <c r="A265" s="21">
        <v>73</v>
      </c>
      <c r="B265" s="21" t="s">
        <v>582</v>
      </c>
      <c r="C265" s="21">
        <v>73547</v>
      </c>
      <c r="D265" s="21" t="s">
        <v>678</v>
      </c>
      <c r="E265" s="21" t="s">
        <v>679</v>
      </c>
      <c r="F265" s="22" t="s">
        <v>662</v>
      </c>
      <c r="G265" s="4" t="s">
        <v>377</v>
      </c>
      <c r="H265" s="6">
        <v>10267.780000000001</v>
      </c>
      <c r="I265" s="6">
        <f t="shared" si="314"/>
        <v>28.130904109589043</v>
      </c>
      <c r="J265" s="6">
        <v>8238.4699999999993</v>
      </c>
      <c r="K265" s="6">
        <v>9436.9599999999991</v>
      </c>
      <c r="L265" s="6">
        <f t="shared" si="315"/>
        <v>25.784043715846991</v>
      </c>
      <c r="M265" s="6">
        <v>6028.44</v>
      </c>
      <c r="N265" s="6">
        <v>8041.97</v>
      </c>
      <c r="O265" s="6">
        <f t="shared" si="386"/>
        <v>22.032794520547945</v>
      </c>
      <c r="P265" s="6">
        <v>4553.8900000000003</v>
      </c>
      <c r="Q265" s="6">
        <v>4002.32</v>
      </c>
      <c r="R265" s="6">
        <f t="shared" si="387"/>
        <v>22.112265193370167</v>
      </c>
      <c r="S265" s="6">
        <v>3647.06</v>
      </c>
      <c r="T265" s="6">
        <f t="shared" si="318"/>
        <v>3647.06</v>
      </c>
      <c r="U265" s="6">
        <f t="shared" si="319"/>
        <v>9.9919452054794515</v>
      </c>
      <c r="V265" s="6">
        <v>2860.4</v>
      </c>
      <c r="W265" s="6">
        <f t="shared" si="320"/>
        <v>2860.4</v>
      </c>
      <c r="X265" s="6">
        <f t="shared" si="321"/>
        <v>7.8367123287671232</v>
      </c>
      <c r="Y265" s="6">
        <v>1568.62</v>
      </c>
      <c r="Z265" s="6">
        <f t="shared" si="322"/>
        <v>1568.62</v>
      </c>
      <c r="AA265" s="6">
        <f t="shared" si="323"/>
        <v>4.2975890410958897</v>
      </c>
      <c r="AB265" s="6">
        <v>1293.07</v>
      </c>
      <c r="AC265" s="6">
        <f t="shared" si="324"/>
        <v>1293.07</v>
      </c>
      <c r="AD265" s="6">
        <f t="shared" si="325"/>
        <v>3.5426575342465751</v>
      </c>
      <c r="AE265" s="6">
        <v>0</v>
      </c>
      <c r="AF265" s="6">
        <f t="shared" si="326"/>
        <v>0</v>
      </c>
      <c r="AG265" s="6">
        <f t="shared" si="327"/>
        <v>0</v>
      </c>
      <c r="AH265" s="6">
        <v>0</v>
      </c>
      <c r="AI265" s="6">
        <f t="shared" si="328"/>
        <v>0</v>
      </c>
      <c r="AJ265" s="6">
        <f t="shared" si="329"/>
        <v>0</v>
      </c>
      <c r="AK265" s="6">
        <v>0</v>
      </c>
      <c r="AL265" s="6">
        <f t="shared" si="330"/>
        <v>0</v>
      </c>
      <c r="AM265" s="6">
        <f t="shared" si="331"/>
        <v>0</v>
      </c>
      <c r="AN265" s="6">
        <v>0</v>
      </c>
      <c r="AO265" s="6">
        <f t="shared" si="332"/>
        <v>0</v>
      </c>
      <c r="AP265" s="6">
        <f t="shared" si="333"/>
        <v>0</v>
      </c>
      <c r="AQ265" s="6">
        <v>0</v>
      </c>
      <c r="AR265" s="6">
        <f t="shared" si="334"/>
        <v>0</v>
      </c>
      <c r="AS265" s="6">
        <f t="shared" si="335"/>
        <v>0</v>
      </c>
      <c r="AT265" s="6">
        <v>0</v>
      </c>
      <c r="AU265" s="6">
        <f t="shared" si="336"/>
        <v>0</v>
      </c>
      <c r="AV265" s="6">
        <f t="shared" si="337"/>
        <v>0</v>
      </c>
      <c r="AW265" s="6">
        <v>0</v>
      </c>
      <c r="AX265" s="6">
        <f t="shared" si="338"/>
        <v>0</v>
      </c>
      <c r="AY265" s="6">
        <f t="shared" si="339"/>
        <v>0</v>
      </c>
      <c r="AZ265" s="6">
        <v>0</v>
      </c>
      <c r="BA265" s="6">
        <f t="shared" si="340"/>
        <v>0</v>
      </c>
      <c r="BB265" s="6">
        <f t="shared" si="341"/>
        <v>0</v>
      </c>
      <c r="BC265" s="6">
        <v>0</v>
      </c>
      <c r="BD265" s="6">
        <f t="shared" si="342"/>
        <v>0</v>
      </c>
      <c r="BE265" s="6">
        <f t="shared" si="343"/>
        <v>0</v>
      </c>
      <c r="BF265" s="6">
        <v>0</v>
      </c>
      <c r="BG265" s="6">
        <f t="shared" si="344"/>
        <v>0</v>
      </c>
      <c r="BH265" s="6">
        <f t="shared" si="345"/>
        <v>0</v>
      </c>
      <c r="BI265" s="6">
        <v>0</v>
      </c>
      <c r="BJ265" s="6">
        <f t="shared" si="346"/>
        <v>0</v>
      </c>
      <c r="BK265" s="6">
        <f t="shared" si="347"/>
        <v>0</v>
      </c>
      <c r="BL265" s="6">
        <v>0</v>
      </c>
      <c r="BM265" s="6">
        <f t="shared" si="348"/>
        <v>0</v>
      </c>
      <c r="BN265" s="6">
        <f t="shared" si="349"/>
        <v>0</v>
      </c>
      <c r="BO265" s="6">
        <v>0</v>
      </c>
      <c r="BP265" s="6">
        <f t="shared" si="350"/>
        <v>0</v>
      </c>
      <c r="BQ265" s="6">
        <f t="shared" si="351"/>
        <v>0</v>
      </c>
      <c r="BR265" s="6">
        <v>0</v>
      </c>
      <c r="BS265" s="6">
        <f t="shared" si="352"/>
        <v>0</v>
      </c>
      <c r="BT265" s="6">
        <f t="shared" si="353"/>
        <v>0</v>
      </c>
      <c r="BU265" s="6">
        <v>0</v>
      </c>
      <c r="BV265" s="6">
        <f t="shared" si="354"/>
        <v>0</v>
      </c>
      <c r="BW265" s="6">
        <f t="shared" si="355"/>
        <v>0</v>
      </c>
      <c r="BX265" s="6">
        <v>0</v>
      </c>
      <c r="BY265" s="6">
        <f t="shared" si="356"/>
        <v>0</v>
      </c>
      <c r="BZ265" s="6">
        <f t="shared" si="357"/>
        <v>0</v>
      </c>
      <c r="CA265" s="6">
        <v>0</v>
      </c>
      <c r="CB265" s="6">
        <f t="shared" si="358"/>
        <v>0</v>
      </c>
      <c r="CC265" s="6">
        <f t="shared" si="359"/>
        <v>0</v>
      </c>
      <c r="CD265" s="6">
        <v>0</v>
      </c>
      <c r="CE265" s="6">
        <f t="shared" si="360"/>
        <v>0</v>
      </c>
      <c r="CF265" s="6">
        <f t="shared" si="361"/>
        <v>0</v>
      </c>
      <c r="CG265" s="6">
        <v>0</v>
      </c>
      <c r="CH265" s="6">
        <f t="shared" si="362"/>
        <v>0</v>
      </c>
      <c r="CI265" s="6">
        <f t="shared" si="363"/>
        <v>0</v>
      </c>
      <c r="CJ265" s="6">
        <v>0</v>
      </c>
      <c r="CK265" s="6">
        <f t="shared" si="364"/>
        <v>0</v>
      </c>
      <c r="CL265" s="6">
        <f t="shared" si="365"/>
        <v>0</v>
      </c>
      <c r="CM265" s="6">
        <v>0</v>
      </c>
      <c r="CN265" s="6">
        <f t="shared" si="366"/>
        <v>0</v>
      </c>
      <c r="CO265" s="6">
        <f t="shared" si="367"/>
        <v>0</v>
      </c>
      <c r="CP265" s="6">
        <v>0</v>
      </c>
      <c r="CQ265" s="6">
        <f t="shared" si="368"/>
        <v>0</v>
      </c>
      <c r="CR265" s="6">
        <f t="shared" si="369"/>
        <v>0</v>
      </c>
      <c r="CS265" s="6">
        <v>0</v>
      </c>
      <c r="CT265" s="6">
        <f t="shared" si="370"/>
        <v>0</v>
      </c>
      <c r="CU265" s="6">
        <f t="shared" si="371"/>
        <v>0</v>
      </c>
      <c r="CV265" s="6">
        <v>0</v>
      </c>
      <c r="CW265" s="6">
        <f t="shared" si="372"/>
        <v>0</v>
      </c>
      <c r="CX265" s="6">
        <f t="shared" si="373"/>
        <v>0</v>
      </c>
      <c r="CY265" s="6">
        <v>0</v>
      </c>
      <c r="CZ265" s="6">
        <f t="shared" si="374"/>
        <v>0</v>
      </c>
      <c r="DA265" s="6">
        <f t="shared" si="375"/>
        <v>0</v>
      </c>
      <c r="DB265" s="6">
        <v>0</v>
      </c>
      <c r="DC265" s="6">
        <f t="shared" si="376"/>
        <v>0</v>
      </c>
      <c r="DD265" s="6">
        <f t="shared" si="377"/>
        <v>0</v>
      </c>
      <c r="DE265" s="6">
        <v>0</v>
      </c>
      <c r="DF265" s="6">
        <f t="shared" si="378"/>
        <v>0</v>
      </c>
      <c r="DG265" s="6">
        <f t="shared" si="379"/>
        <v>0</v>
      </c>
      <c r="DH265" s="6">
        <v>0</v>
      </c>
      <c r="DI265" s="6">
        <f t="shared" si="380"/>
        <v>0</v>
      </c>
      <c r="DJ265" s="6">
        <f t="shared" si="381"/>
        <v>0</v>
      </c>
      <c r="DK265" s="6">
        <v>0</v>
      </c>
      <c r="DL265" s="6">
        <f t="shared" si="382"/>
        <v>0</v>
      </c>
      <c r="DM265" s="6">
        <f t="shared" si="383"/>
        <v>0</v>
      </c>
      <c r="DN265" s="6">
        <v>0</v>
      </c>
      <c r="DO265" s="6">
        <f t="shared" si="384"/>
        <v>0</v>
      </c>
      <c r="DP265" s="6">
        <f t="shared" si="385"/>
        <v>0</v>
      </c>
    </row>
    <row r="266" spans="1:120" x14ac:dyDescent="0.2">
      <c r="A266" s="21">
        <v>73</v>
      </c>
      <c r="B266" s="21" t="s">
        <v>582</v>
      </c>
      <c r="C266" s="21">
        <v>73168</v>
      </c>
      <c r="D266" s="21" t="s">
        <v>729</v>
      </c>
      <c r="E266" s="21" t="s">
        <v>575</v>
      </c>
      <c r="F266" s="22" t="s">
        <v>666</v>
      </c>
      <c r="G266" s="4" t="s">
        <v>378</v>
      </c>
      <c r="H266" s="6">
        <v>299603.73</v>
      </c>
      <c r="I266" s="6">
        <f t="shared" si="314"/>
        <v>820.83213698630129</v>
      </c>
      <c r="J266" s="6">
        <v>318407</v>
      </c>
      <c r="K266" s="6">
        <v>304867.09999999998</v>
      </c>
      <c r="L266" s="6">
        <f t="shared" si="315"/>
        <v>832.97021857923494</v>
      </c>
      <c r="M266" s="6">
        <v>285215</v>
      </c>
      <c r="N266" s="6">
        <v>298312.31</v>
      </c>
      <c r="O266" s="6">
        <f t="shared" si="386"/>
        <v>817.29399999999998</v>
      </c>
      <c r="P266" s="6">
        <v>254416</v>
      </c>
      <c r="Q266" s="6">
        <v>141181.24</v>
      </c>
      <c r="R266" s="6">
        <f t="shared" si="387"/>
        <v>780.00685082872928</v>
      </c>
      <c r="S266" s="6">
        <v>227091</v>
      </c>
      <c r="T266" s="6">
        <f t="shared" si="318"/>
        <v>227091</v>
      </c>
      <c r="U266" s="6">
        <f t="shared" si="319"/>
        <v>622.16712328767119</v>
      </c>
      <c r="V266" s="6">
        <v>203355</v>
      </c>
      <c r="W266" s="6">
        <f t="shared" si="320"/>
        <v>203355</v>
      </c>
      <c r="X266" s="6">
        <f t="shared" si="321"/>
        <v>557.13698630136992</v>
      </c>
      <c r="Y266" s="6">
        <v>181225</v>
      </c>
      <c r="Z266" s="6">
        <f t="shared" si="322"/>
        <v>181225</v>
      </c>
      <c r="AA266" s="6">
        <f t="shared" si="323"/>
        <v>496.50684931506851</v>
      </c>
      <c r="AB266" s="6">
        <v>162072</v>
      </c>
      <c r="AC266" s="6">
        <f t="shared" si="324"/>
        <v>162072</v>
      </c>
      <c r="AD266" s="6">
        <f t="shared" si="325"/>
        <v>444.03287671232874</v>
      </c>
      <c r="AE266" s="6">
        <v>145037</v>
      </c>
      <c r="AF266" s="6">
        <f t="shared" si="326"/>
        <v>145037</v>
      </c>
      <c r="AG266" s="6">
        <f t="shared" si="327"/>
        <v>397.36164383561646</v>
      </c>
      <c r="AH266" s="6">
        <v>130222</v>
      </c>
      <c r="AI266" s="6">
        <f t="shared" si="328"/>
        <v>130222</v>
      </c>
      <c r="AJ266" s="6">
        <f t="shared" si="329"/>
        <v>356.77260273972604</v>
      </c>
      <c r="AK266" s="6">
        <v>116346</v>
      </c>
      <c r="AL266" s="6">
        <f t="shared" si="330"/>
        <v>116346</v>
      </c>
      <c r="AM266" s="6">
        <f t="shared" si="331"/>
        <v>318.75616438356167</v>
      </c>
      <c r="AN266" s="6">
        <v>104327</v>
      </c>
      <c r="AO266" s="6">
        <f t="shared" si="332"/>
        <v>104327</v>
      </c>
      <c r="AP266" s="6">
        <f t="shared" si="333"/>
        <v>285.82739726027398</v>
      </c>
      <c r="AQ266" s="6">
        <v>93600</v>
      </c>
      <c r="AR266" s="6">
        <f t="shared" si="334"/>
        <v>93600</v>
      </c>
      <c r="AS266" s="6">
        <f t="shared" si="335"/>
        <v>256.43835616438355</v>
      </c>
      <c r="AT266" s="6">
        <v>84255</v>
      </c>
      <c r="AU266" s="6">
        <f t="shared" si="336"/>
        <v>84255</v>
      </c>
      <c r="AV266" s="6">
        <f t="shared" si="337"/>
        <v>230.83561643835617</v>
      </c>
      <c r="AW266" s="6">
        <v>75475</v>
      </c>
      <c r="AX266" s="6">
        <f t="shared" si="338"/>
        <v>75475</v>
      </c>
      <c r="AY266" s="6">
        <f t="shared" si="339"/>
        <v>206.78082191780823</v>
      </c>
      <c r="AZ266" s="6">
        <v>67846</v>
      </c>
      <c r="BA266" s="6">
        <f t="shared" si="340"/>
        <v>67846</v>
      </c>
      <c r="BB266" s="6">
        <f t="shared" si="341"/>
        <v>185.87945205479451</v>
      </c>
      <c r="BC266" s="6">
        <v>61031</v>
      </c>
      <c r="BD266" s="6">
        <f t="shared" si="342"/>
        <v>61031</v>
      </c>
      <c r="BE266" s="6">
        <f t="shared" si="343"/>
        <v>167.2082191780822</v>
      </c>
      <c r="BF266" s="6">
        <v>0</v>
      </c>
      <c r="BG266" s="6">
        <f t="shared" si="344"/>
        <v>0</v>
      </c>
      <c r="BH266" s="6">
        <f t="shared" si="345"/>
        <v>0</v>
      </c>
      <c r="BI266" s="6">
        <v>0</v>
      </c>
      <c r="BJ266" s="6">
        <f t="shared" si="346"/>
        <v>0</v>
      </c>
      <c r="BK266" s="6">
        <f t="shared" si="347"/>
        <v>0</v>
      </c>
      <c r="BL266" s="6">
        <v>0</v>
      </c>
      <c r="BM266" s="6">
        <f t="shared" si="348"/>
        <v>0</v>
      </c>
      <c r="BN266" s="6">
        <f t="shared" si="349"/>
        <v>0</v>
      </c>
      <c r="BO266" s="6">
        <v>0</v>
      </c>
      <c r="BP266" s="6">
        <f t="shared" si="350"/>
        <v>0</v>
      </c>
      <c r="BQ266" s="6">
        <f t="shared" si="351"/>
        <v>0</v>
      </c>
      <c r="BR266" s="6">
        <v>0</v>
      </c>
      <c r="BS266" s="6">
        <f t="shared" si="352"/>
        <v>0</v>
      </c>
      <c r="BT266" s="6">
        <f t="shared" si="353"/>
        <v>0</v>
      </c>
      <c r="BU266" s="6">
        <v>0</v>
      </c>
      <c r="BV266" s="6">
        <f t="shared" si="354"/>
        <v>0</v>
      </c>
      <c r="BW266" s="6">
        <f t="shared" si="355"/>
        <v>0</v>
      </c>
      <c r="BX266" s="6">
        <v>0</v>
      </c>
      <c r="BY266" s="6">
        <f t="shared" si="356"/>
        <v>0</v>
      </c>
      <c r="BZ266" s="6">
        <f t="shared" si="357"/>
        <v>0</v>
      </c>
      <c r="CA266" s="6">
        <v>0</v>
      </c>
      <c r="CB266" s="6">
        <f t="shared" si="358"/>
        <v>0</v>
      </c>
      <c r="CC266" s="6">
        <f t="shared" si="359"/>
        <v>0</v>
      </c>
      <c r="CD266" s="6">
        <v>0</v>
      </c>
      <c r="CE266" s="6">
        <f t="shared" si="360"/>
        <v>0</v>
      </c>
      <c r="CF266" s="6">
        <f t="shared" si="361"/>
        <v>0</v>
      </c>
      <c r="CG266" s="6">
        <v>0</v>
      </c>
      <c r="CH266" s="6">
        <f t="shared" si="362"/>
        <v>0</v>
      </c>
      <c r="CI266" s="6">
        <f t="shared" si="363"/>
        <v>0</v>
      </c>
      <c r="CJ266" s="6">
        <v>0</v>
      </c>
      <c r="CK266" s="6">
        <f t="shared" si="364"/>
        <v>0</v>
      </c>
      <c r="CL266" s="6">
        <f t="shared" si="365"/>
        <v>0</v>
      </c>
      <c r="CM266" s="6">
        <v>0</v>
      </c>
      <c r="CN266" s="6">
        <f t="shared" si="366"/>
        <v>0</v>
      </c>
      <c r="CO266" s="6">
        <f t="shared" si="367"/>
        <v>0</v>
      </c>
      <c r="CP266" s="6">
        <v>0</v>
      </c>
      <c r="CQ266" s="6">
        <f t="shared" si="368"/>
        <v>0</v>
      </c>
      <c r="CR266" s="6">
        <f t="shared" si="369"/>
        <v>0</v>
      </c>
      <c r="CS266" s="6">
        <v>0</v>
      </c>
      <c r="CT266" s="6">
        <f t="shared" si="370"/>
        <v>0</v>
      </c>
      <c r="CU266" s="6">
        <f t="shared" si="371"/>
        <v>0</v>
      </c>
      <c r="CV266" s="6">
        <v>0</v>
      </c>
      <c r="CW266" s="6">
        <f t="shared" si="372"/>
        <v>0</v>
      </c>
      <c r="CX266" s="6">
        <f t="shared" si="373"/>
        <v>0</v>
      </c>
      <c r="CY266" s="6">
        <v>0</v>
      </c>
      <c r="CZ266" s="6">
        <f t="shared" si="374"/>
        <v>0</v>
      </c>
      <c r="DA266" s="6">
        <f t="shared" si="375"/>
        <v>0</v>
      </c>
      <c r="DB266" s="6">
        <v>0</v>
      </c>
      <c r="DC266" s="6">
        <f t="shared" si="376"/>
        <v>0</v>
      </c>
      <c r="DD266" s="6">
        <f t="shared" si="377"/>
        <v>0</v>
      </c>
      <c r="DE266" s="6">
        <v>0</v>
      </c>
      <c r="DF266" s="6">
        <f t="shared" si="378"/>
        <v>0</v>
      </c>
      <c r="DG266" s="6">
        <f t="shared" si="379"/>
        <v>0</v>
      </c>
      <c r="DH266" s="6">
        <v>0</v>
      </c>
      <c r="DI266" s="6">
        <f t="shared" si="380"/>
        <v>0</v>
      </c>
      <c r="DJ266" s="6">
        <f t="shared" si="381"/>
        <v>0</v>
      </c>
      <c r="DK266" s="6">
        <v>0</v>
      </c>
      <c r="DL266" s="6">
        <f t="shared" si="382"/>
        <v>0</v>
      </c>
      <c r="DM266" s="6">
        <f t="shared" si="383"/>
        <v>0</v>
      </c>
      <c r="DN266" s="6">
        <v>0</v>
      </c>
      <c r="DO266" s="6">
        <f t="shared" si="384"/>
        <v>0</v>
      </c>
      <c r="DP266" s="6">
        <f t="shared" si="385"/>
        <v>0</v>
      </c>
    </row>
    <row r="267" spans="1:120" x14ac:dyDescent="0.2">
      <c r="A267" s="21">
        <v>54</v>
      </c>
      <c r="B267" s="21" t="s">
        <v>744</v>
      </c>
      <c r="C267" s="21">
        <v>54001</v>
      </c>
      <c r="D267" s="21" t="s">
        <v>745</v>
      </c>
      <c r="E267" s="21" t="s">
        <v>588</v>
      </c>
      <c r="F267" s="22" t="s">
        <v>666</v>
      </c>
      <c r="G267" s="4" t="s">
        <v>379</v>
      </c>
      <c r="H267" s="6">
        <v>155454.82999999999</v>
      </c>
      <c r="I267" s="6">
        <f t="shared" si="314"/>
        <v>425.90364383561638</v>
      </c>
      <c r="J267" s="6">
        <v>195626.0172</v>
      </c>
      <c r="K267" s="6">
        <v>148280.28</v>
      </c>
      <c r="L267" s="6">
        <f t="shared" si="315"/>
        <v>405.13737704918032</v>
      </c>
      <c r="M267" s="6">
        <v>276634.28539999999</v>
      </c>
      <c r="N267" s="6">
        <v>155036.76999999999</v>
      </c>
      <c r="O267" s="6">
        <f t="shared" si="386"/>
        <v>424.75827397260269</v>
      </c>
      <c r="P267" s="6">
        <v>419085.36820000003</v>
      </c>
      <c r="Q267" s="6">
        <v>71235.55</v>
      </c>
      <c r="R267" s="6">
        <f t="shared" si="387"/>
        <v>393.56657458563535</v>
      </c>
      <c r="S267" s="6">
        <v>369466.43949999998</v>
      </c>
      <c r="T267" s="6">
        <f t="shared" si="318"/>
        <v>369466.43949999998</v>
      </c>
      <c r="U267" s="6">
        <f t="shared" si="319"/>
        <v>1012.2368205479452</v>
      </c>
      <c r="V267" s="6">
        <v>325078.04119999998</v>
      </c>
      <c r="W267" s="6">
        <f t="shared" si="320"/>
        <v>325078.04119999998</v>
      </c>
      <c r="X267" s="6">
        <f t="shared" si="321"/>
        <v>890.62477041095883</v>
      </c>
      <c r="Y267" s="6">
        <v>288553.93939999997</v>
      </c>
      <c r="Z267" s="6">
        <f t="shared" si="322"/>
        <v>288553.93939999997</v>
      </c>
      <c r="AA267" s="6">
        <f t="shared" si="323"/>
        <v>790.55873808219167</v>
      </c>
      <c r="AB267" s="6">
        <v>257186.74059999999</v>
      </c>
      <c r="AC267" s="6">
        <f t="shared" si="324"/>
        <v>257186.74059999999</v>
      </c>
      <c r="AD267" s="6">
        <f t="shared" si="325"/>
        <v>704.6212071232876</v>
      </c>
      <c r="AE267" s="6">
        <v>231067.3315</v>
      </c>
      <c r="AF267" s="6">
        <f t="shared" si="326"/>
        <v>231067.3315</v>
      </c>
      <c r="AG267" s="6">
        <f t="shared" si="327"/>
        <v>633.06118219178086</v>
      </c>
      <c r="AH267" s="6">
        <v>208209.73989999999</v>
      </c>
      <c r="AI267" s="6">
        <f t="shared" si="328"/>
        <v>208209.73989999999</v>
      </c>
      <c r="AJ267" s="6">
        <f t="shared" si="329"/>
        <v>570.43764356164377</v>
      </c>
      <c r="AK267" s="6">
        <v>188814.92199999999</v>
      </c>
      <c r="AL267" s="6">
        <f t="shared" si="330"/>
        <v>188814.92199999999</v>
      </c>
      <c r="AM267" s="6">
        <f t="shared" si="331"/>
        <v>517.30115616438354</v>
      </c>
      <c r="AN267" s="6">
        <v>172280.1912</v>
      </c>
      <c r="AO267" s="6">
        <f t="shared" si="332"/>
        <v>172280.1912</v>
      </c>
      <c r="AP267" s="6">
        <f t="shared" si="333"/>
        <v>472.00052383561643</v>
      </c>
      <c r="AQ267" s="6">
        <v>157776.80780000001</v>
      </c>
      <c r="AR267" s="6">
        <f t="shared" si="334"/>
        <v>157776.80780000001</v>
      </c>
      <c r="AS267" s="6">
        <f t="shared" si="335"/>
        <v>432.26522684931507</v>
      </c>
      <c r="AT267" s="6">
        <v>143966.04870000001</v>
      </c>
      <c r="AU267" s="6">
        <f t="shared" si="336"/>
        <v>143966.04870000001</v>
      </c>
      <c r="AV267" s="6">
        <f t="shared" si="337"/>
        <v>394.42753068493153</v>
      </c>
      <c r="AW267" s="6">
        <v>132725.3351</v>
      </c>
      <c r="AX267" s="6">
        <f t="shared" si="338"/>
        <v>132725.3351</v>
      </c>
      <c r="AY267" s="6">
        <f t="shared" si="339"/>
        <v>363.63105506849314</v>
      </c>
      <c r="AZ267" s="6">
        <v>122790.2127</v>
      </c>
      <c r="BA267" s="6">
        <f t="shared" si="340"/>
        <v>122790.2127</v>
      </c>
      <c r="BB267" s="6">
        <f t="shared" si="341"/>
        <v>336.41154164383562</v>
      </c>
      <c r="BC267" s="6">
        <v>113899.52929999999</v>
      </c>
      <c r="BD267" s="6">
        <f t="shared" si="342"/>
        <v>113899.52929999999</v>
      </c>
      <c r="BE267" s="6">
        <f t="shared" si="343"/>
        <v>312.05350493150684</v>
      </c>
      <c r="BF267" s="6">
        <v>104867.3643</v>
      </c>
      <c r="BG267" s="6">
        <f t="shared" si="344"/>
        <v>104867.3643</v>
      </c>
      <c r="BH267" s="6">
        <f t="shared" si="345"/>
        <v>287.30784739726028</v>
      </c>
      <c r="BI267" s="6">
        <v>97777.622300000003</v>
      </c>
      <c r="BJ267" s="6">
        <f t="shared" si="346"/>
        <v>97777.622300000003</v>
      </c>
      <c r="BK267" s="6">
        <f t="shared" si="347"/>
        <v>267.88389671232875</v>
      </c>
      <c r="BL267" s="6">
        <v>91418.378400000001</v>
      </c>
      <c r="BM267" s="6">
        <f t="shared" si="348"/>
        <v>91418.378400000001</v>
      </c>
      <c r="BN267" s="6">
        <f t="shared" si="349"/>
        <v>250.4613106849315</v>
      </c>
      <c r="BO267" s="6">
        <v>85645.623099999997</v>
      </c>
      <c r="BP267" s="6">
        <f t="shared" si="350"/>
        <v>85645.623099999997</v>
      </c>
      <c r="BQ267" s="6">
        <f t="shared" si="351"/>
        <v>234.64554273972601</v>
      </c>
      <c r="BR267" s="6">
        <v>80407.978799999997</v>
      </c>
      <c r="BS267" s="6">
        <f t="shared" si="352"/>
        <v>80407.978799999997</v>
      </c>
      <c r="BT267" s="6">
        <f t="shared" si="353"/>
        <v>220.29583232876712</v>
      </c>
      <c r="BU267" s="6">
        <v>75690.183600000004</v>
      </c>
      <c r="BV267" s="6">
        <f t="shared" si="354"/>
        <v>75690.183600000004</v>
      </c>
      <c r="BW267" s="6">
        <f t="shared" si="355"/>
        <v>207.37036602739727</v>
      </c>
      <c r="BX267" s="6">
        <v>71378.351200000005</v>
      </c>
      <c r="BY267" s="6">
        <f t="shared" si="356"/>
        <v>71378.351200000005</v>
      </c>
      <c r="BZ267" s="6">
        <f t="shared" si="357"/>
        <v>195.55712657534247</v>
      </c>
      <c r="CA267" s="6">
        <v>66213.548999999999</v>
      </c>
      <c r="CB267" s="6">
        <f t="shared" si="358"/>
        <v>66213.548999999999</v>
      </c>
      <c r="CC267" s="6">
        <f t="shared" si="359"/>
        <v>181.40698356164384</v>
      </c>
      <c r="CD267" s="6">
        <v>62301.200499999999</v>
      </c>
      <c r="CE267" s="6">
        <f t="shared" si="360"/>
        <v>62301.200499999999</v>
      </c>
      <c r="CF267" s="6">
        <f t="shared" si="361"/>
        <v>170.68822054794521</v>
      </c>
      <c r="CG267" s="6">
        <v>58569.741999999998</v>
      </c>
      <c r="CH267" s="6">
        <f t="shared" si="362"/>
        <v>58569.741999999998</v>
      </c>
      <c r="CI267" s="6">
        <f t="shared" si="363"/>
        <v>160.46504657534246</v>
      </c>
      <c r="CJ267" s="6">
        <v>55180.272599999997</v>
      </c>
      <c r="CK267" s="6">
        <f t="shared" si="364"/>
        <v>55180.272599999997</v>
      </c>
      <c r="CL267" s="6">
        <f t="shared" si="365"/>
        <v>151.1788290410959</v>
      </c>
      <c r="CM267" s="6">
        <v>52583.361900000004</v>
      </c>
      <c r="CN267" s="6">
        <f t="shared" si="366"/>
        <v>52583.361900000004</v>
      </c>
      <c r="CO267" s="6">
        <f t="shared" si="367"/>
        <v>144.06400520547948</v>
      </c>
      <c r="CP267" s="6">
        <v>49537.216800000002</v>
      </c>
      <c r="CQ267" s="6">
        <f t="shared" si="368"/>
        <v>49537.216800000002</v>
      </c>
      <c r="CR267" s="6">
        <f t="shared" si="369"/>
        <v>135.71840219178083</v>
      </c>
      <c r="CS267" s="6">
        <v>46142.8194</v>
      </c>
      <c r="CT267" s="6">
        <f t="shared" si="370"/>
        <v>46142.8194</v>
      </c>
      <c r="CU267" s="6">
        <f t="shared" si="371"/>
        <v>126.41868328767123</v>
      </c>
      <c r="CV267" s="6">
        <v>42808.474099999999</v>
      </c>
      <c r="CW267" s="6">
        <f t="shared" si="372"/>
        <v>42808.474099999999</v>
      </c>
      <c r="CX267" s="6">
        <f t="shared" si="373"/>
        <v>117.28349068493151</v>
      </c>
      <c r="CY267" s="6">
        <v>40333.935599999997</v>
      </c>
      <c r="CZ267" s="6">
        <f t="shared" si="374"/>
        <v>40333.935599999997</v>
      </c>
      <c r="DA267" s="6">
        <f t="shared" si="375"/>
        <v>110.50393315068493</v>
      </c>
      <c r="DB267" s="6">
        <v>0</v>
      </c>
      <c r="DC267" s="6">
        <f t="shared" si="376"/>
        <v>0</v>
      </c>
      <c r="DD267" s="6">
        <f t="shared" si="377"/>
        <v>0</v>
      </c>
      <c r="DE267" s="6">
        <v>0</v>
      </c>
      <c r="DF267" s="6">
        <f t="shared" si="378"/>
        <v>0</v>
      </c>
      <c r="DG267" s="6">
        <f t="shared" si="379"/>
        <v>0</v>
      </c>
      <c r="DH267" s="6">
        <v>0</v>
      </c>
      <c r="DI267" s="6">
        <f t="shared" si="380"/>
        <v>0</v>
      </c>
      <c r="DJ267" s="6">
        <f t="shared" si="381"/>
        <v>0</v>
      </c>
      <c r="DK267" s="6">
        <v>0</v>
      </c>
      <c r="DL267" s="6">
        <f t="shared" si="382"/>
        <v>0</v>
      </c>
      <c r="DM267" s="6">
        <f t="shared" si="383"/>
        <v>0</v>
      </c>
      <c r="DN267" s="6">
        <v>0</v>
      </c>
      <c r="DO267" s="6">
        <f t="shared" si="384"/>
        <v>0</v>
      </c>
      <c r="DP267" s="6">
        <f t="shared" si="385"/>
        <v>0</v>
      </c>
    </row>
    <row r="268" spans="1:120" x14ac:dyDescent="0.2">
      <c r="A268" s="21">
        <v>50</v>
      </c>
      <c r="B268" s="21" t="s">
        <v>675</v>
      </c>
      <c r="C268" s="21">
        <v>50568</v>
      </c>
      <c r="D268" s="21" t="s">
        <v>700</v>
      </c>
      <c r="E268" s="21" t="s">
        <v>522</v>
      </c>
      <c r="F268" s="22" t="s">
        <v>666</v>
      </c>
      <c r="G268" s="4" t="s">
        <v>380</v>
      </c>
      <c r="H268" s="6">
        <v>37699788.25</v>
      </c>
      <c r="I268" s="6">
        <f t="shared" si="314"/>
        <v>103287.09109589041</v>
      </c>
      <c r="J268" s="6">
        <v>36227359.688500002</v>
      </c>
      <c r="K268" s="6">
        <v>35860259.939999998</v>
      </c>
      <c r="L268" s="6">
        <f t="shared" si="315"/>
        <v>97978.852295081961</v>
      </c>
      <c r="M268" s="6">
        <v>32942104.492600001</v>
      </c>
      <c r="N268" s="6">
        <v>34448838.299999997</v>
      </c>
      <c r="O268" s="6">
        <f t="shared" si="386"/>
        <v>94380.378904109588</v>
      </c>
      <c r="P268" s="6">
        <v>30050204.565099999</v>
      </c>
      <c r="Q268" s="6">
        <v>16868237.02</v>
      </c>
      <c r="R268" s="6">
        <f t="shared" si="387"/>
        <v>93194.679668508281</v>
      </c>
      <c r="S268" s="6">
        <v>28967942.464600001</v>
      </c>
      <c r="T268" s="6">
        <f t="shared" si="318"/>
        <v>28967942.464600001</v>
      </c>
      <c r="U268" s="6">
        <f t="shared" si="319"/>
        <v>79364.225930410961</v>
      </c>
      <c r="V268" s="6">
        <v>27075562.197500002</v>
      </c>
      <c r="W268" s="6">
        <f t="shared" si="320"/>
        <v>27075562.197500002</v>
      </c>
      <c r="X268" s="6">
        <f t="shared" si="321"/>
        <v>74179.622458904108</v>
      </c>
      <c r="Y268" s="6">
        <v>25222131.775800001</v>
      </c>
      <c r="Z268" s="6">
        <f t="shared" si="322"/>
        <v>25222131.775800001</v>
      </c>
      <c r="AA268" s="6">
        <f t="shared" si="323"/>
        <v>69101.730892602747</v>
      </c>
      <c r="AB268" s="6">
        <v>23055709.664999999</v>
      </c>
      <c r="AC268" s="6">
        <f t="shared" si="324"/>
        <v>23055709.664999999</v>
      </c>
      <c r="AD268" s="6">
        <f t="shared" si="325"/>
        <v>63166.327849315065</v>
      </c>
      <c r="AE268" s="6">
        <v>19957809.932500001</v>
      </c>
      <c r="AF268" s="6">
        <f t="shared" si="326"/>
        <v>19957809.932500001</v>
      </c>
      <c r="AG268" s="6">
        <f t="shared" si="327"/>
        <v>54678.931321917808</v>
      </c>
      <c r="AH268" s="6">
        <v>13883668.265699999</v>
      </c>
      <c r="AI268" s="6">
        <f t="shared" si="328"/>
        <v>13883668.265699999</v>
      </c>
      <c r="AJ268" s="6">
        <f t="shared" si="329"/>
        <v>38037.44730328767</v>
      </c>
      <c r="AK268" s="6">
        <v>12252376.968699999</v>
      </c>
      <c r="AL268" s="6">
        <f t="shared" si="330"/>
        <v>12252376.968699999</v>
      </c>
      <c r="AM268" s="6">
        <f t="shared" si="331"/>
        <v>33568.156078630134</v>
      </c>
      <c r="AN268" s="6">
        <v>14346136.520500001</v>
      </c>
      <c r="AO268" s="6">
        <f t="shared" si="332"/>
        <v>14346136.520500001</v>
      </c>
      <c r="AP268" s="6">
        <f t="shared" si="333"/>
        <v>39304.483617808219</v>
      </c>
      <c r="AQ268" s="6">
        <v>14203722.2048</v>
      </c>
      <c r="AR268" s="6">
        <f t="shared" si="334"/>
        <v>14203722.2048</v>
      </c>
      <c r="AS268" s="6">
        <f t="shared" si="335"/>
        <v>38914.307410410962</v>
      </c>
      <c r="AT268" s="6">
        <v>12222015.595699999</v>
      </c>
      <c r="AU268" s="6">
        <f t="shared" si="336"/>
        <v>12222015.595699999</v>
      </c>
      <c r="AV268" s="6">
        <f t="shared" si="337"/>
        <v>33484.974234794521</v>
      </c>
      <c r="AW268" s="6">
        <v>11938009.470699999</v>
      </c>
      <c r="AX268" s="6">
        <f t="shared" si="338"/>
        <v>11938009.470699999</v>
      </c>
      <c r="AY268" s="6">
        <f t="shared" si="339"/>
        <v>32706.875262191781</v>
      </c>
      <c r="AZ268" s="6">
        <v>11484240.804500001</v>
      </c>
      <c r="BA268" s="6">
        <f t="shared" si="340"/>
        <v>11484240.804500001</v>
      </c>
      <c r="BB268" s="6">
        <f t="shared" si="341"/>
        <v>31463.673436986304</v>
      </c>
      <c r="BC268" s="6">
        <v>8930951.4415000007</v>
      </c>
      <c r="BD268" s="6">
        <f t="shared" si="342"/>
        <v>8930951.4415000007</v>
      </c>
      <c r="BE268" s="6">
        <f t="shared" si="343"/>
        <v>24468.360113698633</v>
      </c>
      <c r="BF268" s="6">
        <v>4773078.7156999996</v>
      </c>
      <c r="BG268" s="6">
        <f t="shared" si="344"/>
        <v>4773078.7156999996</v>
      </c>
      <c r="BH268" s="6">
        <f t="shared" si="345"/>
        <v>13076.927988219177</v>
      </c>
      <c r="BI268" s="6">
        <v>0</v>
      </c>
      <c r="BJ268" s="6">
        <f t="shared" si="346"/>
        <v>0</v>
      </c>
      <c r="BK268" s="6">
        <f t="shared" si="347"/>
        <v>0</v>
      </c>
      <c r="BL268" s="6">
        <v>0</v>
      </c>
      <c r="BM268" s="6">
        <f t="shared" si="348"/>
        <v>0</v>
      </c>
      <c r="BN268" s="6">
        <f t="shared" si="349"/>
        <v>0</v>
      </c>
      <c r="BO268" s="6">
        <v>0</v>
      </c>
      <c r="BP268" s="6">
        <f t="shared" si="350"/>
        <v>0</v>
      </c>
      <c r="BQ268" s="6">
        <f t="shared" si="351"/>
        <v>0</v>
      </c>
      <c r="BR268" s="6">
        <v>0</v>
      </c>
      <c r="BS268" s="6">
        <f t="shared" si="352"/>
        <v>0</v>
      </c>
      <c r="BT268" s="6">
        <f t="shared" si="353"/>
        <v>0</v>
      </c>
      <c r="BU268" s="6">
        <v>0</v>
      </c>
      <c r="BV268" s="6">
        <f t="shared" si="354"/>
        <v>0</v>
      </c>
      <c r="BW268" s="6">
        <f t="shared" si="355"/>
        <v>0</v>
      </c>
      <c r="BX268" s="6">
        <v>0</v>
      </c>
      <c r="BY268" s="6">
        <f t="shared" si="356"/>
        <v>0</v>
      </c>
      <c r="BZ268" s="6">
        <f t="shared" si="357"/>
        <v>0</v>
      </c>
      <c r="CA268" s="6">
        <v>0</v>
      </c>
      <c r="CB268" s="6">
        <f t="shared" si="358"/>
        <v>0</v>
      </c>
      <c r="CC268" s="6">
        <f t="shared" si="359"/>
        <v>0</v>
      </c>
      <c r="CD268" s="6">
        <v>0</v>
      </c>
      <c r="CE268" s="6">
        <f t="shared" si="360"/>
        <v>0</v>
      </c>
      <c r="CF268" s="6">
        <f t="shared" si="361"/>
        <v>0</v>
      </c>
      <c r="CG268" s="6">
        <v>0</v>
      </c>
      <c r="CH268" s="6">
        <f t="shared" si="362"/>
        <v>0</v>
      </c>
      <c r="CI268" s="6">
        <f t="shared" si="363"/>
        <v>0</v>
      </c>
      <c r="CJ268" s="6">
        <v>0</v>
      </c>
      <c r="CK268" s="6">
        <f t="shared" si="364"/>
        <v>0</v>
      </c>
      <c r="CL268" s="6">
        <f t="shared" si="365"/>
        <v>0</v>
      </c>
      <c r="CM268" s="6">
        <v>0</v>
      </c>
      <c r="CN268" s="6">
        <f t="shared" si="366"/>
        <v>0</v>
      </c>
      <c r="CO268" s="6">
        <f t="shared" si="367"/>
        <v>0</v>
      </c>
      <c r="CP268" s="6">
        <v>0</v>
      </c>
      <c r="CQ268" s="6">
        <f t="shared" si="368"/>
        <v>0</v>
      </c>
      <c r="CR268" s="6">
        <f t="shared" si="369"/>
        <v>0</v>
      </c>
      <c r="CS268" s="6">
        <v>0</v>
      </c>
      <c r="CT268" s="6">
        <f t="shared" si="370"/>
        <v>0</v>
      </c>
      <c r="CU268" s="6">
        <f t="shared" si="371"/>
        <v>0</v>
      </c>
      <c r="CV268" s="6">
        <v>0</v>
      </c>
      <c r="CW268" s="6">
        <f t="shared" si="372"/>
        <v>0</v>
      </c>
      <c r="CX268" s="6">
        <f t="shared" si="373"/>
        <v>0</v>
      </c>
      <c r="CY268" s="6">
        <v>0</v>
      </c>
      <c r="CZ268" s="6">
        <f t="shared" si="374"/>
        <v>0</v>
      </c>
      <c r="DA268" s="6">
        <f t="shared" si="375"/>
        <v>0</v>
      </c>
      <c r="DB268" s="6">
        <v>0</v>
      </c>
      <c r="DC268" s="6">
        <f t="shared" si="376"/>
        <v>0</v>
      </c>
      <c r="DD268" s="6">
        <f t="shared" si="377"/>
        <v>0</v>
      </c>
      <c r="DE268" s="6">
        <v>0</v>
      </c>
      <c r="DF268" s="6">
        <f t="shared" si="378"/>
        <v>0</v>
      </c>
      <c r="DG268" s="6">
        <f t="shared" si="379"/>
        <v>0</v>
      </c>
      <c r="DH268" s="6">
        <v>0</v>
      </c>
      <c r="DI268" s="6">
        <f t="shared" si="380"/>
        <v>0</v>
      </c>
      <c r="DJ268" s="6">
        <f t="shared" si="381"/>
        <v>0</v>
      </c>
      <c r="DK268" s="6">
        <v>0</v>
      </c>
      <c r="DL268" s="6">
        <f t="shared" si="382"/>
        <v>0</v>
      </c>
      <c r="DM268" s="6">
        <f t="shared" si="383"/>
        <v>0</v>
      </c>
      <c r="DN268" s="6">
        <v>0</v>
      </c>
      <c r="DO268" s="6">
        <f t="shared" si="384"/>
        <v>0</v>
      </c>
      <c r="DP268" s="6">
        <f t="shared" si="385"/>
        <v>0</v>
      </c>
    </row>
    <row r="269" spans="1:120" x14ac:dyDescent="0.2">
      <c r="A269" s="21">
        <v>85</v>
      </c>
      <c r="B269" s="21" t="s">
        <v>612</v>
      </c>
      <c r="C269" s="21">
        <v>85010</v>
      </c>
      <c r="D269" s="21" t="s">
        <v>716</v>
      </c>
      <c r="E269" s="21" t="s">
        <v>671</v>
      </c>
      <c r="F269" s="22" t="s">
        <v>669</v>
      </c>
      <c r="G269" s="4" t="s">
        <v>381</v>
      </c>
      <c r="H269" s="6">
        <v>884489.44</v>
      </c>
      <c r="I269" s="6">
        <f t="shared" si="314"/>
        <v>2423.2587397260272</v>
      </c>
      <c r="J269" s="6">
        <v>466994.84259999997</v>
      </c>
      <c r="K269" s="6">
        <v>411560.54</v>
      </c>
      <c r="L269" s="6">
        <f t="shared" si="315"/>
        <v>1124.482349726776</v>
      </c>
      <c r="M269" s="6">
        <v>209604.0227</v>
      </c>
      <c r="N269" s="6">
        <v>256094.84</v>
      </c>
      <c r="O269" s="6">
        <f t="shared" si="386"/>
        <v>701.629698630137</v>
      </c>
      <c r="P269" s="6">
        <v>111710.1159</v>
      </c>
      <c r="Q269" s="6">
        <v>111861.78</v>
      </c>
      <c r="R269" s="6">
        <f t="shared" si="387"/>
        <v>618.02088397790055</v>
      </c>
      <c r="S269" s="6">
        <v>50185.846899999997</v>
      </c>
      <c r="T269" s="6">
        <f t="shared" si="318"/>
        <v>50185.846899999997</v>
      </c>
      <c r="U269" s="6">
        <f t="shared" si="319"/>
        <v>137.49547095890409</v>
      </c>
      <c r="V269" s="6">
        <v>26879.701300000001</v>
      </c>
      <c r="W269" s="6">
        <f t="shared" si="320"/>
        <v>26879.701300000001</v>
      </c>
      <c r="X269" s="6">
        <f t="shared" si="321"/>
        <v>73.643017260273979</v>
      </c>
      <c r="Y269" s="6">
        <v>0</v>
      </c>
      <c r="Z269" s="6">
        <f t="shared" si="322"/>
        <v>0</v>
      </c>
      <c r="AA269" s="6">
        <f t="shared" si="323"/>
        <v>0</v>
      </c>
      <c r="AB269" s="6">
        <v>0</v>
      </c>
      <c r="AC269" s="6">
        <f t="shared" si="324"/>
        <v>0</v>
      </c>
      <c r="AD269" s="6">
        <f t="shared" si="325"/>
        <v>0</v>
      </c>
      <c r="AE269" s="6">
        <v>0</v>
      </c>
      <c r="AF269" s="6">
        <f t="shared" si="326"/>
        <v>0</v>
      </c>
      <c r="AG269" s="6">
        <f t="shared" si="327"/>
        <v>0</v>
      </c>
      <c r="AH269" s="6">
        <v>0</v>
      </c>
      <c r="AI269" s="6">
        <f t="shared" si="328"/>
        <v>0</v>
      </c>
      <c r="AJ269" s="6">
        <f t="shared" si="329"/>
        <v>0</v>
      </c>
      <c r="AK269" s="6">
        <v>0</v>
      </c>
      <c r="AL269" s="6">
        <f t="shared" si="330"/>
        <v>0</v>
      </c>
      <c r="AM269" s="6">
        <f t="shared" si="331"/>
        <v>0</v>
      </c>
      <c r="AN269" s="6">
        <v>0</v>
      </c>
      <c r="AO269" s="6">
        <f t="shared" si="332"/>
        <v>0</v>
      </c>
      <c r="AP269" s="6">
        <f t="shared" si="333"/>
        <v>0</v>
      </c>
      <c r="AQ269" s="6">
        <v>0</v>
      </c>
      <c r="AR269" s="6">
        <f t="shared" si="334"/>
        <v>0</v>
      </c>
      <c r="AS269" s="6">
        <f t="shared" si="335"/>
        <v>0</v>
      </c>
      <c r="AT269" s="6">
        <v>0</v>
      </c>
      <c r="AU269" s="6">
        <f t="shared" si="336"/>
        <v>0</v>
      </c>
      <c r="AV269" s="6">
        <f t="shared" si="337"/>
        <v>0</v>
      </c>
      <c r="AW269" s="6">
        <v>0</v>
      </c>
      <c r="AX269" s="6">
        <f t="shared" si="338"/>
        <v>0</v>
      </c>
      <c r="AY269" s="6">
        <f t="shared" si="339"/>
        <v>0</v>
      </c>
      <c r="AZ269" s="6">
        <v>0</v>
      </c>
      <c r="BA269" s="6">
        <f t="shared" si="340"/>
        <v>0</v>
      </c>
      <c r="BB269" s="6">
        <f t="shared" si="341"/>
        <v>0</v>
      </c>
      <c r="BC269" s="6">
        <v>0</v>
      </c>
      <c r="BD269" s="6">
        <f t="shared" si="342"/>
        <v>0</v>
      </c>
      <c r="BE269" s="6">
        <f t="shared" si="343"/>
        <v>0</v>
      </c>
      <c r="BF269" s="6">
        <v>0</v>
      </c>
      <c r="BG269" s="6">
        <f t="shared" si="344"/>
        <v>0</v>
      </c>
      <c r="BH269" s="6">
        <f t="shared" si="345"/>
        <v>0</v>
      </c>
      <c r="BI269" s="6">
        <v>0</v>
      </c>
      <c r="BJ269" s="6">
        <f t="shared" si="346"/>
        <v>0</v>
      </c>
      <c r="BK269" s="6">
        <f t="shared" si="347"/>
        <v>0</v>
      </c>
      <c r="BL269" s="6">
        <v>0</v>
      </c>
      <c r="BM269" s="6">
        <f t="shared" si="348"/>
        <v>0</v>
      </c>
      <c r="BN269" s="6">
        <f t="shared" si="349"/>
        <v>0</v>
      </c>
      <c r="BO269" s="6">
        <v>0</v>
      </c>
      <c r="BP269" s="6">
        <f t="shared" si="350"/>
        <v>0</v>
      </c>
      <c r="BQ269" s="6">
        <f t="shared" si="351"/>
        <v>0</v>
      </c>
      <c r="BR269" s="6">
        <v>0</v>
      </c>
      <c r="BS269" s="6">
        <f t="shared" si="352"/>
        <v>0</v>
      </c>
      <c r="BT269" s="6">
        <f t="shared" si="353"/>
        <v>0</v>
      </c>
      <c r="BU269" s="6">
        <v>0</v>
      </c>
      <c r="BV269" s="6">
        <f t="shared" si="354"/>
        <v>0</v>
      </c>
      <c r="BW269" s="6">
        <f t="shared" si="355"/>
        <v>0</v>
      </c>
      <c r="BX269" s="6">
        <v>0</v>
      </c>
      <c r="BY269" s="6">
        <f t="shared" si="356"/>
        <v>0</v>
      </c>
      <c r="BZ269" s="6">
        <f t="shared" si="357"/>
        <v>0</v>
      </c>
      <c r="CA269" s="6">
        <v>0</v>
      </c>
      <c r="CB269" s="6">
        <f t="shared" si="358"/>
        <v>0</v>
      </c>
      <c r="CC269" s="6">
        <f t="shared" si="359"/>
        <v>0</v>
      </c>
      <c r="CD269" s="6">
        <v>0</v>
      </c>
      <c r="CE269" s="6">
        <f t="shared" si="360"/>
        <v>0</v>
      </c>
      <c r="CF269" s="6">
        <f t="shared" si="361"/>
        <v>0</v>
      </c>
      <c r="CG269" s="6">
        <v>0</v>
      </c>
      <c r="CH269" s="6">
        <f t="shared" si="362"/>
        <v>0</v>
      </c>
      <c r="CI269" s="6">
        <f t="shared" si="363"/>
        <v>0</v>
      </c>
      <c r="CJ269" s="6">
        <v>0</v>
      </c>
      <c r="CK269" s="6">
        <f t="shared" si="364"/>
        <v>0</v>
      </c>
      <c r="CL269" s="6">
        <f t="shared" si="365"/>
        <v>0</v>
      </c>
      <c r="CM269" s="6">
        <v>0</v>
      </c>
      <c r="CN269" s="6">
        <f t="shared" si="366"/>
        <v>0</v>
      </c>
      <c r="CO269" s="6">
        <f t="shared" si="367"/>
        <v>0</v>
      </c>
      <c r="CP269" s="6">
        <v>0</v>
      </c>
      <c r="CQ269" s="6">
        <f t="shared" si="368"/>
        <v>0</v>
      </c>
      <c r="CR269" s="6">
        <f t="shared" si="369"/>
        <v>0</v>
      </c>
      <c r="CS269" s="6">
        <v>0</v>
      </c>
      <c r="CT269" s="6">
        <f t="shared" si="370"/>
        <v>0</v>
      </c>
      <c r="CU269" s="6">
        <f t="shared" si="371"/>
        <v>0</v>
      </c>
      <c r="CV269" s="6">
        <v>0</v>
      </c>
      <c r="CW269" s="6">
        <f t="shared" si="372"/>
        <v>0</v>
      </c>
      <c r="CX269" s="6">
        <f t="shared" si="373"/>
        <v>0</v>
      </c>
      <c r="CY269" s="6">
        <v>0</v>
      </c>
      <c r="CZ269" s="6">
        <f t="shared" si="374"/>
        <v>0</v>
      </c>
      <c r="DA269" s="6">
        <f t="shared" si="375"/>
        <v>0</v>
      </c>
      <c r="DB269" s="6">
        <v>0</v>
      </c>
      <c r="DC269" s="6">
        <f t="shared" si="376"/>
        <v>0</v>
      </c>
      <c r="DD269" s="6">
        <f t="shared" si="377"/>
        <v>0</v>
      </c>
      <c r="DE269" s="6">
        <v>0</v>
      </c>
      <c r="DF269" s="6">
        <f t="shared" si="378"/>
        <v>0</v>
      </c>
      <c r="DG269" s="6">
        <f t="shared" si="379"/>
        <v>0</v>
      </c>
      <c r="DH269" s="6">
        <v>0</v>
      </c>
      <c r="DI269" s="6">
        <f t="shared" si="380"/>
        <v>0</v>
      </c>
      <c r="DJ269" s="6">
        <f t="shared" si="381"/>
        <v>0</v>
      </c>
      <c r="DK269" s="6">
        <v>0</v>
      </c>
      <c r="DL269" s="6">
        <f t="shared" si="382"/>
        <v>0</v>
      </c>
      <c r="DM269" s="6">
        <f t="shared" si="383"/>
        <v>0</v>
      </c>
      <c r="DN269" s="6">
        <v>0</v>
      </c>
      <c r="DO269" s="6">
        <f t="shared" si="384"/>
        <v>0</v>
      </c>
      <c r="DP269" s="6">
        <f t="shared" si="385"/>
        <v>0</v>
      </c>
    </row>
    <row r="270" spans="1:120" x14ac:dyDescent="0.2">
      <c r="A270" s="21">
        <v>50</v>
      </c>
      <c r="B270" s="21" t="s">
        <v>675</v>
      </c>
      <c r="C270" s="21">
        <v>50568</v>
      </c>
      <c r="D270" s="21" t="s">
        <v>700</v>
      </c>
      <c r="E270" s="21" t="s">
        <v>542</v>
      </c>
      <c r="F270" s="22" t="s">
        <v>669</v>
      </c>
      <c r="G270" s="4" t="s">
        <v>382</v>
      </c>
      <c r="H270" s="6">
        <v>162313.65</v>
      </c>
      <c r="I270" s="6">
        <f t="shared" si="314"/>
        <v>444.69493150684929</v>
      </c>
      <c r="J270" s="6">
        <v>162118</v>
      </c>
      <c r="K270" s="6">
        <v>393963.02</v>
      </c>
      <c r="L270" s="6">
        <f t="shared" si="315"/>
        <v>1076.4016939890712</v>
      </c>
      <c r="M270" s="6">
        <v>290388</v>
      </c>
      <c r="N270" s="6">
        <v>729951.91</v>
      </c>
      <c r="O270" s="6">
        <f t="shared" si="386"/>
        <v>1999.8682465753425</v>
      </c>
      <c r="P270" s="6">
        <v>393091</v>
      </c>
      <c r="Q270" s="6">
        <v>314603.96000000002</v>
      </c>
      <c r="R270" s="6">
        <f t="shared" si="387"/>
        <v>1738.1434254143649</v>
      </c>
      <c r="S270" s="6">
        <v>375816</v>
      </c>
      <c r="T270" s="6">
        <f t="shared" si="318"/>
        <v>375816</v>
      </c>
      <c r="U270" s="6">
        <f t="shared" si="319"/>
        <v>1029.6328767123289</v>
      </c>
      <c r="V270" s="6">
        <v>279314</v>
      </c>
      <c r="W270" s="6">
        <f t="shared" si="320"/>
        <v>279314</v>
      </c>
      <c r="X270" s="6">
        <f t="shared" si="321"/>
        <v>765.24383561643833</v>
      </c>
      <c r="Y270" s="6">
        <v>288006</v>
      </c>
      <c r="Z270" s="6">
        <f t="shared" si="322"/>
        <v>288006</v>
      </c>
      <c r="AA270" s="6">
        <f t="shared" si="323"/>
        <v>789.0575342465753</v>
      </c>
      <c r="AB270" s="6">
        <v>219967</v>
      </c>
      <c r="AC270" s="6">
        <f t="shared" si="324"/>
        <v>219967</v>
      </c>
      <c r="AD270" s="6">
        <f t="shared" si="325"/>
        <v>602.64931506849314</v>
      </c>
      <c r="AE270" s="6">
        <v>144885</v>
      </c>
      <c r="AF270" s="6">
        <f t="shared" si="326"/>
        <v>144885</v>
      </c>
      <c r="AG270" s="6">
        <f t="shared" si="327"/>
        <v>396.94520547945206</v>
      </c>
      <c r="AH270" s="6">
        <v>87927</v>
      </c>
      <c r="AI270" s="6">
        <f t="shared" si="328"/>
        <v>87927</v>
      </c>
      <c r="AJ270" s="6">
        <f t="shared" si="329"/>
        <v>240.89589041095891</v>
      </c>
      <c r="AK270" s="6">
        <v>46436</v>
      </c>
      <c r="AL270" s="6">
        <f t="shared" si="330"/>
        <v>46436</v>
      </c>
      <c r="AM270" s="6">
        <f t="shared" si="331"/>
        <v>127.22191780821917</v>
      </c>
      <c r="AN270" s="6">
        <v>0</v>
      </c>
      <c r="AO270" s="6">
        <f t="shared" si="332"/>
        <v>0</v>
      </c>
      <c r="AP270" s="6">
        <f t="shared" si="333"/>
        <v>0</v>
      </c>
      <c r="AQ270" s="6">
        <v>0</v>
      </c>
      <c r="AR270" s="6">
        <f t="shared" si="334"/>
        <v>0</v>
      </c>
      <c r="AS270" s="6">
        <f t="shared" si="335"/>
        <v>0</v>
      </c>
      <c r="AT270" s="6">
        <v>0</v>
      </c>
      <c r="AU270" s="6">
        <f t="shared" si="336"/>
        <v>0</v>
      </c>
      <c r="AV270" s="6">
        <f t="shared" si="337"/>
        <v>0</v>
      </c>
      <c r="AW270" s="6">
        <v>0</v>
      </c>
      <c r="AX270" s="6">
        <f t="shared" si="338"/>
        <v>0</v>
      </c>
      <c r="AY270" s="6">
        <f t="shared" si="339"/>
        <v>0</v>
      </c>
      <c r="AZ270" s="6">
        <v>0</v>
      </c>
      <c r="BA270" s="6">
        <f t="shared" si="340"/>
        <v>0</v>
      </c>
      <c r="BB270" s="6">
        <f t="shared" si="341"/>
        <v>0</v>
      </c>
      <c r="BC270" s="6">
        <v>0</v>
      </c>
      <c r="BD270" s="6">
        <f t="shared" si="342"/>
        <v>0</v>
      </c>
      <c r="BE270" s="6">
        <f t="shared" si="343"/>
        <v>0</v>
      </c>
      <c r="BF270" s="6">
        <v>0</v>
      </c>
      <c r="BG270" s="6">
        <f t="shared" si="344"/>
        <v>0</v>
      </c>
      <c r="BH270" s="6">
        <f t="shared" si="345"/>
        <v>0</v>
      </c>
      <c r="BI270" s="6">
        <v>0</v>
      </c>
      <c r="BJ270" s="6">
        <f t="shared" si="346"/>
        <v>0</v>
      </c>
      <c r="BK270" s="6">
        <f t="shared" si="347"/>
        <v>0</v>
      </c>
      <c r="BL270" s="6">
        <v>0</v>
      </c>
      <c r="BM270" s="6">
        <f t="shared" si="348"/>
        <v>0</v>
      </c>
      <c r="BN270" s="6">
        <f t="shared" si="349"/>
        <v>0</v>
      </c>
      <c r="BO270" s="6">
        <v>0</v>
      </c>
      <c r="BP270" s="6">
        <f t="shared" si="350"/>
        <v>0</v>
      </c>
      <c r="BQ270" s="6">
        <f t="shared" si="351"/>
        <v>0</v>
      </c>
      <c r="BR270" s="6">
        <v>0</v>
      </c>
      <c r="BS270" s="6">
        <f t="shared" si="352"/>
        <v>0</v>
      </c>
      <c r="BT270" s="6">
        <f t="shared" si="353"/>
        <v>0</v>
      </c>
      <c r="BU270" s="6">
        <v>0</v>
      </c>
      <c r="BV270" s="6">
        <f t="shared" si="354"/>
        <v>0</v>
      </c>
      <c r="BW270" s="6">
        <f t="shared" si="355"/>
        <v>0</v>
      </c>
      <c r="BX270" s="6">
        <v>0</v>
      </c>
      <c r="BY270" s="6">
        <f t="shared" si="356"/>
        <v>0</v>
      </c>
      <c r="BZ270" s="6">
        <f t="shared" si="357"/>
        <v>0</v>
      </c>
      <c r="CA270" s="6">
        <v>0</v>
      </c>
      <c r="CB270" s="6">
        <f t="shared" si="358"/>
        <v>0</v>
      </c>
      <c r="CC270" s="6">
        <f t="shared" si="359"/>
        <v>0</v>
      </c>
      <c r="CD270" s="6">
        <v>0</v>
      </c>
      <c r="CE270" s="6">
        <f t="shared" si="360"/>
        <v>0</v>
      </c>
      <c r="CF270" s="6">
        <f t="shared" si="361"/>
        <v>0</v>
      </c>
      <c r="CG270" s="6">
        <v>0</v>
      </c>
      <c r="CH270" s="6">
        <f t="shared" si="362"/>
        <v>0</v>
      </c>
      <c r="CI270" s="6">
        <f t="shared" si="363"/>
        <v>0</v>
      </c>
      <c r="CJ270" s="6">
        <v>0</v>
      </c>
      <c r="CK270" s="6">
        <f t="shared" si="364"/>
        <v>0</v>
      </c>
      <c r="CL270" s="6">
        <f t="shared" si="365"/>
        <v>0</v>
      </c>
      <c r="CM270" s="6">
        <v>0</v>
      </c>
      <c r="CN270" s="6">
        <f t="shared" si="366"/>
        <v>0</v>
      </c>
      <c r="CO270" s="6">
        <f t="shared" si="367"/>
        <v>0</v>
      </c>
      <c r="CP270" s="6">
        <v>0</v>
      </c>
      <c r="CQ270" s="6">
        <f t="shared" si="368"/>
        <v>0</v>
      </c>
      <c r="CR270" s="6">
        <f t="shared" si="369"/>
        <v>0</v>
      </c>
      <c r="CS270" s="6">
        <v>0</v>
      </c>
      <c r="CT270" s="6">
        <f t="shared" si="370"/>
        <v>0</v>
      </c>
      <c r="CU270" s="6">
        <f t="shared" si="371"/>
        <v>0</v>
      </c>
      <c r="CV270" s="6">
        <v>0</v>
      </c>
      <c r="CW270" s="6">
        <f t="shared" si="372"/>
        <v>0</v>
      </c>
      <c r="CX270" s="6">
        <f t="shared" si="373"/>
        <v>0</v>
      </c>
      <c r="CY270" s="6">
        <v>0</v>
      </c>
      <c r="CZ270" s="6">
        <f t="shared" si="374"/>
        <v>0</v>
      </c>
      <c r="DA270" s="6">
        <f t="shared" si="375"/>
        <v>0</v>
      </c>
      <c r="DB270" s="6">
        <v>0</v>
      </c>
      <c r="DC270" s="6">
        <f t="shared" si="376"/>
        <v>0</v>
      </c>
      <c r="DD270" s="6">
        <f t="shared" si="377"/>
        <v>0</v>
      </c>
      <c r="DE270" s="6">
        <v>0</v>
      </c>
      <c r="DF270" s="6">
        <f t="shared" si="378"/>
        <v>0</v>
      </c>
      <c r="DG270" s="6">
        <f t="shared" si="379"/>
        <v>0</v>
      </c>
      <c r="DH270" s="6">
        <v>0</v>
      </c>
      <c r="DI270" s="6">
        <f t="shared" si="380"/>
        <v>0</v>
      </c>
      <c r="DJ270" s="6">
        <f t="shared" si="381"/>
        <v>0</v>
      </c>
      <c r="DK270" s="6">
        <v>0</v>
      </c>
      <c r="DL270" s="6">
        <f t="shared" si="382"/>
        <v>0</v>
      </c>
      <c r="DM270" s="6">
        <f t="shared" si="383"/>
        <v>0</v>
      </c>
      <c r="DN270" s="6">
        <v>0</v>
      </c>
      <c r="DO270" s="6">
        <f t="shared" si="384"/>
        <v>0</v>
      </c>
      <c r="DP270" s="6">
        <f t="shared" si="385"/>
        <v>0</v>
      </c>
    </row>
    <row r="271" spans="1:120" x14ac:dyDescent="0.2">
      <c r="A271" s="21">
        <v>85</v>
      </c>
      <c r="B271" s="21" t="s">
        <v>612</v>
      </c>
      <c r="C271" s="21">
        <v>85230</v>
      </c>
      <c r="D271" s="21" t="s">
        <v>614</v>
      </c>
      <c r="E271" s="21" t="s">
        <v>542</v>
      </c>
      <c r="F271" s="22" t="s">
        <v>693</v>
      </c>
      <c r="G271" s="4" t="s">
        <v>383</v>
      </c>
      <c r="H271" s="6">
        <v>23069.33</v>
      </c>
      <c r="I271" s="6">
        <f t="shared" si="314"/>
        <v>63.20364383561644</v>
      </c>
      <c r="J271" s="6">
        <v>19159</v>
      </c>
      <c r="K271" s="6">
        <v>23887.279999999999</v>
      </c>
      <c r="L271" s="6">
        <f t="shared" si="315"/>
        <v>65.265792349726766</v>
      </c>
      <c r="M271" s="6">
        <v>14899</v>
      </c>
      <c r="N271" s="6">
        <v>24074.31</v>
      </c>
      <c r="O271" s="6">
        <f t="shared" si="386"/>
        <v>65.957013698630135</v>
      </c>
      <c r="P271" s="6">
        <v>11624</v>
      </c>
      <c r="Q271" s="6">
        <v>11767.16</v>
      </c>
      <c r="R271" s="6">
        <f t="shared" si="387"/>
        <v>65.011933701657455</v>
      </c>
      <c r="S271" s="6">
        <v>9070</v>
      </c>
      <c r="T271" s="6">
        <f t="shared" si="318"/>
        <v>9070</v>
      </c>
      <c r="U271" s="6">
        <f t="shared" si="319"/>
        <v>24.849315068493151</v>
      </c>
      <c r="V271" s="6">
        <v>7091</v>
      </c>
      <c r="W271" s="6">
        <f t="shared" si="320"/>
        <v>7091</v>
      </c>
      <c r="X271" s="6">
        <f t="shared" si="321"/>
        <v>19.427397260273974</v>
      </c>
      <c r="Y271" s="6">
        <v>2356</v>
      </c>
      <c r="Z271" s="6">
        <f t="shared" si="322"/>
        <v>2356</v>
      </c>
      <c r="AA271" s="6">
        <f t="shared" si="323"/>
        <v>6.4547945205479449</v>
      </c>
      <c r="AB271" s="6">
        <v>0</v>
      </c>
      <c r="AC271" s="6">
        <f t="shared" si="324"/>
        <v>0</v>
      </c>
      <c r="AD271" s="6">
        <f t="shared" si="325"/>
        <v>0</v>
      </c>
      <c r="AE271" s="6">
        <v>0</v>
      </c>
      <c r="AF271" s="6">
        <f t="shared" si="326"/>
        <v>0</v>
      </c>
      <c r="AG271" s="6">
        <f t="shared" si="327"/>
        <v>0</v>
      </c>
      <c r="AH271" s="6">
        <v>0</v>
      </c>
      <c r="AI271" s="6">
        <f t="shared" si="328"/>
        <v>0</v>
      </c>
      <c r="AJ271" s="6">
        <f t="shared" si="329"/>
        <v>0</v>
      </c>
      <c r="AK271" s="6">
        <v>0</v>
      </c>
      <c r="AL271" s="6">
        <f t="shared" si="330"/>
        <v>0</v>
      </c>
      <c r="AM271" s="6">
        <f t="shared" si="331"/>
        <v>0</v>
      </c>
      <c r="AN271" s="6">
        <v>0</v>
      </c>
      <c r="AO271" s="6">
        <f t="shared" si="332"/>
        <v>0</v>
      </c>
      <c r="AP271" s="6">
        <f t="shared" si="333"/>
        <v>0</v>
      </c>
      <c r="AQ271" s="6">
        <v>0</v>
      </c>
      <c r="AR271" s="6">
        <f t="shared" si="334"/>
        <v>0</v>
      </c>
      <c r="AS271" s="6">
        <f t="shared" si="335"/>
        <v>0</v>
      </c>
      <c r="AT271" s="6">
        <v>0</v>
      </c>
      <c r="AU271" s="6">
        <f t="shared" si="336"/>
        <v>0</v>
      </c>
      <c r="AV271" s="6">
        <f t="shared" si="337"/>
        <v>0</v>
      </c>
      <c r="AW271" s="6">
        <v>0</v>
      </c>
      <c r="AX271" s="6">
        <f t="shared" si="338"/>
        <v>0</v>
      </c>
      <c r="AY271" s="6">
        <f t="shared" si="339"/>
        <v>0</v>
      </c>
      <c r="AZ271" s="6">
        <v>0</v>
      </c>
      <c r="BA271" s="6">
        <f t="shared" si="340"/>
        <v>0</v>
      </c>
      <c r="BB271" s="6">
        <f t="shared" si="341"/>
        <v>0</v>
      </c>
      <c r="BC271" s="6">
        <v>0</v>
      </c>
      <c r="BD271" s="6">
        <f t="shared" si="342"/>
        <v>0</v>
      </c>
      <c r="BE271" s="6">
        <f t="shared" si="343"/>
        <v>0</v>
      </c>
      <c r="BF271" s="6">
        <v>0</v>
      </c>
      <c r="BG271" s="6">
        <f t="shared" si="344"/>
        <v>0</v>
      </c>
      <c r="BH271" s="6">
        <f t="shared" si="345"/>
        <v>0</v>
      </c>
      <c r="BI271" s="6">
        <v>0</v>
      </c>
      <c r="BJ271" s="6">
        <f t="shared" si="346"/>
        <v>0</v>
      </c>
      <c r="BK271" s="6">
        <f t="shared" si="347"/>
        <v>0</v>
      </c>
      <c r="BL271" s="6">
        <v>0</v>
      </c>
      <c r="BM271" s="6">
        <f t="shared" si="348"/>
        <v>0</v>
      </c>
      <c r="BN271" s="6">
        <f t="shared" si="349"/>
        <v>0</v>
      </c>
      <c r="BO271" s="6">
        <v>0</v>
      </c>
      <c r="BP271" s="6">
        <f t="shared" si="350"/>
        <v>0</v>
      </c>
      <c r="BQ271" s="6">
        <f t="shared" si="351"/>
        <v>0</v>
      </c>
      <c r="BR271" s="6">
        <v>0</v>
      </c>
      <c r="BS271" s="6">
        <f t="shared" si="352"/>
        <v>0</v>
      </c>
      <c r="BT271" s="6">
        <f t="shared" si="353"/>
        <v>0</v>
      </c>
      <c r="BU271" s="6">
        <v>0</v>
      </c>
      <c r="BV271" s="6">
        <f t="shared" si="354"/>
        <v>0</v>
      </c>
      <c r="BW271" s="6">
        <f t="shared" si="355"/>
        <v>0</v>
      </c>
      <c r="BX271" s="6">
        <v>0</v>
      </c>
      <c r="BY271" s="6">
        <f t="shared" si="356"/>
        <v>0</v>
      </c>
      <c r="BZ271" s="6">
        <f t="shared" si="357"/>
        <v>0</v>
      </c>
      <c r="CA271" s="6">
        <v>0</v>
      </c>
      <c r="CB271" s="6">
        <f t="shared" si="358"/>
        <v>0</v>
      </c>
      <c r="CC271" s="6">
        <f t="shared" si="359"/>
        <v>0</v>
      </c>
      <c r="CD271" s="6">
        <v>0</v>
      </c>
      <c r="CE271" s="6">
        <f t="shared" si="360"/>
        <v>0</v>
      </c>
      <c r="CF271" s="6">
        <f t="shared" si="361"/>
        <v>0</v>
      </c>
      <c r="CG271" s="6">
        <v>0</v>
      </c>
      <c r="CH271" s="6">
        <f t="shared" si="362"/>
        <v>0</v>
      </c>
      <c r="CI271" s="6">
        <f t="shared" si="363"/>
        <v>0</v>
      </c>
      <c r="CJ271" s="6">
        <v>0</v>
      </c>
      <c r="CK271" s="6">
        <f t="shared" si="364"/>
        <v>0</v>
      </c>
      <c r="CL271" s="6">
        <f t="shared" si="365"/>
        <v>0</v>
      </c>
      <c r="CM271" s="6">
        <v>0</v>
      </c>
      <c r="CN271" s="6">
        <f t="shared" si="366"/>
        <v>0</v>
      </c>
      <c r="CO271" s="6">
        <f t="shared" si="367"/>
        <v>0</v>
      </c>
      <c r="CP271" s="6">
        <v>0</v>
      </c>
      <c r="CQ271" s="6">
        <f t="shared" si="368"/>
        <v>0</v>
      </c>
      <c r="CR271" s="6">
        <f t="shared" si="369"/>
        <v>0</v>
      </c>
      <c r="CS271" s="6">
        <v>0</v>
      </c>
      <c r="CT271" s="6">
        <f t="shared" si="370"/>
        <v>0</v>
      </c>
      <c r="CU271" s="6">
        <f t="shared" si="371"/>
        <v>0</v>
      </c>
      <c r="CV271" s="6">
        <v>0</v>
      </c>
      <c r="CW271" s="6">
        <f t="shared" si="372"/>
        <v>0</v>
      </c>
      <c r="CX271" s="6">
        <f t="shared" si="373"/>
        <v>0</v>
      </c>
      <c r="CY271" s="6">
        <v>0</v>
      </c>
      <c r="CZ271" s="6">
        <f t="shared" si="374"/>
        <v>0</v>
      </c>
      <c r="DA271" s="6">
        <f t="shared" si="375"/>
        <v>0</v>
      </c>
      <c r="DB271" s="6">
        <v>0</v>
      </c>
      <c r="DC271" s="6">
        <f t="shared" si="376"/>
        <v>0</v>
      </c>
      <c r="DD271" s="6">
        <f t="shared" si="377"/>
        <v>0</v>
      </c>
      <c r="DE271" s="6">
        <v>0</v>
      </c>
      <c r="DF271" s="6">
        <f t="shared" si="378"/>
        <v>0</v>
      </c>
      <c r="DG271" s="6">
        <f t="shared" si="379"/>
        <v>0</v>
      </c>
      <c r="DH271" s="6">
        <v>0</v>
      </c>
      <c r="DI271" s="6">
        <f t="shared" si="380"/>
        <v>0</v>
      </c>
      <c r="DJ271" s="6">
        <f t="shared" si="381"/>
        <v>0</v>
      </c>
      <c r="DK271" s="6">
        <v>0</v>
      </c>
      <c r="DL271" s="6">
        <f t="shared" si="382"/>
        <v>0</v>
      </c>
      <c r="DM271" s="6">
        <f t="shared" si="383"/>
        <v>0</v>
      </c>
      <c r="DN271" s="6">
        <v>0</v>
      </c>
      <c r="DO271" s="6">
        <f t="shared" si="384"/>
        <v>0</v>
      </c>
      <c r="DP271" s="6">
        <f t="shared" si="385"/>
        <v>0</v>
      </c>
    </row>
    <row r="272" spans="1:120" x14ac:dyDescent="0.2">
      <c r="A272" s="21">
        <v>86</v>
      </c>
      <c r="B272" s="21" t="s">
        <v>664</v>
      </c>
      <c r="C272" s="21">
        <v>86320</v>
      </c>
      <c r="D272" s="21" t="s">
        <v>329</v>
      </c>
      <c r="E272" s="21" t="s">
        <v>522</v>
      </c>
      <c r="F272" s="22" t="s">
        <v>666</v>
      </c>
      <c r="G272" s="4" t="s">
        <v>384</v>
      </c>
      <c r="H272" s="6">
        <v>38776.07</v>
      </c>
      <c r="I272" s="6">
        <f t="shared" si="314"/>
        <v>106.23580821917808</v>
      </c>
      <c r="J272" s="6">
        <v>30560</v>
      </c>
      <c r="K272" s="6">
        <v>31688.69</v>
      </c>
      <c r="L272" s="6">
        <f t="shared" si="315"/>
        <v>86.58112021857923</v>
      </c>
      <c r="M272" s="6">
        <v>0</v>
      </c>
      <c r="N272" s="6">
        <v>9956.2099999999991</v>
      </c>
      <c r="O272" s="6">
        <f t="shared" si="386"/>
        <v>27.277287671232873</v>
      </c>
      <c r="P272" s="6">
        <v>0</v>
      </c>
      <c r="Q272" s="6"/>
      <c r="R272" s="6"/>
      <c r="S272" s="6">
        <v>0</v>
      </c>
      <c r="T272" s="6">
        <f t="shared" si="318"/>
        <v>0</v>
      </c>
      <c r="U272" s="6">
        <f t="shared" si="319"/>
        <v>0</v>
      </c>
      <c r="V272" s="6">
        <v>0</v>
      </c>
      <c r="W272" s="6">
        <f t="shared" si="320"/>
        <v>0</v>
      </c>
      <c r="X272" s="6">
        <f t="shared" si="321"/>
        <v>0</v>
      </c>
      <c r="Y272" s="6">
        <v>0</v>
      </c>
      <c r="Z272" s="6">
        <f t="shared" si="322"/>
        <v>0</v>
      </c>
      <c r="AA272" s="6">
        <f t="shared" si="323"/>
        <v>0</v>
      </c>
      <c r="AB272" s="6">
        <v>0</v>
      </c>
      <c r="AC272" s="6">
        <f t="shared" si="324"/>
        <v>0</v>
      </c>
      <c r="AD272" s="6">
        <f t="shared" si="325"/>
        <v>0</v>
      </c>
      <c r="AE272" s="6">
        <v>0</v>
      </c>
      <c r="AF272" s="6">
        <f t="shared" si="326"/>
        <v>0</v>
      </c>
      <c r="AG272" s="6">
        <f t="shared" si="327"/>
        <v>0</v>
      </c>
      <c r="AH272" s="6">
        <v>0</v>
      </c>
      <c r="AI272" s="6">
        <f t="shared" si="328"/>
        <v>0</v>
      </c>
      <c r="AJ272" s="6">
        <f t="shared" si="329"/>
        <v>0</v>
      </c>
      <c r="AK272" s="6">
        <v>0</v>
      </c>
      <c r="AL272" s="6">
        <f t="shared" si="330"/>
        <v>0</v>
      </c>
      <c r="AM272" s="6">
        <f t="shared" si="331"/>
        <v>0</v>
      </c>
      <c r="AN272" s="6">
        <v>0</v>
      </c>
      <c r="AO272" s="6">
        <f t="shared" si="332"/>
        <v>0</v>
      </c>
      <c r="AP272" s="6">
        <f t="shared" si="333"/>
        <v>0</v>
      </c>
      <c r="AQ272" s="6">
        <v>0</v>
      </c>
      <c r="AR272" s="6">
        <f t="shared" si="334"/>
        <v>0</v>
      </c>
      <c r="AS272" s="6">
        <f t="shared" si="335"/>
        <v>0</v>
      </c>
      <c r="AT272" s="6">
        <v>0</v>
      </c>
      <c r="AU272" s="6">
        <f t="shared" si="336"/>
        <v>0</v>
      </c>
      <c r="AV272" s="6">
        <f t="shared" si="337"/>
        <v>0</v>
      </c>
      <c r="AW272" s="6">
        <v>0</v>
      </c>
      <c r="AX272" s="6">
        <f t="shared" si="338"/>
        <v>0</v>
      </c>
      <c r="AY272" s="6">
        <f t="shared" si="339"/>
        <v>0</v>
      </c>
      <c r="AZ272" s="6">
        <v>0</v>
      </c>
      <c r="BA272" s="6">
        <f t="shared" si="340"/>
        <v>0</v>
      </c>
      <c r="BB272" s="6">
        <f t="shared" si="341"/>
        <v>0</v>
      </c>
      <c r="BC272" s="6">
        <v>0</v>
      </c>
      <c r="BD272" s="6">
        <f t="shared" si="342"/>
        <v>0</v>
      </c>
      <c r="BE272" s="6">
        <f t="shared" si="343"/>
        <v>0</v>
      </c>
      <c r="BF272" s="6">
        <v>0</v>
      </c>
      <c r="BG272" s="6">
        <f t="shared" si="344"/>
        <v>0</v>
      </c>
      <c r="BH272" s="6">
        <f t="shared" si="345"/>
        <v>0</v>
      </c>
      <c r="BI272" s="6">
        <v>0</v>
      </c>
      <c r="BJ272" s="6">
        <f t="shared" si="346"/>
        <v>0</v>
      </c>
      <c r="BK272" s="6">
        <f t="shared" si="347"/>
        <v>0</v>
      </c>
      <c r="BL272" s="6">
        <v>0</v>
      </c>
      <c r="BM272" s="6">
        <f t="shared" si="348"/>
        <v>0</v>
      </c>
      <c r="BN272" s="6">
        <f t="shared" si="349"/>
        <v>0</v>
      </c>
      <c r="BO272" s="6">
        <v>0</v>
      </c>
      <c r="BP272" s="6">
        <f t="shared" si="350"/>
        <v>0</v>
      </c>
      <c r="BQ272" s="6">
        <f t="shared" si="351"/>
        <v>0</v>
      </c>
      <c r="BR272" s="6">
        <v>0</v>
      </c>
      <c r="BS272" s="6">
        <f t="shared" si="352"/>
        <v>0</v>
      </c>
      <c r="BT272" s="6">
        <f t="shared" si="353"/>
        <v>0</v>
      </c>
      <c r="BU272" s="6">
        <v>0</v>
      </c>
      <c r="BV272" s="6">
        <f t="shared" si="354"/>
        <v>0</v>
      </c>
      <c r="BW272" s="6">
        <f t="shared" si="355"/>
        <v>0</v>
      </c>
      <c r="BX272" s="6">
        <v>0</v>
      </c>
      <c r="BY272" s="6">
        <f t="shared" si="356"/>
        <v>0</v>
      </c>
      <c r="BZ272" s="6">
        <f t="shared" si="357"/>
        <v>0</v>
      </c>
      <c r="CA272" s="6">
        <v>0</v>
      </c>
      <c r="CB272" s="6">
        <f t="shared" si="358"/>
        <v>0</v>
      </c>
      <c r="CC272" s="6">
        <f t="shared" si="359"/>
        <v>0</v>
      </c>
      <c r="CD272" s="6">
        <v>0</v>
      </c>
      <c r="CE272" s="6">
        <f t="shared" si="360"/>
        <v>0</v>
      </c>
      <c r="CF272" s="6">
        <f t="shared" si="361"/>
        <v>0</v>
      </c>
      <c r="CG272" s="6">
        <v>0</v>
      </c>
      <c r="CH272" s="6">
        <f t="shared" si="362"/>
        <v>0</v>
      </c>
      <c r="CI272" s="6">
        <f t="shared" si="363"/>
        <v>0</v>
      </c>
      <c r="CJ272" s="6">
        <v>0</v>
      </c>
      <c r="CK272" s="6">
        <f t="shared" si="364"/>
        <v>0</v>
      </c>
      <c r="CL272" s="6">
        <f t="shared" si="365"/>
        <v>0</v>
      </c>
      <c r="CM272" s="6">
        <v>0</v>
      </c>
      <c r="CN272" s="6">
        <f t="shared" si="366"/>
        <v>0</v>
      </c>
      <c r="CO272" s="6">
        <f t="shared" si="367"/>
        <v>0</v>
      </c>
      <c r="CP272" s="6">
        <v>0</v>
      </c>
      <c r="CQ272" s="6">
        <f t="shared" si="368"/>
        <v>0</v>
      </c>
      <c r="CR272" s="6">
        <f t="shared" si="369"/>
        <v>0</v>
      </c>
      <c r="CS272" s="6">
        <v>0</v>
      </c>
      <c r="CT272" s="6">
        <f t="shared" si="370"/>
        <v>0</v>
      </c>
      <c r="CU272" s="6">
        <f t="shared" si="371"/>
        <v>0</v>
      </c>
      <c r="CV272" s="6">
        <v>0</v>
      </c>
      <c r="CW272" s="6">
        <f t="shared" si="372"/>
        <v>0</v>
      </c>
      <c r="CX272" s="6">
        <f t="shared" si="373"/>
        <v>0</v>
      </c>
      <c r="CY272" s="6">
        <v>0</v>
      </c>
      <c r="CZ272" s="6">
        <f t="shared" si="374"/>
        <v>0</v>
      </c>
      <c r="DA272" s="6">
        <f t="shared" si="375"/>
        <v>0</v>
      </c>
      <c r="DB272" s="6">
        <v>0</v>
      </c>
      <c r="DC272" s="6">
        <f t="shared" si="376"/>
        <v>0</v>
      </c>
      <c r="DD272" s="6">
        <f t="shared" si="377"/>
        <v>0</v>
      </c>
      <c r="DE272" s="6">
        <v>0</v>
      </c>
      <c r="DF272" s="6">
        <f t="shared" si="378"/>
        <v>0</v>
      </c>
      <c r="DG272" s="6">
        <f t="shared" si="379"/>
        <v>0</v>
      </c>
      <c r="DH272" s="6">
        <v>0</v>
      </c>
      <c r="DI272" s="6">
        <f t="shared" si="380"/>
        <v>0</v>
      </c>
      <c r="DJ272" s="6">
        <f t="shared" si="381"/>
        <v>0</v>
      </c>
      <c r="DK272" s="6">
        <v>0</v>
      </c>
      <c r="DL272" s="6">
        <f t="shared" si="382"/>
        <v>0</v>
      </c>
      <c r="DM272" s="6">
        <f t="shared" si="383"/>
        <v>0</v>
      </c>
      <c r="DN272" s="6">
        <v>0</v>
      </c>
      <c r="DO272" s="6">
        <f t="shared" si="384"/>
        <v>0</v>
      </c>
      <c r="DP272" s="6">
        <f t="shared" si="385"/>
        <v>0</v>
      </c>
    </row>
    <row r="273" spans="1:120" x14ac:dyDescent="0.2">
      <c r="A273" s="21">
        <v>41</v>
      </c>
      <c r="B273" s="21" t="s">
        <v>687</v>
      </c>
      <c r="C273" s="21">
        <v>41001</v>
      </c>
      <c r="D273" s="21" t="s">
        <v>721</v>
      </c>
      <c r="E273" s="21" t="s">
        <v>522</v>
      </c>
      <c r="F273" s="22" t="s">
        <v>666</v>
      </c>
      <c r="G273" s="4" t="s">
        <v>385</v>
      </c>
      <c r="H273" s="6">
        <v>1250908.29</v>
      </c>
      <c r="I273" s="6">
        <f t="shared" si="314"/>
        <v>3427.1460000000002</v>
      </c>
      <c r="J273" s="6">
        <v>1208025</v>
      </c>
      <c r="K273" s="6">
        <v>1142119.8400000001</v>
      </c>
      <c r="L273" s="6">
        <f t="shared" si="315"/>
        <v>3120.546010928962</v>
      </c>
      <c r="M273" s="6">
        <v>1053348</v>
      </c>
      <c r="N273" s="6">
        <v>1094165.3799999999</v>
      </c>
      <c r="O273" s="6">
        <f t="shared" si="386"/>
        <v>2997.7133698630132</v>
      </c>
      <c r="P273" s="6">
        <v>924438</v>
      </c>
      <c r="Q273" s="6">
        <v>508338.48</v>
      </c>
      <c r="R273" s="6">
        <f t="shared" ref="R273:R286" si="388">Q273/181</f>
        <v>2808.4998895027625</v>
      </c>
      <c r="S273" s="6">
        <v>813414</v>
      </c>
      <c r="T273" s="6">
        <f t="shared" si="318"/>
        <v>813414</v>
      </c>
      <c r="U273" s="6">
        <f t="shared" si="319"/>
        <v>2228.5315068493151</v>
      </c>
      <c r="V273" s="6">
        <v>720876</v>
      </c>
      <c r="W273" s="6">
        <f t="shared" si="320"/>
        <v>720876</v>
      </c>
      <c r="X273" s="6">
        <f t="shared" si="321"/>
        <v>1975.0027397260274</v>
      </c>
      <c r="Y273" s="6">
        <v>630392</v>
      </c>
      <c r="Z273" s="6">
        <f t="shared" si="322"/>
        <v>630392</v>
      </c>
      <c r="AA273" s="6">
        <f t="shared" si="323"/>
        <v>1727.1013698630136</v>
      </c>
      <c r="AB273" s="6">
        <v>539519</v>
      </c>
      <c r="AC273" s="6">
        <f t="shared" si="324"/>
        <v>539519</v>
      </c>
      <c r="AD273" s="6">
        <f t="shared" si="325"/>
        <v>1478.1342465753426</v>
      </c>
      <c r="AE273" s="6">
        <v>466474</v>
      </c>
      <c r="AF273" s="6">
        <f t="shared" si="326"/>
        <v>466474</v>
      </c>
      <c r="AG273" s="6">
        <f t="shared" si="327"/>
        <v>1278.0109589041097</v>
      </c>
      <c r="AH273" s="6">
        <v>404376</v>
      </c>
      <c r="AI273" s="6">
        <f t="shared" si="328"/>
        <v>404376</v>
      </c>
      <c r="AJ273" s="6">
        <f t="shared" si="329"/>
        <v>1107.8794520547945</v>
      </c>
      <c r="AK273" s="6">
        <v>0</v>
      </c>
      <c r="AL273" s="6">
        <f t="shared" si="330"/>
        <v>0</v>
      </c>
      <c r="AM273" s="6">
        <f t="shared" si="331"/>
        <v>0</v>
      </c>
      <c r="AN273" s="6">
        <v>0</v>
      </c>
      <c r="AO273" s="6">
        <f t="shared" si="332"/>
        <v>0</v>
      </c>
      <c r="AP273" s="6">
        <f t="shared" si="333"/>
        <v>0</v>
      </c>
      <c r="AQ273" s="6">
        <v>0</v>
      </c>
      <c r="AR273" s="6">
        <f t="shared" si="334"/>
        <v>0</v>
      </c>
      <c r="AS273" s="6">
        <f t="shared" si="335"/>
        <v>0</v>
      </c>
      <c r="AT273" s="6">
        <v>0</v>
      </c>
      <c r="AU273" s="6">
        <f t="shared" si="336"/>
        <v>0</v>
      </c>
      <c r="AV273" s="6">
        <f t="shared" si="337"/>
        <v>0</v>
      </c>
      <c r="AW273" s="6">
        <v>0</v>
      </c>
      <c r="AX273" s="6">
        <f t="shared" si="338"/>
        <v>0</v>
      </c>
      <c r="AY273" s="6">
        <f t="shared" si="339"/>
        <v>0</v>
      </c>
      <c r="AZ273" s="6">
        <v>0</v>
      </c>
      <c r="BA273" s="6">
        <f t="shared" si="340"/>
        <v>0</v>
      </c>
      <c r="BB273" s="6">
        <f t="shared" si="341"/>
        <v>0</v>
      </c>
      <c r="BC273" s="6">
        <v>0</v>
      </c>
      <c r="BD273" s="6">
        <f t="shared" si="342"/>
        <v>0</v>
      </c>
      <c r="BE273" s="6">
        <f t="shared" si="343"/>
        <v>0</v>
      </c>
      <c r="BF273" s="6">
        <v>0</v>
      </c>
      <c r="BG273" s="6">
        <f t="shared" si="344"/>
        <v>0</v>
      </c>
      <c r="BH273" s="6">
        <f t="shared" si="345"/>
        <v>0</v>
      </c>
      <c r="BI273" s="6">
        <v>0</v>
      </c>
      <c r="BJ273" s="6">
        <f t="shared" si="346"/>
        <v>0</v>
      </c>
      <c r="BK273" s="6">
        <f t="shared" si="347"/>
        <v>0</v>
      </c>
      <c r="BL273" s="6">
        <v>0</v>
      </c>
      <c r="BM273" s="6">
        <f t="shared" si="348"/>
        <v>0</v>
      </c>
      <c r="BN273" s="6">
        <f t="shared" si="349"/>
        <v>0</v>
      </c>
      <c r="BO273" s="6">
        <v>0</v>
      </c>
      <c r="BP273" s="6">
        <f t="shared" si="350"/>
        <v>0</v>
      </c>
      <c r="BQ273" s="6">
        <f t="shared" si="351"/>
        <v>0</v>
      </c>
      <c r="BR273" s="6">
        <v>0</v>
      </c>
      <c r="BS273" s="6">
        <f t="shared" si="352"/>
        <v>0</v>
      </c>
      <c r="BT273" s="6">
        <f t="shared" si="353"/>
        <v>0</v>
      </c>
      <c r="BU273" s="6">
        <v>0</v>
      </c>
      <c r="BV273" s="6">
        <f t="shared" si="354"/>
        <v>0</v>
      </c>
      <c r="BW273" s="6">
        <f t="shared" si="355"/>
        <v>0</v>
      </c>
      <c r="BX273" s="6">
        <v>0</v>
      </c>
      <c r="BY273" s="6">
        <f t="shared" si="356"/>
        <v>0</v>
      </c>
      <c r="BZ273" s="6">
        <f t="shared" si="357"/>
        <v>0</v>
      </c>
      <c r="CA273" s="6">
        <v>0</v>
      </c>
      <c r="CB273" s="6">
        <f t="shared" si="358"/>
        <v>0</v>
      </c>
      <c r="CC273" s="6">
        <f t="shared" si="359"/>
        <v>0</v>
      </c>
      <c r="CD273" s="6">
        <v>0</v>
      </c>
      <c r="CE273" s="6">
        <f t="shared" si="360"/>
        <v>0</v>
      </c>
      <c r="CF273" s="6">
        <f t="shared" si="361"/>
        <v>0</v>
      </c>
      <c r="CG273" s="6">
        <v>0</v>
      </c>
      <c r="CH273" s="6">
        <f t="shared" si="362"/>
        <v>0</v>
      </c>
      <c r="CI273" s="6">
        <f t="shared" si="363"/>
        <v>0</v>
      </c>
      <c r="CJ273" s="6">
        <v>0</v>
      </c>
      <c r="CK273" s="6">
        <f t="shared" si="364"/>
        <v>0</v>
      </c>
      <c r="CL273" s="6">
        <f t="shared" si="365"/>
        <v>0</v>
      </c>
      <c r="CM273" s="6">
        <v>0</v>
      </c>
      <c r="CN273" s="6">
        <f t="shared" si="366"/>
        <v>0</v>
      </c>
      <c r="CO273" s="6">
        <f t="shared" si="367"/>
        <v>0</v>
      </c>
      <c r="CP273" s="6">
        <v>0</v>
      </c>
      <c r="CQ273" s="6">
        <f t="shared" si="368"/>
        <v>0</v>
      </c>
      <c r="CR273" s="6">
        <f t="shared" si="369"/>
        <v>0</v>
      </c>
      <c r="CS273" s="6">
        <v>0</v>
      </c>
      <c r="CT273" s="6">
        <f t="shared" si="370"/>
        <v>0</v>
      </c>
      <c r="CU273" s="6">
        <f t="shared" si="371"/>
        <v>0</v>
      </c>
      <c r="CV273" s="6">
        <v>0</v>
      </c>
      <c r="CW273" s="6">
        <f t="shared" si="372"/>
        <v>0</v>
      </c>
      <c r="CX273" s="6">
        <f t="shared" si="373"/>
        <v>0</v>
      </c>
      <c r="CY273" s="6">
        <v>0</v>
      </c>
      <c r="CZ273" s="6">
        <f t="shared" si="374"/>
        <v>0</v>
      </c>
      <c r="DA273" s="6">
        <f t="shared" si="375"/>
        <v>0</v>
      </c>
      <c r="DB273" s="6">
        <v>0</v>
      </c>
      <c r="DC273" s="6">
        <f t="shared" si="376"/>
        <v>0</v>
      </c>
      <c r="DD273" s="6">
        <f t="shared" si="377"/>
        <v>0</v>
      </c>
      <c r="DE273" s="6">
        <v>0</v>
      </c>
      <c r="DF273" s="6">
        <f t="shared" si="378"/>
        <v>0</v>
      </c>
      <c r="DG273" s="6">
        <f t="shared" si="379"/>
        <v>0</v>
      </c>
      <c r="DH273" s="6">
        <v>0</v>
      </c>
      <c r="DI273" s="6">
        <f t="shared" si="380"/>
        <v>0</v>
      </c>
      <c r="DJ273" s="6">
        <f t="shared" si="381"/>
        <v>0</v>
      </c>
      <c r="DK273" s="6">
        <v>0</v>
      </c>
      <c r="DL273" s="6">
        <f t="shared" si="382"/>
        <v>0</v>
      </c>
      <c r="DM273" s="6">
        <f t="shared" si="383"/>
        <v>0</v>
      </c>
      <c r="DN273" s="6">
        <v>0</v>
      </c>
      <c r="DO273" s="6">
        <f t="shared" si="384"/>
        <v>0</v>
      </c>
      <c r="DP273" s="6">
        <f t="shared" si="385"/>
        <v>0</v>
      </c>
    </row>
    <row r="274" spans="1:120" x14ac:dyDescent="0.2">
      <c r="A274" s="21">
        <v>20</v>
      </c>
      <c r="B274" s="21" t="s">
        <v>667</v>
      </c>
      <c r="C274" s="21">
        <v>20770</v>
      </c>
      <c r="D274" s="21" t="s">
        <v>668</v>
      </c>
      <c r="E274" s="21" t="s">
        <v>522</v>
      </c>
      <c r="F274" s="22" t="s">
        <v>666</v>
      </c>
      <c r="G274" s="4" t="s">
        <v>386</v>
      </c>
      <c r="H274" s="6">
        <v>504820.78</v>
      </c>
      <c r="I274" s="6">
        <f t="shared" si="314"/>
        <v>1383.0706301369864</v>
      </c>
      <c r="J274" s="6">
        <v>577386</v>
      </c>
      <c r="K274" s="6">
        <v>506184.37</v>
      </c>
      <c r="L274" s="6">
        <f t="shared" si="315"/>
        <v>1383.0174043715847</v>
      </c>
      <c r="M274" s="6">
        <v>516130</v>
      </c>
      <c r="N274" s="6">
        <v>476362.54</v>
      </c>
      <c r="O274" s="6">
        <f t="shared" si="386"/>
        <v>1305.1028493150684</v>
      </c>
      <c r="P274" s="6">
        <v>435264</v>
      </c>
      <c r="Q274" s="6">
        <v>211473.79</v>
      </c>
      <c r="R274" s="6">
        <f t="shared" si="388"/>
        <v>1168.3634806629834</v>
      </c>
      <c r="S274" s="6">
        <v>367332</v>
      </c>
      <c r="T274" s="6">
        <f t="shared" si="318"/>
        <v>367332</v>
      </c>
      <c r="U274" s="6">
        <f t="shared" si="319"/>
        <v>1006.3890410958904</v>
      </c>
      <c r="V274" s="6">
        <v>310998</v>
      </c>
      <c r="W274" s="6">
        <f t="shared" si="320"/>
        <v>310998</v>
      </c>
      <c r="X274" s="6">
        <f t="shared" si="321"/>
        <v>852.04931506849312</v>
      </c>
      <c r="Y274" s="6">
        <v>262053</v>
      </c>
      <c r="Z274" s="6">
        <f t="shared" si="322"/>
        <v>262053</v>
      </c>
      <c r="AA274" s="6">
        <f t="shared" si="323"/>
        <v>717.95342465753424</v>
      </c>
      <c r="AB274" s="6">
        <v>221636</v>
      </c>
      <c r="AC274" s="6">
        <f t="shared" si="324"/>
        <v>221636</v>
      </c>
      <c r="AD274" s="6">
        <f t="shared" si="325"/>
        <v>607.22191780821913</v>
      </c>
      <c r="AE274" s="6">
        <v>187609</v>
      </c>
      <c r="AF274" s="6">
        <f t="shared" si="326"/>
        <v>187609</v>
      </c>
      <c r="AG274" s="6">
        <f t="shared" si="327"/>
        <v>513.99726027397264</v>
      </c>
      <c r="AH274" s="6">
        <v>159327</v>
      </c>
      <c r="AI274" s="6">
        <f t="shared" si="328"/>
        <v>159327</v>
      </c>
      <c r="AJ274" s="6">
        <f t="shared" si="329"/>
        <v>436.51232876712328</v>
      </c>
      <c r="AK274" s="6">
        <v>134694</v>
      </c>
      <c r="AL274" s="6">
        <f t="shared" si="330"/>
        <v>134694</v>
      </c>
      <c r="AM274" s="6">
        <f t="shared" si="331"/>
        <v>369.02465753424656</v>
      </c>
      <c r="AN274" s="6">
        <v>113732</v>
      </c>
      <c r="AO274" s="6">
        <f t="shared" si="332"/>
        <v>113732</v>
      </c>
      <c r="AP274" s="6">
        <f t="shared" si="333"/>
        <v>311.59452054794519</v>
      </c>
      <c r="AQ274" s="6">
        <v>0</v>
      </c>
      <c r="AR274" s="6">
        <f t="shared" si="334"/>
        <v>0</v>
      </c>
      <c r="AS274" s="6">
        <f t="shared" si="335"/>
        <v>0</v>
      </c>
      <c r="AT274" s="6">
        <v>0</v>
      </c>
      <c r="AU274" s="6">
        <f t="shared" si="336"/>
        <v>0</v>
      </c>
      <c r="AV274" s="6">
        <f t="shared" si="337"/>
        <v>0</v>
      </c>
      <c r="AW274" s="6">
        <v>0</v>
      </c>
      <c r="AX274" s="6">
        <f t="shared" si="338"/>
        <v>0</v>
      </c>
      <c r="AY274" s="6">
        <f t="shared" si="339"/>
        <v>0</v>
      </c>
      <c r="AZ274" s="6">
        <v>0</v>
      </c>
      <c r="BA274" s="6">
        <f t="shared" si="340"/>
        <v>0</v>
      </c>
      <c r="BB274" s="6">
        <f t="shared" si="341"/>
        <v>0</v>
      </c>
      <c r="BC274" s="6">
        <v>0</v>
      </c>
      <c r="BD274" s="6">
        <f t="shared" si="342"/>
        <v>0</v>
      </c>
      <c r="BE274" s="6">
        <f t="shared" si="343"/>
        <v>0</v>
      </c>
      <c r="BF274" s="6">
        <v>0</v>
      </c>
      <c r="BG274" s="6">
        <f t="shared" si="344"/>
        <v>0</v>
      </c>
      <c r="BH274" s="6">
        <f t="shared" si="345"/>
        <v>0</v>
      </c>
      <c r="BI274" s="6">
        <v>0</v>
      </c>
      <c r="BJ274" s="6">
        <f t="shared" si="346"/>
        <v>0</v>
      </c>
      <c r="BK274" s="6">
        <f t="shared" si="347"/>
        <v>0</v>
      </c>
      <c r="BL274" s="6">
        <v>0</v>
      </c>
      <c r="BM274" s="6">
        <f t="shared" si="348"/>
        <v>0</v>
      </c>
      <c r="BN274" s="6">
        <f t="shared" si="349"/>
        <v>0</v>
      </c>
      <c r="BO274" s="6">
        <v>0</v>
      </c>
      <c r="BP274" s="6">
        <f t="shared" si="350"/>
        <v>0</v>
      </c>
      <c r="BQ274" s="6">
        <f t="shared" si="351"/>
        <v>0</v>
      </c>
      <c r="BR274" s="6">
        <v>0</v>
      </c>
      <c r="BS274" s="6">
        <f t="shared" si="352"/>
        <v>0</v>
      </c>
      <c r="BT274" s="6">
        <f t="shared" si="353"/>
        <v>0</v>
      </c>
      <c r="BU274" s="6">
        <v>0</v>
      </c>
      <c r="BV274" s="6">
        <f t="shared" si="354"/>
        <v>0</v>
      </c>
      <c r="BW274" s="6">
        <f t="shared" si="355"/>
        <v>0</v>
      </c>
      <c r="BX274" s="6">
        <v>0</v>
      </c>
      <c r="BY274" s="6">
        <f t="shared" si="356"/>
        <v>0</v>
      </c>
      <c r="BZ274" s="6">
        <f t="shared" si="357"/>
        <v>0</v>
      </c>
      <c r="CA274" s="6">
        <v>0</v>
      </c>
      <c r="CB274" s="6">
        <f t="shared" si="358"/>
        <v>0</v>
      </c>
      <c r="CC274" s="6">
        <f t="shared" si="359"/>
        <v>0</v>
      </c>
      <c r="CD274" s="6">
        <v>0</v>
      </c>
      <c r="CE274" s="6">
        <f t="shared" si="360"/>
        <v>0</v>
      </c>
      <c r="CF274" s="6">
        <f t="shared" si="361"/>
        <v>0</v>
      </c>
      <c r="CG274" s="6">
        <v>0</v>
      </c>
      <c r="CH274" s="6">
        <f t="shared" si="362"/>
        <v>0</v>
      </c>
      <c r="CI274" s="6">
        <f t="shared" si="363"/>
        <v>0</v>
      </c>
      <c r="CJ274" s="6">
        <v>0</v>
      </c>
      <c r="CK274" s="6">
        <f t="shared" si="364"/>
        <v>0</v>
      </c>
      <c r="CL274" s="6">
        <f t="shared" si="365"/>
        <v>0</v>
      </c>
      <c r="CM274" s="6">
        <v>0</v>
      </c>
      <c r="CN274" s="6">
        <f t="shared" si="366"/>
        <v>0</v>
      </c>
      <c r="CO274" s="6">
        <f t="shared" si="367"/>
        <v>0</v>
      </c>
      <c r="CP274" s="6">
        <v>0</v>
      </c>
      <c r="CQ274" s="6">
        <f t="shared" si="368"/>
        <v>0</v>
      </c>
      <c r="CR274" s="6">
        <f t="shared" si="369"/>
        <v>0</v>
      </c>
      <c r="CS274" s="6">
        <v>0</v>
      </c>
      <c r="CT274" s="6">
        <f t="shared" si="370"/>
        <v>0</v>
      </c>
      <c r="CU274" s="6">
        <f t="shared" si="371"/>
        <v>0</v>
      </c>
      <c r="CV274" s="6">
        <v>0</v>
      </c>
      <c r="CW274" s="6">
        <f t="shared" si="372"/>
        <v>0</v>
      </c>
      <c r="CX274" s="6">
        <f t="shared" si="373"/>
        <v>0</v>
      </c>
      <c r="CY274" s="6">
        <v>0</v>
      </c>
      <c r="CZ274" s="6">
        <f t="shared" si="374"/>
        <v>0</v>
      </c>
      <c r="DA274" s="6">
        <f t="shared" si="375"/>
        <v>0</v>
      </c>
      <c r="DB274" s="6">
        <v>0</v>
      </c>
      <c r="DC274" s="6">
        <f t="shared" si="376"/>
        <v>0</v>
      </c>
      <c r="DD274" s="6">
        <f t="shared" si="377"/>
        <v>0</v>
      </c>
      <c r="DE274" s="6">
        <v>0</v>
      </c>
      <c r="DF274" s="6">
        <f t="shared" si="378"/>
        <v>0</v>
      </c>
      <c r="DG274" s="6">
        <f t="shared" si="379"/>
        <v>0</v>
      </c>
      <c r="DH274" s="6">
        <v>0</v>
      </c>
      <c r="DI274" s="6">
        <f t="shared" si="380"/>
        <v>0</v>
      </c>
      <c r="DJ274" s="6">
        <f t="shared" si="381"/>
        <v>0</v>
      </c>
      <c r="DK274" s="6">
        <v>0</v>
      </c>
      <c r="DL274" s="6">
        <f t="shared" si="382"/>
        <v>0</v>
      </c>
      <c r="DM274" s="6">
        <f t="shared" si="383"/>
        <v>0</v>
      </c>
      <c r="DN274" s="6">
        <v>0</v>
      </c>
      <c r="DO274" s="6">
        <f t="shared" si="384"/>
        <v>0</v>
      </c>
      <c r="DP274" s="6">
        <f t="shared" si="385"/>
        <v>0</v>
      </c>
    </row>
    <row r="275" spans="1:120" x14ac:dyDescent="0.2">
      <c r="A275" s="21">
        <v>20</v>
      </c>
      <c r="B275" s="21" t="s">
        <v>667</v>
      </c>
      <c r="C275" s="21">
        <v>20710</v>
      </c>
      <c r="D275" s="21" t="s">
        <v>746</v>
      </c>
      <c r="E275" s="21" t="s">
        <v>564</v>
      </c>
      <c r="F275" s="22" t="s">
        <v>662</v>
      </c>
      <c r="G275" s="4" t="s">
        <v>387</v>
      </c>
      <c r="H275" s="6">
        <v>74586.33</v>
      </c>
      <c r="I275" s="6">
        <f t="shared" si="314"/>
        <v>204.34610958904111</v>
      </c>
      <c r="J275" s="6">
        <v>65717.098400000003</v>
      </c>
      <c r="K275" s="6">
        <v>54848.94</v>
      </c>
      <c r="L275" s="6">
        <f t="shared" si="315"/>
        <v>149.86049180327871</v>
      </c>
      <c r="M275" s="6">
        <v>55612.277699999999</v>
      </c>
      <c r="N275" s="6">
        <v>49330.28</v>
      </c>
      <c r="O275" s="6">
        <f t="shared" si="386"/>
        <v>135.1514520547945</v>
      </c>
      <c r="P275" s="6">
        <v>49775.986400000002</v>
      </c>
      <c r="Q275" s="6">
        <v>6590.6</v>
      </c>
      <c r="R275" s="6">
        <f t="shared" si="388"/>
        <v>36.412154696132596</v>
      </c>
      <c r="S275" s="6">
        <v>45042.165399999998</v>
      </c>
      <c r="T275" s="6">
        <f t="shared" si="318"/>
        <v>45042.165399999998</v>
      </c>
      <c r="U275" s="6">
        <f t="shared" si="319"/>
        <v>123.40319287671232</v>
      </c>
      <c r="V275" s="6">
        <v>40864.708700000003</v>
      </c>
      <c r="W275" s="6">
        <f t="shared" si="320"/>
        <v>40864.708700000003</v>
      </c>
      <c r="X275" s="6">
        <f t="shared" si="321"/>
        <v>111.95810602739726</v>
      </c>
      <c r="Y275" s="6">
        <v>36872.206599999998</v>
      </c>
      <c r="Z275" s="6">
        <f t="shared" si="322"/>
        <v>36872.206599999998</v>
      </c>
      <c r="AA275" s="6">
        <f t="shared" si="323"/>
        <v>101.01974410958904</v>
      </c>
      <c r="AB275" s="6">
        <v>33365.5674</v>
      </c>
      <c r="AC275" s="6">
        <f t="shared" si="324"/>
        <v>33365.5674</v>
      </c>
      <c r="AD275" s="6">
        <f t="shared" si="325"/>
        <v>91.412513424657533</v>
      </c>
      <c r="AE275" s="6">
        <v>30192.418399999999</v>
      </c>
      <c r="AF275" s="6">
        <f t="shared" si="326"/>
        <v>30192.418399999999</v>
      </c>
      <c r="AG275" s="6">
        <f t="shared" si="327"/>
        <v>82.718954520547939</v>
      </c>
      <c r="AH275" s="6">
        <v>27392.2084</v>
      </c>
      <c r="AI275" s="6">
        <f t="shared" si="328"/>
        <v>27392.2084</v>
      </c>
      <c r="AJ275" s="6">
        <f t="shared" si="329"/>
        <v>75.047146301369864</v>
      </c>
      <c r="AK275" s="6">
        <v>24715.976200000001</v>
      </c>
      <c r="AL275" s="6">
        <f t="shared" si="330"/>
        <v>24715.976200000001</v>
      </c>
      <c r="AM275" s="6">
        <f t="shared" si="331"/>
        <v>67.715003287671237</v>
      </c>
      <c r="AN275" s="6">
        <v>22365.424999999999</v>
      </c>
      <c r="AO275" s="6">
        <f t="shared" si="332"/>
        <v>22365.424999999999</v>
      </c>
      <c r="AP275" s="6">
        <f t="shared" si="333"/>
        <v>61.275136986301369</v>
      </c>
      <c r="AQ275" s="6">
        <v>20238.417099999999</v>
      </c>
      <c r="AR275" s="6">
        <f t="shared" si="334"/>
        <v>20238.417099999999</v>
      </c>
      <c r="AS275" s="6">
        <f t="shared" si="335"/>
        <v>55.447718082191777</v>
      </c>
      <c r="AT275" s="6">
        <v>18361.3956</v>
      </c>
      <c r="AU275" s="6">
        <f t="shared" si="336"/>
        <v>18361.3956</v>
      </c>
      <c r="AV275" s="6">
        <f t="shared" si="337"/>
        <v>50.305193424657531</v>
      </c>
      <c r="AW275" s="6">
        <v>16567.478200000001</v>
      </c>
      <c r="AX275" s="6">
        <f t="shared" si="338"/>
        <v>16567.478200000001</v>
      </c>
      <c r="AY275" s="6">
        <f t="shared" si="339"/>
        <v>45.390351232876718</v>
      </c>
      <c r="AZ275" s="6">
        <v>14991.8696</v>
      </c>
      <c r="BA275" s="6">
        <f t="shared" si="340"/>
        <v>14991.8696</v>
      </c>
      <c r="BB275" s="6">
        <f t="shared" si="341"/>
        <v>41.07361534246575</v>
      </c>
      <c r="BC275" s="6">
        <v>13566.1052</v>
      </c>
      <c r="BD275" s="6">
        <f t="shared" si="342"/>
        <v>13566.1052</v>
      </c>
      <c r="BE275" s="6">
        <f t="shared" si="343"/>
        <v>37.167411506849312</v>
      </c>
      <c r="BF275" s="6">
        <v>12307.910400000001</v>
      </c>
      <c r="BG275" s="6">
        <f t="shared" si="344"/>
        <v>12307.910400000001</v>
      </c>
      <c r="BH275" s="6">
        <f t="shared" si="345"/>
        <v>33.720302465753427</v>
      </c>
      <c r="BI275" s="6">
        <v>7200.4272000000001</v>
      </c>
      <c r="BJ275" s="6">
        <f t="shared" si="346"/>
        <v>7200.4272000000001</v>
      </c>
      <c r="BK275" s="6">
        <f t="shared" si="347"/>
        <v>19.727197808219177</v>
      </c>
      <c r="BL275" s="6">
        <v>0</v>
      </c>
      <c r="BM275" s="6">
        <f t="shared" si="348"/>
        <v>0</v>
      </c>
      <c r="BN275" s="6">
        <f t="shared" si="349"/>
        <v>0</v>
      </c>
      <c r="BO275" s="6">
        <v>0</v>
      </c>
      <c r="BP275" s="6">
        <f t="shared" si="350"/>
        <v>0</v>
      </c>
      <c r="BQ275" s="6">
        <f t="shared" si="351"/>
        <v>0</v>
      </c>
      <c r="BR275" s="6">
        <v>0</v>
      </c>
      <c r="BS275" s="6">
        <f t="shared" si="352"/>
        <v>0</v>
      </c>
      <c r="BT275" s="6">
        <f t="shared" si="353"/>
        <v>0</v>
      </c>
      <c r="BU275" s="6">
        <v>0</v>
      </c>
      <c r="BV275" s="6">
        <f t="shared" si="354"/>
        <v>0</v>
      </c>
      <c r="BW275" s="6">
        <f t="shared" si="355"/>
        <v>0</v>
      </c>
      <c r="BX275" s="6">
        <v>0</v>
      </c>
      <c r="BY275" s="6">
        <f t="shared" si="356"/>
        <v>0</v>
      </c>
      <c r="BZ275" s="6">
        <f t="shared" si="357"/>
        <v>0</v>
      </c>
      <c r="CA275" s="6">
        <v>0</v>
      </c>
      <c r="CB275" s="6">
        <f t="shared" si="358"/>
        <v>0</v>
      </c>
      <c r="CC275" s="6">
        <f t="shared" si="359"/>
        <v>0</v>
      </c>
      <c r="CD275" s="6">
        <v>0</v>
      </c>
      <c r="CE275" s="6">
        <f t="shared" si="360"/>
        <v>0</v>
      </c>
      <c r="CF275" s="6">
        <f t="shared" si="361"/>
        <v>0</v>
      </c>
      <c r="CG275" s="6">
        <v>0</v>
      </c>
      <c r="CH275" s="6">
        <f t="shared" si="362"/>
        <v>0</v>
      </c>
      <c r="CI275" s="6">
        <f t="shared" si="363"/>
        <v>0</v>
      </c>
      <c r="CJ275" s="6">
        <v>0</v>
      </c>
      <c r="CK275" s="6">
        <f t="shared" si="364"/>
        <v>0</v>
      </c>
      <c r="CL275" s="6">
        <f t="shared" si="365"/>
        <v>0</v>
      </c>
      <c r="CM275" s="6">
        <v>0</v>
      </c>
      <c r="CN275" s="6">
        <f t="shared" si="366"/>
        <v>0</v>
      </c>
      <c r="CO275" s="6">
        <f t="shared" si="367"/>
        <v>0</v>
      </c>
      <c r="CP275" s="6">
        <v>0</v>
      </c>
      <c r="CQ275" s="6">
        <f t="shared" si="368"/>
        <v>0</v>
      </c>
      <c r="CR275" s="6">
        <f t="shared" si="369"/>
        <v>0</v>
      </c>
      <c r="CS275" s="6">
        <v>0</v>
      </c>
      <c r="CT275" s="6">
        <f t="shared" si="370"/>
        <v>0</v>
      </c>
      <c r="CU275" s="6">
        <f t="shared" si="371"/>
        <v>0</v>
      </c>
      <c r="CV275" s="6">
        <v>0</v>
      </c>
      <c r="CW275" s="6">
        <f t="shared" si="372"/>
        <v>0</v>
      </c>
      <c r="CX275" s="6">
        <f t="shared" si="373"/>
        <v>0</v>
      </c>
      <c r="CY275" s="6">
        <v>0</v>
      </c>
      <c r="CZ275" s="6">
        <f t="shared" si="374"/>
        <v>0</v>
      </c>
      <c r="DA275" s="6">
        <f t="shared" si="375"/>
        <v>0</v>
      </c>
      <c r="DB275" s="6">
        <v>0</v>
      </c>
      <c r="DC275" s="6">
        <f t="shared" si="376"/>
        <v>0</v>
      </c>
      <c r="DD275" s="6">
        <f t="shared" si="377"/>
        <v>0</v>
      </c>
      <c r="DE275" s="6">
        <v>0</v>
      </c>
      <c r="DF275" s="6">
        <f t="shared" si="378"/>
        <v>0</v>
      </c>
      <c r="DG275" s="6">
        <f t="shared" si="379"/>
        <v>0</v>
      </c>
      <c r="DH275" s="6">
        <v>0</v>
      </c>
      <c r="DI275" s="6">
        <f t="shared" si="380"/>
        <v>0</v>
      </c>
      <c r="DJ275" s="6">
        <f t="shared" si="381"/>
        <v>0</v>
      </c>
      <c r="DK275" s="6">
        <v>0</v>
      </c>
      <c r="DL275" s="6">
        <f t="shared" si="382"/>
        <v>0</v>
      </c>
      <c r="DM275" s="6">
        <f t="shared" si="383"/>
        <v>0</v>
      </c>
      <c r="DN275" s="6">
        <v>0</v>
      </c>
      <c r="DO275" s="6">
        <f t="shared" si="384"/>
        <v>0</v>
      </c>
      <c r="DP275" s="6">
        <f t="shared" si="385"/>
        <v>0</v>
      </c>
    </row>
    <row r="276" spans="1:120" x14ac:dyDescent="0.2">
      <c r="A276" s="21">
        <v>85</v>
      </c>
      <c r="B276" s="21" t="s">
        <v>612</v>
      </c>
      <c r="C276" s="21">
        <v>85139</v>
      </c>
      <c r="D276" s="21" t="s">
        <v>702</v>
      </c>
      <c r="E276" s="21" t="s">
        <v>575</v>
      </c>
      <c r="F276" s="22" t="s">
        <v>666</v>
      </c>
      <c r="G276" s="4" t="s">
        <v>388</v>
      </c>
      <c r="H276" s="6">
        <v>149099.60999999999</v>
      </c>
      <c r="I276" s="6">
        <f t="shared" si="314"/>
        <v>408.49208219178081</v>
      </c>
      <c r="J276" s="6">
        <v>138174</v>
      </c>
      <c r="K276" s="6">
        <v>148931.45000000001</v>
      </c>
      <c r="L276" s="6">
        <f t="shared" si="315"/>
        <v>406.91653005464485</v>
      </c>
      <c r="M276" s="6">
        <v>126815</v>
      </c>
      <c r="N276" s="6">
        <v>139055.91</v>
      </c>
      <c r="O276" s="6">
        <f t="shared" si="386"/>
        <v>380.97509589041096</v>
      </c>
      <c r="P276" s="6">
        <v>116737</v>
      </c>
      <c r="Q276" s="6">
        <v>68033.73</v>
      </c>
      <c r="R276" s="6">
        <f t="shared" si="388"/>
        <v>375.87696132596682</v>
      </c>
      <c r="S276" s="6">
        <v>107466</v>
      </c>
      <c r="T276" s="6">
        <f t="shared" si="318"/>
        <v>107466</v>
      </c>
      <c r="U276" s="6">
        <f t="shared" si="319"/>
        <v>294.42739726027395</v>
      </c>
      <c r="V276" s="6">
        <v>99207</v>
      </c>
      <c r="W276" s="6">
        <f t="shared" si="320"/>
        <v>99207</v>
      </c>
      <c r="X276" s="6">
        <f t="shared" si="321"/>
        <v>271.8</v>
      </c>
      <c r="Y276" s="6">
        <v>91092</v>
      </c>
      <c r="Z276" s="6">
        <f t="shared" si="322"/>
        <v>91092</v>
      </c>
      <c r="AA276" s="6">
        <f t="shared" si="323"/>
        <v>249.56712328767122</v>
      </c>
      <c r="AB276" s="6">
        <v>0</v>
      </c>
      <c r="AC276" s="6">
        <f t="shared" si="324"/>
        <v>0</v>
      </c>
      <c r="AD276" s="6">
        <f t="shared" si="325"/>
        <v>0</v>
      </c>
      <c r="AE276" s="6">
        <v>0</v>
      </c>
      <c r="AF276" s="6">
        <f t="shared" si="326"/>
        <v>0</v>
      </c>
      <c r="AG276" s="6">
        <f t="shared" si="327"/>
        <v>0</v>
      </c>
      <c r="AH276" s="6">
        <v>0</v>
      </c>
      <c r="AI276" s="6">
        <f t="shared" si="328"/>
        <v>0</v>
      </c>
      <c r="AJ276" s="6">
        <f t="shared" si="329"/>
        <v>0</v>
      </c>
      <c r="AK276" s="6">
        <v>0</v>
      </c>
      <c r="AL276" s="6">
        <f t="shared" si="330"/>
        <v>0</v>
      </c>
      <c r="AM276" s="6">
        <f t="shared" si="331"/>
        <v>0</v>
      </c>
      <c r="AN276" s="6">
        <v>0</v>
      </c>
      <c r="AO276" s="6">
        <f t="shared" si="332"/>
        <v>0</v>
      </c>
      <c r="AP276" s="6">
        <f t="shared" si="333"/>
        <v>0</v>
      </c>
      <c r="AQ276" s="6">
        <v>0</v>
      </c>
      <c r="AR276" s="6">
        <f t="shared" si="334"/>
        <v>0</v>
      </c>
      <c r="AS276" s="6">
        <f t="shared" si="335"/>
        <v>0</v>
      </c>
      <c r="AT276" s="6">
        <v>0</v>
      </c>
      <c r="AU276" s="6">
        <f t="shared" si="336"/>
        <v>0</v>
      </c>
      <c r="AV276" s="6">
        <f t="shared" si="337"/>
        <v>0</v>
      </c>
      <c r="AW276" s="6">
        <v>0</v>
      </c>
      <c r="AX276" s="6">
        <f t="shared" si="338"/>
        <v>0</v>
      </c>
      <c r="AY276" s="6">
        <f t="shared" si="339"/>
        <v>0</v>
      </c>
      <c r="AZ276" s="6">
        <v>0</v>
      </c>
      <c r="BA276" s="6">
        <f t="shared" si="340"/>
        <v>0</v>
      </c>
      <c r="BB276" s="6">
        <f t="shared" si="341"/>
        <v>0</v>
      </c>
      <c r="BC276" s="6">
        <v>0</v>
      </c>
      <c r="BD276" s="6">
        <f t="shared" si="342"/>
        <v>0</v>
      </c>
      <c r="BE276" s="6">
        <f t="shared" si="343"/>
        <v>0</v>
      </c>
      <c r="BF276" s="6">
        <v>0</v>
      </c>
      <c r="BG276" s="6">
        <f t="shared" si="344"/>
        <v>0</v>
      </c>
      <c r="BH276" s="6">
        <f t="shared" si="345"/>
        <v>0</v>
      </c>
      <c r="BI276" s="6">
        <v>0</v>
      </c>
      <c r="BJ276" s="6">
        <f t="shared" si="346"/>
        <v>0</v>
      </c>
      <c r="BK276" s="6">
        <f t="shared" si="347"/>
        <v>0</v>
      </c>
      <c r="BL276" s="6">
        <v>0</v>
      </c>
      <c r="BM276" s="6">
        <f t="shared" si="348"/>
        <v>0</v>
      </c>
      <c r="BN276" s="6">
        <f t="shared" si="349"/>
        <v>0</v>
      </c>
      <c r="BO276" s="6">
        <v>0</v>
      </c>
      <c r="BP276" s="6">
        <f t="shared" si="350"/>
        <v>0</v>
      </c>
      <c r="BQ276" s="6">
        <f t="shared" si="351"/>
        <v>0</v>
      </c>
      <c r="BR276" s="6">
        <v>0</v>
      </c>
      <c r="BS276" s="6">
        <f t="shared" si="352"/>
        <v>0</v>
      </c>
      <c r="BT276" s="6">
        <f t="shared" si="353"/>
        <v>0</v>
      </c>
      <c r="BU276" s="6">
        <v>0</v>
      </c>
      <c r="BV276" s="6">
        <f t="shared" si="354"/>
        <v>0</v>
      </c>
      <c r="BW276" s="6">
        <f t="shared" si="355"/>
        <v>0</v>
      </c>
      <c r="BX276" s="6">
        <v>0</v>
      </c>
      <c r="BY276" s="6">
        <f t="shared" si="356"/>
        <v>0</v>
      </c>
      <c r="BZ276" s="6">
        <f t="shared" si="357"/>
        <v>0</v>
      </c>
      <c r="CA276" s="6">
        <v>0</v>
      </c>
      <c r="CB276" s="6">
        <f t="shared" si="358"/>
        <v>0</v>
      </c>
      <c r="CC276" s="6">
        <f t="shared" si="359"/>
        <v>0</v>
      </c>
      <c r="CD276" s="6">
        <v>0</v>
      </c>
      <c r="CE276" s="6">
        <f t="shared" si="360"/>
        <v>0</v>
      </c>
      <c r="CF276" s="6">
        <f t="shared" si="361"/>
        <v>0</v>
      </c>
      <c r="CG276" s="6">
        <v>0</v>
      </c>
      <c r="CH276" s="6">
        <f t="shared" si="362"/>
        <v>0</v>
      </c>
      <c r="CI276" s="6">
        <f t="shared" si="363"/>
        <v>0</v>
      </c>
      <c r="CJ276" s="6">
        <v>0</v>
      </c>
      <c r="CK276" s="6">
        <f t="shared" si="364"/>
        <v>0</v>
      </c>
      <c r="CL276" s="6">
        <f t="shared" si="365"/>
        <v>0</v>
      </c>
      <c r="CM276" s="6">
        <v>0</v>
      </c>
      <c r="CN276" s="6">
        <f t="shared" si="366"/>
        <v>0</v>
      </c>
      <c r="CO276" s="6">
        <f t="shared" si="367"/>
        <v>0</v>
      </c>
      <c r="CP276" s="6">
        <v>0</v>
      </c>
      <c r="CQ276" s="6">
        <f t="shared" si="368"/>
        <v>0</v>
      </c>
      <c r="CR276" s="6">
        <f t="shared" si="369"/>
        <v>0</v>
      </c>
      <c r="CS276" s="6">
        <v>0</v>
      </c>
      <c r="CT276" s="6">
        <f t="shared" si="370"/>
        <v>0</v>
      </c>
      <c r="CU276" s="6">
        <f t="shared" si="371"/>
        <v>0</v>
      </c>
      <c r="CV276" s="6">
        <v>0</v>
      </c>
      <c r="CW276" s="6">
        <f t="shared" si="372"/>
        <v>0</v>
      </c>
      <c r="CX276" s="6">
        <f t="shared" si="373"/>
        <v>0</v>
      </c>
      <c r="CY276" s="6">
        <v>0</v>
      </c>
      <c r="CZ276" s="6">
        <f t="shared" si="374"/>
        <v>0</v>
      </c>
      <c r="DA276" s="6">
        <f t="shared" si="375"/>
        <v>0</v>
      </c>
      <c r="DB276" s="6">
        <v>0</v>
      </c>
      <c r="DC276" s="6">
        <f t="shared" si="376"/>
        <v>0</v>
      </c>
      <c r="DD276" s="6">
        <f t="shared" si="377"/>
        <v>0</v>
      </c>
      <c r="DE276" s="6">
        <v>0</v>
      </c>
      <c r="DF276" s="6">
        <f t="shared" si="378"/>
        <v>0</v>
      </c>
      <c r="DG276" s="6">
        <f t="shared" si="379"/>
        <v>0</v>
      </c>
      <c r="DH276" s="6">
        <v>0</v>
      </c>
      <c r="DI276" s="6">
        <f t="shared" si="380"/>
        <v>0</v>
      </c>
      <c r="DJ276" s="6">
        <f t="shared" si="381"/>
        <v>0</v>
      </c>
      <c r="DK276" s="6">
        <v>0</v>
      </c>
      <c r="DL276" s="6">
        <f t="shared" si="382"/>
        <v>0</v>
      </c>
      <c r="DM276" s="6">
        <f t="shared" si="383"/>
        <v>0</v>
      </c>
      <c r="DN276" s="6">
        <v>0</v>
      </c>
      <c r="DO276" s="6">
        <f t="shared" si="384"/>
        <v>0</v>
      </c>
      <c r="DP276" s="6">
        <f t="shared" si="385"/>
        <v>0</v>
      </c>
    </row>
    <row r="277" spans="1:120" x14ac:dyDescent="0.2">
      <c r="A277" s="21">
        <v>85</v>
      </c>
      <c r="B277" s="21" t="s">
        <v>612</v>
      </c>
      <c r="C277" s="21">
        <v>85230</v>
      </c>
      <c r="D277" s="21" t="s">
        <v>614</v>
      </c>
      <c r="E277" s="21" t="s">
        <v>575</v>
      </c>
      <c r="F277" s="22" t="s">
        <v>666</v>
      </c>
      <c r="G277" s="4" t="s">
        <v>389</v>
      </c>
      <c r="H277" s="6">
        <v>134787.99</v>
      </c>
      <c r="I277" s="6">
        <f t="shared" si="314"/>
        <v>369.28216438356162</v>
      </c>
      <c r="J277" s="6">
        <v>119344</v>
      </c>
      <c r="K277" s="6">
        <v>12140.44</v>
      </c>
      <c r="L277" s="6">
        <f t="shared" si="315"/>
        <v>33.170601092896177</v>
      </c>
      <c r="M277" s="6">
        <v>97065</v>
      </c>
      <c r="N277" s="6">
        <v>136229.47</v>
      </c>
      <c r="O277" s="6">
        <f t="shared" si="386"/>
        <v>373.23142465753426</v>
      </c>
      <c r="P277" s="6">
        <v>125202</v>
      </c>
      <c r="Q277" s="6">
        <v>66362.55</v>
      </c>
      <c r="R277" s="6">
        <f t="shared" si="388"/>
        <v>366.64392265193374</v>
      </c>
      <c r="S277" s="6">
        <v>117585</v>
      </c>
      <c r="T277" s="6">
        <f t="shared" si="318"/>
        <v>117585</v>
      </c>
      <c r="U277" s="6">
        <f t="shared" si="319"/>
        <v>322.15068493150687</v>
      </c>
      <c r="V277" s="6">
        <v>89204</v>
      </c>
      <c r="W277" s="6">
        <f t="shared" si="320"/>
        <v>89204</v>
      </c>
      <c r="X277" s="6">
        <f t="shared" si="321"/>
        <v>244.39452054794521</v>
      </c>
      <c r="Y277" s="6">
        <v>68169</v>
      </c>
      <c r="Z277" s="6">
        <f t="shared" si="322"/>
        <v>68169</v>
      </c>
      <c r="AA277" s="6">
        <f t="shared" si="323"/>
        <v>186.76438356164383</v>
      </c>
      <c r="AB277" s="6">
        <v>52950</v>
      </c>
      <c r="AC277" s="6">
        <f t="shared" si="324"/>
        <v>52950</v>
      </c>
      <c r="AD277" s="6">
        <f t="shared" si="325"/>
        <v>145.06849315068493</v>
      </c>
      <c r="AE277" s="6">
        <v>0</v>
      </c>
      <c r="AF277" s="6">
        <f t="shared" si="326"/>
        <v>0</v>
      </c>
      <c r="AG277" s="6">
        <f t="shared" si="327"/>
        <v>0</v>
      </c>
      <c r="AH277" s="6">
        <v>0</v>
      </c>
      <c r="AI277" s="6">
        <f t="shared" si="328"/>
        <v>0</v>
      </c>
      <c r="AJ277" s="6">
        <f t="shared" si="329"/>
        <v>0</v>
      </c>
      <c r="AK277" s="6">
        <v>0</v>
      </c>
      <c r="AL277" s="6">
        <f t="shared" si="330"/>
        <v>0</v>
      </c>
      <c r="AM277" s="6">
        <f t="shared" si="331"/>
        <v>0</v>
      </c>
      <c r="AN277" s="6">
        <v>0</v>
      </c>
      <c r="AO277" s="6">
        <f t="shared" si="332"/>
        <v>0</v>
      </c>
      <c r="AP277" s="6">
        <f t="shared" si="333"/>
        <v>0</v>
      </c>
      <c r="AQ277" s="6">
        <v>0</v>
      </c>
      <c r="AR277" s="6">
        <f t="shared" si="334"/>
        <v>0</v>
      </c>
      <c r="AS277" s="6">
        <f t="shared" si="335"/>
        <v>0</v>
      </c>
      <c r="AT277" s="6">
        <v>0</v>
      </c>
      <c r="AU277" s="6">
        <f t="shared" si="336"/>
        <v>0</v>
      </c>
      <c r="AV277" s="6">
        <f t="shared" si="337"/>
        <v>0</v>
      </c>
      <c r="AW277" s="6">
        <v>0</v>
      </c>
      <c r="AX277" s="6">
        <f t="shared" si="338"/>
        <v>0</v>
      </c>
      <c r="AY277" s="6">
        <f t="shared" si="339"/>
        <v>0</v>
      </c>
      <c r="AZ277" s="6">
        <v>0</v>
      </c>
      <c r="BA277" s="6">
        <f t="shared" si="340"/>
        <v>0</v>
      </c>
      <c r="BB277" s="6">
        <f t="shared" si="341"/>
        <v>0</v>
      </c>
      <c r="BC277" s="6">
        <v>0</v>
      </c>
      <c r="BD277" s="6">
        <f t="shared" si="342"/>
        <v>0</v>
      </c>
      <c r="BE277" s="6">
        <f t="shared" si="343"/>
        <v>0</v>
      </c>
      <c r="BF277" s="6">
        <v>0</v>
      </c>
      <c r="BG277" s="6">
        <f t="shared" si="344"/>
        <v>0</v>
      </c>
      <c r="BH277" s="6">
        <f t="shared" si="345"/>
        <v>0</v>
      </c>
      <c r="BI277" s="6">
        <v>0</v>
      </c>
      <c r="BJ277" s="6">
        <f t="shared" si="346"/>
        <v>0</v>
      </c>
      <c r="BK277" s="6">
        <f t="shared" si="347"/>
        <v>0</v>
      </c>
      <c r="BL277" s="6">
        <v>0</v>
      </c>
      <c r="BM277" s="6">
        <f t="shared" si="348"/>
        <v>0</v>
      </c>
      <c r="BN277" s="6">
        <f t="shared" si="349"/>
        <v>0</v>
      </c>
      <c r="BO277" s="6">
        <v>0</v>
      </c>
      <c r="BP277" s="6">
        <f t="shared" si="350"/>
        <v>0</v>
      </c>
      <c r="BQ277" s="6">
        <f t="shared" si="351"/>
        <v>0</v>
      </c>
      <c r="BR277" s="6">
        <v>0</v>
      </c>
      <c r="BS277" s="6">
        <f t="shared" si="352"/>
        <v>0</v>
      </c>
      <c r="BT277" s="6">
        <f t="shared" si="353"/>
        <v>0</v>
      </c>
      <c r="BU277" s="6">
        <v>0</v>
      </c>
      <c r="BV277" s="6">
        <f t="shared" si="354"/>
        <v>0</v>
      </c>
      <c r="BW277" s="6">
        <f t="shared" si="355"/>
        <v>0</v>
      </c>
      <c r="BX277" s="6">
        <v>0</v>
      </c>
      <c r="BY277" s="6">
        <f t="shared" si="356"/>
        <v>0</v>
      </c>
      <c r="BZ277" s="6">
        <f t="shared" si="357"/>
        <v>0</v>
      </c>
      <c r="CA277" s="6">
        <v>0</v>
      </c>
      <c r="CB277" s="6">
        <f t="shared" si="358"/>
        <v>0</v>
      </c>
      <c r="CC277" s="6">
        <f t="shared" si="359"/>
        <v>0</v>
      </c>
      <c r="CD277" s="6">
        <v>0</v>
      </c>
      <c r="CE277" s="6">
        <f t="shared" si="360"/>
        <v>0</v>
      </c>
      <c r="CF277" s="6">
        <f t="shared" si="361"/>
        <v>0</v>
      </c>
      <c r="CG277" s="6">
        <v>0</v>
      </c>
      <c r="CH277" s="6">
        <f t="shared" si="362"/>
        <v>0</v>
      </c>
      <c r="CI277" s="6">
        <f t="shared" si="363"/>
        <v>0</v>
      </c>
      <c r="CJ277" s="6">
        <v>0</v>
      </c>
      <c r="CK277" s="6">
        <f t="shared" si="364"/>
        <v>0</v>
      </c>
      <c r="CL277" s="6">
        <f t="shared" si="365"/>
        <v>0</v>
      </c>
      <c r="CM277" s="6">
        <v>0</v>
      </c>
      <c r="CN277" s="6">
        <f t="shared" si="366"/>
        <v>0</v>
      </c>
      <c r="CO277" s="6">
        <f t="shared" si="367"/>
        <v>0</v>
      </c>
      <c r="CP277" s="6">
        <v>0</v>
      </c>
      <c r="CQ277" s="6">
        <f t="shared" si="368"/>
        <v>0</v>
      </c>
      <c r="CR277" s="6">
        <f t="shared" si="369"/>
        <v>0</v>
      </c>
      <c r="CS277" s="6">
        <v>0</v>
      </c>
      <c r="CT277" s="6">
        <f t="shared" si="370"/>
        <v>0</v>
      </c>
      <c r="CU277" s="6">
        <f t="shared" si="371"/>
        <v>0</v>
      </c>
      <c r="CV277" s="6">
        <v>0</v>
      </c>
      <c r="CW277" s="6">
        <f t="shared" si="372"/>
        <v>0</v>
      </c>
      <c r="CX277" s="6">
        <f t="shared" si="373"/>
        <v>0</v>
      </c>
      <c r="CY277" s="6">
        <v>0</v>
      </c>
      <c r="CZ277" s="6">
        <f t="shared" si="374"/>
        <v>0</v>
      </c>
      <c r="DA277" s="6">
        <f t="shared" si="375"/>
        <v>0</v>
      </c>
      <c r="DB277" s="6">
        <v>0</v>
      </c>
      <c r="DC277" s="6">
        <f t="shared" si="376"/>
        <v>0</v>
      </c>
      <c r="DD277" s="6">
        <f t="shared" si="377"/>
        <v>0</v>
      </c>
      <c r="DE277" s="6">
        <v>0</v>
      </c>
      <c r="DF277" s="6">
        <f t="shared" si="378"/>
        <v>0</v>
      </c>
      <c r="DG277" s="6">
        <f t="shared" si="379"/>
        <v>0</v>
      </c>
      <c r="DH277" s="6">
        <v>0</v>
      </c>
      <c r="DI277" s="6">
        <f t="shared" si="380"/>
        <v>0</v>
      </c>
      <c r="DJ277" s="6">
        <f t="shared" si="381"/>
        <v>0</v>
      </c>
      <c r="DK277" s="6">
        <v>0</v>
      </c>
      <c r="DL277" s="6">
        <f t="shared" si="382"/>
        <v>0</v>
      </c>
      <c r="DM277" s="6">
        <f t="shared" si="383"/>
        <v>0</v>
      </c>
      <c r="DN277" s="6">
        <v>0</v>
      </c>
      <c r="DO277" s="6">
        <f t="shared" si="384"/>
        <v>0</v>
      </c>
      <c r="DP277" s="6">
        <f t="shared" si="385"/>
        <v>0</v>
      </c>
    </row>
    <row r="278" spans="1:120" x14ac:dyDescent="0.2">
      <c r="A278" s="21">
        <v>85</v>
      </c>
      <c r="B278" s="21" t="s">
        <v>612</v>
      </c>
      <c r="C278" s="21">
        <v>85230</v>
      </c>
      <c r="D278" s="21" t="s">
        <v>614</v>
      </c>
      <c r="E278" s="21" t="s">
        <v>611</v>
      </c>
      <c r="F278" s="22" t="s">
        <v>662</v>
      </c>
      <c r="G278" s="4" t="s">
        <v>390</v>
      </c>
      <c r="H278" s="6">
        <v>188338.39</v>
      </c>
      <c r="I278" s="6">
        <f t="shared" si="314"/>
        <v>515.99558904109597</v>
      </c>
      <c r="J278" s="6">
        <v>159667.17800000001</v>
      </c>
      <c r="K278" s="6">
        <v>150611.94</v>
      </c>
      <c r="L278" s="6">
        <f t="shared" si="315"/>
        <v>411.50803278688528</v>
      </c>
      <c r="M278" s="6">
        <v>152767.97649999999</v>
      </c>
      <c r="N278" s="6">
        <v>148595.72</v>
      </c>
      <c r="O278" s="6">
        <f t="shared" si="386"/>
        <v>407.11156164383561</v>
      </c>
      <c r="P278" s="6">
        <v>223737.55559999999</v>
      </c>
      <c r="Q278" s="6">
        <v>74352.649999999994</v>
      </c>
      <c r="R278" s="6">
        <f t="shared" si="388"/>
        <v>410.78812154696129</v>
      </c>
      <c r="S278" s="6">
        <v>240874.93549999999</v>
      </c>
      <c r="T278" s="6">
        <f t="shared" si="318"/>
        <v>240874.93549999999</v>
      </c>
      <c r="U278" s="6">
        <f t="shared" si="319"/>
        <v>659.93133013698628</v>
      </c>
      <c r="V278" s="6">
        <v>208169.9307</v>
      </c>
      <c r="W278" s="6">
        <f t="shared" si="320"/>
        <v>208169.9307</v>
      </c>
      <c r="X278" s="6">
        <f t="shared" si="321"/>
        <v>570.32857726027396</v>
      </c>
      <c r="Y278" s="6">
        <v>181128.88860000001</v>
      </c>
      <c r="Z278" s="6">
        <f t="shared" si="322"/>
        <v>181128.88860000001</v>
      </c>
      <c r="AA278" s="6">
        <f t="shared" si="323"/>
        <v>496.2435304109589</v>
      </c>
      <c r="AB278" s="6">
        <v>157154.71919999999</v>
      </c>
      <c r="AC278" s="6">
        <f t="shared" si="324"/>
        <v>157154.71919999999</v>
      </c>
      <c r="AD278" s="6">
        <f t="shared" si="325"/>
        <v>430.56087452054794</v>
      </c>
      <c r="AE278" s="6">
        <v>131988.24059999999</v>
      </c>
      <c r="AF278" s="6">
        <f t="shared" si="326"/>
        <v>131988.24059999999</v>
      </c>
      <c r="AG278" s="6">
        <f t="shared" si="327"/>
        <v>361.61161808219174</v>
      </c>
      <c r="AH278" s="6">
        <v>110446.33199999999</v>
      </c>
      <c r="AI278" s="6">
        <f t="shared" si="328"/>
        <v>110446.33199999999</v>
      </c>
      <c r="AJ278" s="6">
        <f t="shared" si="329"/>
        <v>302.59269041095888</v>
      </c>
      <c r="AK278" s="6">
        <v>99043.397299999997</v>
      </c>
      <c r="AL278" s="6">
        <f t="shared" si="330"/>
        <v>99043.397299999997</v>
      </c>
      <c r="AM278" s="6">
        <f t="shared" si="331"/>
        <v>271.35177342465755</v>
      </c>
      <c r="AN278" s="6">
        <v>23227.837299999999</v>
      </c>
      <c r="AO278" s="6">
        <f t="shared" si="332"/>
        <v>23227.837299999999</v>
      </c>
      <c r="AP278" s="6">
        <f t="shared" si="333"/>
        <v>63.637910410958902</v>
      </c>
      <c r="AQ278" s="6">
        <v>0</v>
      </c>
      <c r="AR278" s="6">
        <f t="shared" si="334"/>
        <v>0</v>
      </c>
      <c r="AS278" s="6">
        <f t="shared" si="335"/>
        <v>0</v>
      </c>
      <c r="AT278" s="6">
        <v>0</v>
      </c>
      <c r="AU278" s="6">
        <f t="shared" si="336"/>
        <v>0</v>
      </c>
      <c r="AV278" s="6">
        <f t="shared" si="337"/>
        <v>0</v>
      </c>
      <c r="AW278" s="6">
        <v>0</v>
      </c>
      <c r="AX278" s="6">
        <f t="shared" si="338"/>
        <v>0</v>
      </c>
      <c r="AY278" s="6">
        <f t="shared" si="339"/>
        <v>0</v>
      </c>
      <c r="AZ278" s="6">
        <v>0</v>
      </c>
      <c r="BA278" s="6">
        <f t="shared" si="340"/>
        <v>0</v>
      </c>
      <c r="BB278" s="6">
        <f t="shared" si="341"/>
        <v>0</v>
      </c>
      <c r="BC278" s="6">
        <v>0</v>
      </c>
      <c r="BD278" s="6">
        <f t="shared" si="342"/>
        <v>0</v>
      </c>
      <c r="BE278" s="6">
        <f t="shared" si="343"/>
        <v>0</v>
      </c>
      <c r="BF278" s="6">
        <v>0</v>
      </c>
      <c r="BG278" s="6">
        <f t="shared" si="344"/>
        <v>0</v>
      </c>
      <c r="BH278" s="6">
        <f t="shared" si="345"/>
        <v>0</v>
      </c>
      <c r="BI278" s="6">
        <v>0</v>
      </c>
      <c r="BJ278" s="6">
        <f t="shared" si="346"/>
        <v>0</v>
      </c>
      <c r="BK278" s="6">
        <f t="shared" si="347"/>
        <v>0</v>
      </c>
      <c r="BL278" s="6">
        <v>0</v>
      </c>
      <c r="BM278" s="6">
        <f t="shared" si="348"/>
        <v>0</v>
      </c>
      <c r="BN278" s="6">
        <f t="shared" si="349"/>
        <v>0</v>
      </c>
      <c r="BO278" s="6">
        <v>0</v>
      </c>
      <c r="BP278" s="6">
        <f t="shared" si="350"/>
        <v>0</v>
      </c>
      <c r="BQ278" s="6">
        <f t="shared" si="351"/>
        <v>0</v>
      </c>
      <c r="BR278" s="6">
        <v>0</v>
      </c>
      <c r="BS278" s="6">
        <f t="shared" si="352"/>
        <v>0</v>
      </c>
      <c r="BT278" s="6">
        <f t="shared" si="353"/>
        <v>0</v>
      </c>
      <c r="BU278" s="6">
        <v>0</v>
      </c>
      <c r="BV278" s="6">
        <f t="shared" si="354"/>
        <v>0</v>
      </c>
      <c r="BW278" s="6">
        <f t="shared" si="355"/>
        <v>0</v>
      </c>
      <c r="BX278" s="6">
        <v>0</v>
      </c>
      <c r="BY278" s="6">
        <f t="shared" si="356"/>
        <v>0</v>
      </c>
      <c r="BZ278" s="6">
        <f t="shared" si="357"/>
        <v>0</v>
      </c>
      <c r="CA278" s="6">
        <v>0</v>
      </c>
      <c r="CB278" s="6">
        <f t="shared" si="358"/>
        <v>0</v>
      </c>
      <c r="CC278" s="6">
        <f t="shared" si="359"/>
        <v>0</v>
      </c>
      <c r="CD278" s="6">
        <v>0</v>
      </c>
      <c r="CE278" s="6">
        <f t="shared" si="360"/>
        <v>0</v>
      </c>
      <c r="CF278" s="6">
        <f t="shared" si="361"/>
        <v>0</v>
      </c>
      <c r="CG278" s="6">
        <v>0</v>
      </c>
      <c r="CH278" s="6">
        <f t="shared" si="362"/>
        <v>0</v>
      </c>
      <c r="CI278" s="6">
        <f t="shared" si="363"/>
        <v>0</v>
      </c>
      <c r="CJ278" s="6">
        <v>0</v>
      </c>
      <c r="CK278" s="6">
        <f t="shared" si="364"/>
        <v>0</v>
      </c>
      <c r="CL278" s="6">
        <f t="shared" si="365"/>
        <v>0</v>
      </c>
      <c r="CM278" s="6">
        <v>0</v>
      </c>
      <c r="CN278" s="6">
        <f t="shared" si="366"/>
        <v>0</v>
      </c>
      <c r="CO278" s="6">
        <f t="shared" si="367"/>
        <v>0</v>
      </c>
      <c r="CP278" s="6">
        <v>0</v>
      </c>
      <c r="CQ278" s="6">
        <f t="shared" si="368"/>
        <v>0</v>
      </c>
      <c r="CR278" s="6">
        <f t="shared" si="369"/>
        <v>0</v>
      </c>
      <c r="CS278" s="6">
        <v>0</v>
      </c>
      <c r="CT278" s="6">
        <f t="shared" si="370"/>
        <v>0</v>
      </c>
      <c r="CU278" s="6">
        <f t="shared" si="371"/>
        <v>0</v>
      </c>
      <c r="CV278" s="6">
        <v>0</v>
      </c>
      <c r="CW278" s="6">
        <f t="shared" si="372"/>
        <v>0</v>
      </c>
      <c r="CX278" s="6">
        <f t="shared" si="373"/>
        <v>0</v>
      </c>
      <c r="CY278" s="6">
        <v>0</v>
      </c>
      <c r="CZ278" s="6">
        <f t="shared" si="374"/>
        <v>0</v>
      </c>
      <c r="DA278" s="6">
        <f t="shared" si="375"/>
        <v>0</v>
      </c>
      <c r="DB278" s="6">
        <v>0</v>
      </c>
      <c r="DC278" s="6">
        <f t="shared" si="376"/>
        <v>0</v>
      </c>
      <c r="DD278" s="6">
        <f t="shared" si="377"/>
        <v>0</v>
      </c>
      <c r="DE278" s="6">
        <v>0</v>
      </c>
      <c r="DF278" s="6">
        <f t="shared" si="378"/>
        <v>0</v>
      </c>
      <c r="DG278" s="6">
        <f t="shared" si="379"/>
        <v>0</v>
      </c>
      <c r="DH278" s="6">
        <v>0</v>
      </c>
      <c r="DI278" s="6">
        <f t="shared" si="380"/>
        <v>0</v>
      </c>
      <c r="DJ278" s="6">
        <f t="shared" si="381"/>
        <v>0</v>
      </c>
      <c r="DK278" s="6">
        <v>0</v>
      </c>
      <c r="DL278" s="6">
        <f t="shared" si="382"/>
        <v>0</v>
      </c>
      <c r="DM278" s="6">
        <f t="shared" si="383"/>
        <v>0</v>
      </c>
      <c r="DN278" s="6">
        <v>0</v>
      </c>
      <c r="DO278" s="6">
        <f t="shared" si="384"/>
        <v>0</v>
      </c>
      <c r="DP278" s="6">
        <f t="shared" si="385"/>
        <v>0</v>
      </c>
    </row>
    <row r="279" spans="1:120" x14ac:dyDescent="0.2">
      <c r="A279" s="21">
        <v>54</v>
      </c>
      <c r="B279" s="21" t="s">
        <v>744</v>
      </c>
      <c r="C279" s="21">
        <v>54810</v>
      </c>
      <c r="D279" s="21" t="s">
        <v>400</v>
      </c>
      <c r="E279" s="21" t="s">
        <v>522</v>
      </c>
      <c r="F279" s="22" t="s">
        <v>666</v>
      </c>
      <c r="G279" s="4" t="s">
        <v>391</v>
      </c>
      <c r="H279" s="6">
        <v>41749.29</v>
      </c>
      <c r="I279" s="6">
        <f t="shared" si="314"/>
        <v>114.38161643835616</v>
      </c>
      <c r="J279" s="6">
        <v>51083</v>
      </c>
      <c r="K279" s="6">
        <v>48757.49</v>
      </c>
      <c r="L279" s="6">
        <f t="shared" si="315"/>
        <v>133.21718579234971</v>
      </c>
      <c r="M279" s="6">
        <v>45223</v>
      </c>
      <c r="N279" s="6">
        <v>38514.58</v>
      </c>
      <c r="O279" s="6">
        <f t="shared" si="386"/>
        <v>105.51939726027398</v>
      </c>
      <c r="P279" s="6">
        <v>39896</v>
      </c>
      <c r="Q279" s="6">
        <v>12960.87</v>
      </c>
      <c r="R279" s="6">
        <f t="shared" si="388"/>
        <v>71.607016574585643</v>
      </c>
      <c r="S279" s="6">
        <v>35208</v>
      </c>
      <c r="T279" s="6">
        <f t="shared" si="318"/>
        <v>35208</v>
      </c>
      <c r="U279" s="6">
        <f t="shared" si="319"/>
        <v>96.460273972602735</v>
      </c>
      <c r="V279" s="6">
        <v>25397</v>
      </c>
      <c r="W279" s="6">
        <f t="shared" si="320"/>
        <v>25397</v>
      </c>
      <c r="X279" s="6">
        <f t="shared" si="321"/>
        <v>69.580821917808223</v>
      </c>
      <c r="Y279" s="6">
        <v>0</v>
      </c>
      <c r="Z279" s="6">
        <f t="shared" si="322"/>
        <v>0</v>
      </c>
      <c r="AA279" s="6">
        <f t="shared" si="323"/>
        <v>0</v>
      </c>
      <c r="AB279" s="6">
        <v>0</v>
      </c>
      <c r="AC279" s="6">
        <f t="shared" si="324"/>
        <v>0</v>
      </c>
      <c r="AD279" s="6">
        <f t="shared" si="325"/>
        <v>0</v>
      </c>
      <c r="AE279" s="6">
        <v>0</v>
      </c>
      <c r="AF279" s="6">
        <f t="shared" si="326"/>
        <v>0</v>
      </c>
      <c r="AG279" s="6">
        <f t="shared" si="327"/>
        <v>0</v>
      </c>
      <c r="AH279" s="6">
        <v>0</v>
      </c>
      <c r="AI279" s="6">
        <f t="shared" si="328"/>
        <v>0</v>
      </c>
      <c r="AJ279" s="6">
        <f t="shared" si="329"/>
        <v>0</v>
      </c>
      <c r="AK279" s="6">
        <v>0</v>
      </c>
      <c r="AL279" s="6">
        <f t="shared" si="330"/>
        <v>0</v>
      </c>
      <c r="AM279" s="6">
        <f t="shared" si="331"/>
        <v>0</v>
      </c>
      <c r="AN279" s="6">
        <v>0</v>
      </c>
      <c r="AO279" s="6">
        <f t="shared" si="332"/>
        <v>0</v>
      </c>
      <c r="AP279" s="6">
        <f t="shared" si="333"/>
        <v>0</v>
      </c>
      <c r="AQ279" s="6">
        <v>0</v>
      </c>
      <c r="AR279" s="6">
        <f t="shared" si="334"/>
        <v>0</v>
      </c>
      <c r="AS279" s="6">
        <f t="shared" si="335"/>
        <v>0</v>
      </c>
      <c r="AT279" s="6">
        <v>0</v>
      </c>
      <c r="AU279" s="6">
        <f t="shared" si="336"/>
        <v>0</v>
      </c>
      <c r="AV279" s="6">
        <f t="shared" si="337"/>
        <v>0</v>
      </c>
      <c r="AW279" s="6">
        <v>0</v>
      </c>
      <c r="AX279" s="6">
        <f t="shared" si="338"/>
        <v>0</v>
      </c>
      <c r="AY279" s="6">
        <f t="shared" si="339"/>
        <v>0</v>
      </c>
      <c r="AZ279" s="6">
        <v>0</v>
      </c>
      <c r="BA279" s="6">
        <f t="shared" si="340"/>
        <v>0</v>
      </c>
      <c r="BB279" s="6">
        <f t="shared" si="341"/>
        <v>0</v>
      </c>
      <c r="BC279" s="6">
        <v>0</v>
      </c>
      <c r="BD279" s="6">
        <f t="shared" si="342"/>
        <v>0</v>
      </c>
      <c r="BE279" s="6">
        <f t="shared" si="343"/>
        <v>0</v>
      </c>
      <c r="BF279" s="6">
        <v>0</v>
      </c>
      <c r="BG279" s="6">
        <f t="shared" si="344"/>
        <v>0</v>
      </c>
      <c r="BH279" s="6">
        <f t="shared" si="345"/>
        <v>0</v>
      </c>
      <c r="BI279" s="6">
        <v>0</v>
      </c>
      <c r="BJ279" s="6">
        <f t="shared" si="346"/>
        <v>0</v>
      </c>
      <c r="BK279" s="6">
        <f t="shared" si="347"/>
        <v>0</v>
      </c>
      <c r="BL279" s="6">
        <v>0</v>
      </c>
      <c r="BM279" s="6">
        <f t="shared" si="348"/>
        <v>0</v>
      </c>
      <c r="BN279" s="6">
        <f t="shared" si="349"/>
        <v>0</v>
      </c>
      <c r="BO279" s="6">
        <v>0</v>
      </c>
      <c r="BP279" s="6">
        <f t="shared" si="350"/>
        <v>0</v>
      </c>
      <c r="BQ279" s="6">
        <f t="shared" si="351"/>
        <v>0</v>
      </c>
      <c r="BR279" s="6">
        <v>0</v>
      </c>
      <c r="BS279" s="6">
        <f t="shared" si="352"/>
        <v>0</v>
      </c>
      <c r="BT279" s="6">
        <f t="shared" si="353"/>
        <v>0</v>
      </c>
      <c r="BU279" s="6">
        <v>0</v>
      </c>
      <c r="BV279" s="6">
        <f t="shared" si="354"/>
        <v>0</v>
      </c>
      <c r="BW279" s="6">
        <f t="shared" si="355"/>
        <v>0</v>
      </c>
      <c r="BX279" s="6">
        <v>0</v>
      </c>
      <c r="BY279" s="6">
        <f t="shared" si="356"/>
        <v>0</v>
      </c>
      <c r="BZ279" s="6">
        <f t="shared" si="357"/>
        <v>0</v>
      </c>
      <c r="CA279" s="6">
        <v>0</v>
      </c>
      <c r="CB279" s="6">
        <f t="shared" si="358"/>
        <v>0</v>
      </c>
      <c r="CC279" s="6">
        <f t="shared" si="359"/>
        <v>0</v>
      </c>
      <c r="CD279" s="6">
        <v>0</v>
      </c>
      <c r="CE279" s="6">
        <f t="shared" si="360"/>
        <v>0</v>
      </c>
      <c r="CF279" s="6">
        <f t="shared" si="361"/>
        <v>0</v>
      </c>
      <c r="CG279" s="6">
        <v>0</v>
      </c>
      <c r="CH279" s="6">
        <f t="shared" si="362"/>
        <v>0</v>
      </c>
      <c r="CI279" s="6">
        <f t="shared" si="363"/>
        <v>0</v>
      </c>
      <c r="CJ279" s="6">
        <v>0</v>
      </c>
      <c r="CK279" s="6">
        <f t="shared" si="364"/>
        <v>0</v>
      </c>
      <c r="CL279" s="6">
        <f t="shared" si="365"/>
        <v>0</v>
      </c>
      <c r="CM279" s="6">
        <v>0</v>
      </c>
      <c r="CN279" s="6">
        <f t="shared" si="366"/>
        <v>0</v>
      </c>
      <c r="CO279" s="6">
        <f t="shared" si="367"/>
        <v>0</v>
      </c>
      <c r="CP279" s="6">
        <v>0</v>
      </c>
      <c r="CQ279" s="6">
        <f t="shared" si="368"/>
        <v>0</v>
      </c>
      <c r="CR279" s="6">
        <f t="shared" si="369"/>
        <v>0</v>
      </c>
      <c r="CS279" s="6">
        <v>0</v>
      </c>
      <c r="CT279" s="6">
        <f t="shared" si="370"/>
        <v>0</v>
      </c>
      <c r="CU279" s="6">
        <f t="shared" si="371"/>
        <v>0</v>
      </c>
      <c r="CV279" s="6">
        <v>0</v>
      </c>
      <c r="CW279" s="6">
        <f t="shared" si="372"/>
        <v>0</v>
      </c>
      <c r="CX279" s="6">
        <f t="shared" si="373"/>
        <v>0</v>
      </c>
      <c r="CY279" s="6">
        <v>0</v>
      </c>
      <c r="CZ279" s="6">
        <f t="shared" si="374"/>
        <v>0</v>
      </c>
      <c r="DA279" s="6">
        <f t="shared" si="375"/>
        <v>0</v>
      </c>
      <c r="DB279" s="6">
        <v>0</v>
      </c>
      <c r="DC279" s="6">
        <f t="shared" si="376"/>
        <v>0</v>
      </c>
      <c r="DD279" s="6">
        <f t="shared" si="377"/>
        <v>0</v>
      </c>
      <c r="DE279" s="6">
        <v>0</v>
      </c>
      <c r="DF279" s="6">
        <f t="shared" si="378"/>
        <v>0</v>
      </c>
      <c r="DG279" s="6">
        <f t="shared" si="379"/>
        <v>0</v>
      </c>
      <c r="DH279" s="6">
        <v>0</v>
      </c>
      <c r="DI279" s="6">
        <f t="shared" si="380"/>
        <v>0</v>
      </c>
      <c r="DJ279" s="6">
        <f t="shared" si="381"/>
        <v>0</v>
      </c>
      <c r="DK279" s="6">
        <v>0</v>
      </c>
      <c r="DL279" s="6">
        <f t="shared" si="382"/>
        <v>0</v>
      </c>
      <c r="DM279" s="6">
        <f t="shared" si="383"/>
        <v>0</v>
      </c>
      <c r="DN279" s="6">
        <v>0</v>
      </c>
      <c r="DO279" s="6">
        <f t="shared" si="384"/>
        <v>0</v>
      </c>
      <c r="DP279" s="6">
        <f t="shared" si="385"/>
        <v>0</v>
      </c>
    </row>
    <row r="280" spans="1:120" x14ac:dyDescent="0.2">
      <c r="A280" s="21">
        <v>50</v>
      </c>
      <c r="B280" s="21" t="s">
        <v>675</v>
      </c>
      <c r="C280" s="21">
        <v>50568</v>
      </c>
      <c r="D280" s="21" t="s">
        <v>700</v>
      </c>
      <c r="E280" s="21" t="s">
        <v>542</v>
      </c>
      <c r="F280" s="22" t="s">
        <v>669</v>
      </c>
      <c r="G280" s="4" t="s">
        <v>392</v>
      </c>
      <c r="H280" s="6"/>
      <c r="I280" s="6"/>
      <c r="J280" s="6">
        <v>5889</v>
      </c>
      <c r="K280" s="6"/>
      <c r="L280" s="6"/>
      <c r="M280" s="6">
        <v>30526</v>
      </c>
      <c r="N280" s="6">
        <v>1609.86</v>
      </c>
      <c r="O280" s="6">
        <f t="shared" si="386"/>
        <v>4.4105753424657532</v>
      </c>
      <c r="P280" s="6">
        <v>25613</v>
      </c>
      <c r="Q280" s="6">
        <v>3064.75</v>
      </c>
      <c r="R280" s="6">
        <f t="shared" si="388"/>
        <v>16.932320441988949</v>
      </c>
      <c r="S280" s="6">
        <v>38359</v>
      </c>
      <c r="T280" s="6">
        <f t="shared" si="318"/>
        <v>38359</v>
      </c>
      <c r="U280" s="6">
        <f t="shared" si="319"/>
        <v>105.0931506849315</v>
      </c>
      <c r="V280" s="6">
        <v>31900</v>
      </c>
      <c r="W280" s="6">
        <f t="shared" si="320"/>
        <v>31900</v>
      </c>
      <c r="X280" s="6">
        <f t="shared" si="321"/>
        <v>87.397260273972606</v>
      </c>
      <c r="Y280" s="6">
        <v>22965</v>
      </c>
      <c r="Z280" s="6">
        <f t="shared" si="322"/>
        <v>22965</v>
      </c>
      <c r="AA280" s="6">
        <f t="shared" si="323"/>
        <v>62.917808219178085</v>
      </c>
      <c r="AB280" s="6">
        <v>35826</v>
      </c>
      <c r="AC280" s="6">
        <f t="shared" si="324"/>
        <v>35826</v>
      </c>
      <c r="AD280" s="6">
        <f t="shared" si="325"/>
        <v>98.153424657534245</v>
      </c>
      <c r="AE280" s="6">
        <v>29695</v>
      </c>
      <c r="AF280" s="6">
        <f t="shared" si="326"/>
        <v>29695</v>
      </c>
      <c r="AG280" s="6">
        <f t="shared" si="327"/>
        <v>81.356164383561648</v>
      </c>
      <c r="AH280" s="6">
        <v>19359</v>
      </c>
      <c r="AI280" s="6">
        <f t="shared" si="328"/>
        <v>19359</v>
      </c>
      <c r="AJ280" s="6">
        <f t="shared" si="329"/>
        <v>53.038356164383565</v>
      </c>
      <c r="AK280" s="6">
        <v>13461</v>
      </c>
      <c r="AL280" s="6">
        <f t="shared" si="330"/>
        <v>13461</v>
      </c>
      <c r="AM280" s="6">
        <f t="shared" si="331"/>
        <v>36.87945205479452</v>
      </c>
      <c r="AN280" s="6">
        <v>7465</v>
      </c>
      <c r="AO280" s="6">
        <f t="shared" si="332"/>
        <v>7465</v>
      </c>
      <c r="AP280" s="6">
        <f t="shared" si="333"/>
        <v>20.452054794520549</v>
      </c>
      <c r="AQ280" s="6">
        <v>0</v>
      </c>
      <c r="AR280" s="6">
        <f t="shared" si="334"/>
        <v>0</v>
      </c>
      <c r="AS280" s="6">
        <f t="shared" si="335"/>
        <v>0</v>
      </c>
      <c r="AT280" s="6">
        <v>0</v>
      </c>
      <c r="AU280" s="6">
        <f t="shared" si="336"/>
        <v>0</v>
      </c>
      <c r="AV280" s="6">
        <f t="shared" si="337"/>
        <v>0</v>
      </c>
      <c r="AW280" s="6">
        <v>0</v>
      </c>
      <c r="AX280" s="6">
        <f t="shared" si="338"/>
        <v>0</v>
      </c>
      <c r="AY280" s="6">
        <f t="shared" si="339"/>
        <v>0</v>
      </c>
      <c r="AZ280" s="6">
        <v>0</v>
      </c>
      <c r="BA280" s="6">
        <f t="shared" si="340"/>
        <v>0</v>
      </c>
      <c r="BB280" s="6">
        <f t="shared" si="341"/>
        <v>0</v>
      </c>
      <c r="BC280" s="6">
        <v>0</v>
      </c>
      <c r="BD280" s="6">
        <f t="shared" si="342"/>
        <v>0</v>
      </c>
      <c r="BE280" s="6">
        <f t="shared" si="343"/>
        <v>0</v>
      </c>
      <c r="BF280" s="6">
        <v>0</v>
      </c>
      <c r="BG280" s="6">
        <f t="shared" si="344"/>
        <v>0</v>
      </c>
      <c r="BH280" s="6">
        <f t="shared" si="345"/>
        <v>0</v>
      </c>
      <c r="BI280" s="6">
        <v>0</v>
      </c>
      <c r="BJ280" s="6">
        <f t="shared" si="346"/>
        <v>0</v>
      </c>
      <c r="BK280" s="6">
        <f t="shared" si="347"/>
        <v>0</v>
      </c>
      <c r="BL280" s="6">
        <v>0</v>
      </c>
      <c r="BM280" s="6">
        <f t="shared" si="348"/>
        <v>0</v>
      </c>
      <c r="BN280" s="6">
        <f t="shared" si="349"/>
        <v>0</v>
      </c>
      <c r="BO280" s="6">
        <v>0</v>
      </c>
      <c r="BP280" s="6">
        <f t="shared" si="350"/>
        <v>0</v>
      </c>
      <c r="BQ280" s="6">
        <f t="shared" si="351"/>
        <v>0</v>
      </c>
      <c r="BR280" s="6">
        <v>0</v>
      </c>
      <c r="BS280" s="6">
        <f t="shared" si="352"/>
        <v>0</v>
      </c>
      <c r="BT280" s="6">
        <f t="shared" si="353"/>
        <v>0</v>
      </c>
      <c r="BU280" s="6">
        <v>0</v>
      </c>
      <c r="BV280" s="6">
        <f t="shared" si="354"/>
        <v>0</v>
      </c>
      <c r="BW280" s="6">
        <f t="shared" si="355"/>
        <v>0</v>
      </c>
      <c r="BX280" s="6">
        <v>0</v>
      </c>
      <c r="BY280" s="6">
        <f t="shared" si="356"/>
        <v>0</v>
      </c>
      <c r="BZ280" s="6">
        <f t="shared" si="357"/>
        <v>0</v>
      </c>
      <c r="CA280" s="6">
        <v>0</v>
      </c>
      <c r="CB280" s="6">
        <f t="shared" si="358"/>
        <v>0</v>
      </c>
      <c r="CC280" s="6">
        <f t="shared" si="359"/>
        <v>0</v>
      </c>
      <c r="CD280" s="6">
        <v>0</v>
      </c>
      <c r="CE280" s="6">
        <f t="shared" si="360"/>
        <v>0</v>
      </c>
      <c r="CF280" s="6">
        <f t="shared" si="361"/>
        <v>0</v>
      </c>
      <c r="CG280" s="6">
        <v>0</v>
      </c>
      <c r="CH280" s="6">
        <f t="shared" si="362"/>
        <v>0</v>
      </c>
      <c r="CI280" s="6">
        <f t="shared" si="363"/>
        <v>0</v>
      </c>
      <c r="CJ280" s="6">
        <v>0</v>
      </c>
      <c r="CK280" s="6">
        <f t="shared" si="364"/>
        <v>0</v>
      </c>
      <c r="CL280" s="6">
        <f t="shared" si="365"/>
        <v>0</v>
      </c>
      <c r="CM280" s="6">
        <v>0</v>
      </c>
      <c r="CN280" s="6">
        <f t="shared" si="366"/>
        <v>0</v>
      </c>
      <c r="CO280" s="6">
        <f t="shared" si="367"/>
        <v>0</v>
      </c>
      <c r="CP280" s="6">
        <v>0</v>
      </c>
      <c r="CQ280" s="6">
        <f t="shared" si="368"/>
        <v>0</v>
      </c>
      <c r="CR280" s="6">
        <f t="shared" si="369"/>
        <v>0</v>
      </c>
      <c r="CS280" s="6">
        <v>0</v>
      </c>
      <c r="CT280" s="6">
        <f t="shared" si="370"/>
        <v>0</v>
      </c>
      <c r="CU280" s="6">
        <f t="shared" si="371"/>
        <v>0</v>
      </c>
      <c r="CV280" s="6">
        <v>0</v>
      </c>
      <c r="CW280" s="6">
        <f t="shared" si="372"/>
        <v>0</v>
      </c>
      <c r="CX280" s="6">
        <f t="shared" si="373"/>
        <v>0</v>
      </c>
      <c r="CY280" s="6">
        <v>0</v>
      </c>
      <c r="CZ280" s="6">
        <f t="shared" si="374"/>
        <v>0</v>
      </c>
      <c r="DA280" s="6">
        <f t="shared" si="375"/>
        <v>0</v>
      </c>
      <c r="DB280" s="6">
        <v>0</v>
      </c>
      <c r="DC280" s="6">
        <f t="shared" si="376"/>
        <v>0</v>
      </c>
      <c r="DD280" s="6">
        <f t="shared" si="377"/>
        <v>0</v>
      </c>
      <c r="DE280" s="6">
        <v>0</v>
      </c>
      <c r="DF280" s="6">
        <f t="shared" si="378"/>
        <v>0</v>
      </c>
      <c r="DG280" s="6">
        <f t="shared" si="379"/>
        <v>0</v>
      </c>
      <c r="DH280" s="6">
        <v>0</v>
      </c>
      <c r="DI280" s="6">
        <f t="shared" si="380"/>
        <v>0</v>
      </c>
      <c r="DJ280" s="6">
        <f t="shared" si="381"/>
        <v>0</v>
      </c>
      <c r="DK280" s="6">
        <v>0</v>
      </c>
      <c r="DL280" s="6">
        <f t="shared" si="382"/>
        <v>0</v>
      </c>
      <c r="DM280" s="6">
        <f t="shared" si="383"/>
        <v>0</v>
      </c>
      <c r="DN280" s="6">
        <v>0</v>
      </c>
      <c r="DO280" s="6">
        <f t="shared" si="384"/>
        <v>0</v>
      </c>
      <c r="DP280" s="6">
        <f t="shared" si="385"/>
        <v>0</v>
      </c>
    </row>
    <row r="281" spans="1:120" x14ac:dyDescent="0.2">
      <c r="A281" s="21">
        <v>86</v>
      </c>
      <c r="B281" s="21" t="s">
        <v>664</v>
      </c>
      <c r="C281" s="21">
        <v>86320</v>
      </c>
      <c r="D281" s="21" t="s">
        <v>329</v>
      </c>
      <c r="E281" s="21" t="s">
        <v>522</v>
      </c>
      <c r="F281" s="22" t="s">
        <v>666</v>
      </c>
      <c r="G281" s="4" t="s">
        <v>393</v>
      </c>
      <c r="H281" s="6">
        <v>36074.11</v>
      </c>
      <c r="I281" s="6">
        <f t="shared" ref="I281:I327" si="389">H281/365</f>
        <v>98.833178082191779</v>
      </c>
      <c r="J281" s="6">
        <v>32859</v>
      </c>
      <c r="K281" s="6">
        <v>32419.49</v>
      </c>
      <c r="L281" s="6">
        <f t="shared" ref="L281:L289" si="390">K281/366</f>
        <v>88.577841530054656</v>
      </c>
      <c r="M281" s="6">
        <v>30310</v>
      </c>
      <c r="N281" s="6">
        <v>27284.26</v>
      </c>
      <c r="O281" s="6">
        <f t="shared" si="386"/>
        <v>74.751397260273961</v>
      </c>
      <c r="P281" s="6">
        <v>28037</v>
      </c>
      <c r="Q281" s="6">
        <v>901.64</v>
      </c>
      <c r="R281" s="6">
        <f t="shared" si="388"/>
        <v>4.9814364640883975</v>
      </c>
      <c r="S281" s="6">
        <v>25936</v>
      </c>
      <c r="T281" s="6">
        <f t="shared" si="318"/>
        <v>25936</v>
      </c>
      <c r="U281" s="6">
        <f t="shared" si="319"/>
        <v>71.057534246575344</v>
      </c>
      <c r="V281" s="6">
        <v>24054</v>
      </c>
      <c r="W281" s="6">
        <f t="shared" si="320"/>
        <v>24054</v>
      </c>
      <c r="X281" s="6">
        <f t="shared" si="321"/>
        <v>65.901369863013699</v>
      </c>
      <c r="Y281" s="6">
        <v>22189</v>
      </c>
      <c r="Z281" s="6">
        <f t="shared" si="322"/>
        <v>22189</v>
      </c>
      <c r="AA281" s="6">
        <f t="shared" si="323"/>
        <v>60.791780821917811</v>
      </c>
      <c r="AB281" s="6">
        <v>20527</v>
      </c>
      <c r="AC281" s="6">
        <f t="shared" si="324"/>
        <v>20527</v>
      </c>
      <c r="AD281" s="6">
        <f t="shared" si="325"/>
        <v>56.238356164383561</v>
      </c>
      <c r="AE281" s="6">
        <v>18988</v>
      </c>
      <c r="AF281" s="6">
        <f t="shared" si="326"/>
        <v>18988</v>
      </c>
      <c r="AG281" s="6">
        <f t="shared" si="327"/>
        <v>52.021917808219179</v>
      </c>
      <c r="AH281" s="6">
        <v>17613</v>
      </c>
      <c r="AI281" s="6">
        <f t="shared" si="328"/>
        <v>17613</v>
      </c>
      <c r="AJ281" s="6">
        <f t="shared" si="329"/>
        <v>48.254794520547946</v>
      </c>
      <c r="AK281" s="6">
        <v>16245</v>
      </c>
      <c r="AL281" s="6">
        <f t="shared" si="330"/>
        <v>16245</v>
      </c>
      <c r="AM281" s="6">
        <f t="shared" si="331"/>
        <v>44.506849315068493</v>
      </c>
      <c r="AN281" s="6">
        <v>15026</v>
      </c>
      <c r="AO281" s="6">
        <f t="shared" si="332"/>
        <v>15026</v>
      </c>
      <c r="AP281" s="6">
        <f t="shared" si="333"/>
        <v>41.167123287671231</v>
      </c>
      <c r="AQ281" s="6">
        <v>13900</v>
      </c>
      <c r="AR281" s="6">
        <f t="shared" si="334"/>
        <v>13900</v>
      </c>
      <c r="AS281" s="6">
        <f t="shared" si="335"/>
        <v>38.082191780821915</v>
      </c>
      <c r="AT281" s="6">
        <v>12892</v>
      </c>
      <c r="AU281" s="6">
        <f t="shared" si="336"/>
        <v>12892</v>
      </c>
      <c r="AV281" s="6">
        <f t="shared" si="337"/>
        <v>35.320547945205476</v>
      </c>
      <c r="AW281" s="6">
        <v>11892</v>
      </c>
      <c r="AX281" s="6">
        <f t="shared" si="338"/>
        <v>11892</v>
      </c>
      <c r="AY281" s="6">
        <f t="shared" si="339"/>
        <v>32.580821917808223</v>
      </c>
      <c r="AZ281" s="6">
        <v>11001</v>
      </c>
      <c r="BA281" s="6">
        <f t="shared" si="340"/>
        <v>11001</v>
      </c>
      <c r="BB281" s="6">
        <f t="shared" si="341"/>
        <v>30.139726027397259</v>
      </c>
      <c r="BC281" s="6">
        <v>10177</v>
      </c>
      <c r="BD281" s="6">
        <f t="shared" si="342"/>
        <v>10177</v>
      </c>
      <c r="BE281" s="6">
        <f t="shared" si="343"/>
        <v>27.882191780821916</v>
      </c>
      <c r="BF281" s="6">
        <v>7590</v>
      </c>
      <c r="BG281" s="6">
        <f t="shared" si="344"/>
        <v>7590</v>
      </c>
      <c r="BH281" s="6">
        <f t="shared" si="345"/>
        <v>20.794520547945204</v>
      </c>
      <c r="BI281" s="6">
        <v>0</v>
      </c>
      <c r="BJ281" s="6">
        <f t="shared" si="346"/>
        <v>0</v>
      </c>
      <c r="BK281" s="6">
        <f t="shared" si="347"/>
        <v>0</v>
      </c>
      <c r="BL281" s="6">
        <v>0</v>
      </c>
      <c r="BM281" s="6">
        <f t="shared" si="348"/>
        <v>0</v>
      </c>
      <c r="BN281" s="6">
        <f t="shared" si="349"/>
        <v>0</v>
      </c>
      <c r="BO281" s="6">
        <v>0</v>
      </c>
      <c r="BP281" s="6">
        <f t="shared" si="350"/>
        <v>0</v>
      </c>
      <c r="BQ281" s="6">
        <f t="shared" si="351"/>
        <v>0</v>
      </c>
      <c r="BR281" s="6">
        <v>0</v>
      </c>
      <c r="BS281" s="6">
        <f t="shared" si="352"/>
        <v>0</v>
      </c>
      <c r="BT281" s="6">
        <f t="shared" si="353"/>
        <v>0</v>
      </c>
      <c r="BU281" s="6">
        <v>0</v>
      </c>
      <c r="BV281" s="6">
        <f t="shared" si="354"/>
        <v>0</v>
      </c>
      <c r="BW281" s="6">
        <f t="shared" si="355"/>
        <v>0</v>
      </c>
      <c r="BX281" s="6">
        <v>0</v>
      </c>
      <c r="BY281" s="6">
        <f t="shared" si="356"/>
        <v>0</v>
      </c>
      <c r="BZ281" s="6">
        <f t="shared" si="357"/>
        <v>0</v>
      </c>
      <c r="CA281" s="6">
        <v>0</v>
      </c>
      <c r="CB281" s="6">
        <f t="shared" si="358"/>
        <v>0</v>
      </c>
      <c r="CC281" s="6">
        <f t="shared" si="359"/>
        <v>0</v>
      </c>
      <c r="CD281" s="6">
        <v>0</v>
      </c>
      <c r="CE281" s="6">
        <f t="shared" si="360"/>
        <v>0</v>
      </c>
      <c r="CF281" s="6">
        <f t="shared" si="361"/>
        <v>0</v>
      </c>
      <c r="CG281" s="6">
        <v>0</v>
      </c>
      <c r="CH281" s="6">
        <f t="shared" si="362"/>
        <v>0</v>
      </c>
      <c r="CI281" s="6">
        <f t="shared" si="363"/>
        <v>0</v>
      </c>
      <c r="CJ281" s="6">
        <v>0</v>
      </c>
      <c r="CK281" s="6">
        <f t="shared" si="364"/>
        <v>0</v>
      </c>
      <c r="CL281" s="6">
        <f t="shared" si="365"/>
        <v>0</v>
      </c>
      <c r="CM281" s="6">
        <v>0</v>
      </c>
      <c r="CN281" s="6">
        <f t="shared" si="366"/>
        <v>0</v>
      </c>
      <c r="CO281" s="6">
        <f t="shared" si="367"/>
        <v>0</v>
      </c>
      <c r="CP281" s="6">
        <v>0</v>
      </c>
      <c r="CQ281" s="6">
        <f t="shared" si="368"/>
        <v>0</v>
      </c>
      <c r="CR281" s="6">
        <f t="shared" si="369"/>
        <v>0</v>
      </c>
      <c r="CS281" s="6">
        <v>0</v>
      </c>
      <c r="CT281" s="6">
        <f t="shared" si="370"/>
        <v>0</v>
      </c>
      <c r="CU281" s="6">
        <f t="shared" si="371"/>
        <v>0</v>
      </c>
      <c r="CV281" s="6">
        <v>0</v>
      </c>
      <c r="CW281" s="6">
        <f t="shared" si="372"/>
        <v>0</v>
      </c>
      <c r="CX281" s="6">
        <f t="shared" si="373"/>
        <v>0</v>
      </c>
      <c r="CY281" s="6">
        <v>0</v>
      </c>
      <c r="CZ281" s="6">
        <f t="shared" si="374"/>
        <v>0</v>
      </c>
      <c r="DA281" s="6">
        <f t="shared" si="375"/>
        <v>0</v>
      </c>
      <c r="DB281" s="6">
        <v>0</v>
      </c>
      <c r="DC281" s="6">
        <f t="shared" si="376"/>
        <v>0</v>
      </c>
      <c r="DD281" s="6">
        <f t="shared" si="377"/>
        <v>0</v>
      </c>
      <c r="DE281" s="6">
        <v>0</v>
      </c>
      <c r="DF281" s="6">
        <f t="shared" si="378"/>
        <v>0</v>
      </c>
      <c r="DG281" s="6">
        <f t="shared" si="379"/>
        <v>0</v>
      </c>
      <c r="DH281" s="6">
        <v>0</v>
      </c>
      <c r="DI281" s="6">
        <f t="shared" si="380"/>
        <v>0</v>
      </c>
      <c r="DJ281" s="6">
        <f t="shared" si="381"/>
        <v>0</v>
      </c>
      <c r="DK281" s="6">
        <v>0</v>
      </c>
      <c r="DL281" s="6">
        <f t="shared" si="382"/>
        <v>0</v>
      </c>
      <c r="DM281" s="6">
        <f t="shared" si="383"/>
        <v>0</v>
      </c>
      <c r="DN281" s="6">
        <v>0</v>
      </c>
      <c r="DO281" s="6">
        <f t="shared" si="384"/>
        <v>0</v>
      </c>
      <c r="DP281" s="6">
        <f t="shared" si="385"/>
        <v>0</v>
      </c>
    </row>
    <row r="282" spans="1:120" x14ac:dyDescent="0.2">
      <c r="A282" s="21">
        <v>50</v>
      </c>
      <c r="B282" s="21" t="s">
        <v>675</v>
      </c>
      <c r="C282" s="21">
        <v>50001</v>
      </c>
      <c r="D282" s="21" t="s">
        <v>681</v>
      </c>
      <c r="E282" s="21" t="s">
        <v>522</v>
      </c>
      <c r="F282" s="22" t="s">
        <v>666</v>
      </c>
      <c r="G282" s="4" t="s">
        <v>394</v>
      </c>
      <c r="H282" s="6">
        <v>1636313.12</v>
      </c>
      <c r="I282" s="6">
        <f t="shared" si="389"/>
        <v>4483.0496438356167</v>
      </c>
      <c r="J282" s="6">
        <v>1722066.83</v>
      </c>
      <c r="K282" s="6">
        <v>1278505.23</v>
      </c>
      <c r="L282" s="6">
        <f t="shared" si="390"/>
        <v>3493.1836885245903</v>
      </c>
      <c r="M282" s="6">
        <v>1357959.8191</v>
      </c>
      <c r="N282" s="6">
        <v>1182069.6299999999</v>
      </c>
      <c r="O282" s="6">
        <f t="shared" si="386"/>
        <v>3238.546931506849</v>
      </c>
      <c r="P282" s="6">
        <v>1055251.4258999999</v>
      </c>
      <c r="Q282" s="6">
        <v>617633.57999999996</v>
      </c>
      <c r="R282" s="6">
        <f t="shared" si="388"/>
        <v>3412.3402209944747</v>
      </c>
      <c r="S282" s="6">
        <v>0</v>
      </c>
      <c r="T282" s="6">
        <f t="shared" si="318"/>
        <v>0</v>
      </c>
      <c r="U282" s="6">
        <f t="shared" si="319"/>
        <v>0</v>
      </c>
      <c r="V282" s="6">
        <v>0</v>
      </c>
      <c r="W282" s="6">
        <f t="shared" si="320"/>
        <v>0</v>
      </c>
      <c r="X282" s="6">
        <f t="shared" si="321"/>
        <v>0</v>
      </c>
      <c r="Y282" s="6">
        <v>0</v>
      </c>
      <c r="Z282" s="6">
        <f t="shared" si="322"/>
        <v>0</v>
      </c>
      <c r="AA282" s="6">
        <f t="shared" si="323"/>
        <v>0</v>
      </c>
      <c r="AB282" s="6">
        <v>0</v>
      </c>
      <c r="AC282" s="6">
        <f t="shared" si="324"/>
        <v>0</v>
      </c>
      <c r="AD282" s="6">
        <f t="shared" si="325"/>
        <v>0</v>
      </c>
      <c r="AE282" s="6">
        <v>0</v>
      </c>
      <c r="AF282" s="6">
        <f t="shared" si="326"/>
        <v>0</v>
      </c>
      <c r="AG282" s="6">
        <f t="shared" si="327"/>
        <v>0</v>
      </c>
      <c r="AH282" s="6">
        <v>0</v>
      </c>
      <c r="AI282" s="6">
        <f t="shared" si="328"/>
        <v>0</v>
      </c>
      <c r="AJ282" s="6">
        <f t="shared" si="329"/>
        <v>0</v>
      </c>
      <c r="AK282" s="6">
        <v>0</v>
      </c>
      <c r="AL282" s="6">
        <f t="shared" si="330"/>
        <v>0</v>
      </c>
      <c r="AM282" s="6">
        <f t="shared" si="331"/>
        <v>0</v>
      </c>
      <c r="AN282" s="6">
        <v>0</v>
      </c>
      <c r="AO282" s="6">
        <f t="shared" si="332"/>
        <v>0</v>
      </c>
      <c r="AP282" s="6">
        <f t="shared" si="333"/>
        <v>0</v>
      </c>
      <c r="AQ282" s="6">
        <v>0</v>
      </c>
      <c r="AR282" s="6">
        <f t="shared" si="334"/>
        <v>0</v>
      </c>
      <c r="AS282" s="6">
        <f t="shared" si="335"/>
        <v>0</v>
      </c>
      <c r="AT282" s="6">
        <v>0</v>
      </c>
      <c r="AU282" s="6">
        <f t="shared" si="336"/>
        <v>0</v>
      </c>
      <c r="AV282" s="6">
        <f t="shared" si="337"/>
        <v>0</v>
      </c>
      <c r="AW282" s="6">
        <v>0</v>
      </c>
      <c r="AX282" s="6">
        <f t="shared" si="338"/>
        <v>0</v>
      </c>
      <c r="AY282" s="6">
        <f t="shared" si="339"/>
        <v>0</v>
      </c>
      <c r="AZ282" s="6">
        <v>0</v>
      </c>
      <c r="BA282" s="6">
        <f t="shared" si="340"/>
        <v>0</v>
      </c>
      <c r="BB282" s="6">
        <f t="shared" si="341"/>
        <v>0</v>
      </c>
      <c r="BC282" s="6">
        <v>0</v>
      </c>
      <c r="BD282" s="6">
        <f t="shared" si="342"/>
        <v>0</v>
      </c>
      <c r="BE282" s="6">
        <f t="shared" si="343"/>
        <v>0</v>
      </c>
      <c r="BF282" s="6">
        <v>0</v>
      </c>
      <c r="BG282" s="6">
        <f t="shared" si="344"/>
        <v>0</v>
      </c>
      <c r="BH282" s="6">
        <f t="shared" si="345"/>
        <v>0</v>
      </c>
      <c r="BI282" s="6">
        <v>0</v>
      </c>
      <c r="BJ282" s="6">
        <f t="shared" si="346"/>
        <v>0</v>
      </c>
      <c r="BK282" s="6">
        <f t="shared" si="347"/>
        <v>0</v>
      </c>
      <c r="BL282" s="6">
        <v>0</v>
      </c>
      <c r="BM282" s="6">
        <f t="shared" si="348"/>
        <v>0</v>
      </c>
      <c r="BN282" s="6">
        <f t="shared" si="349"/>
        <v>0</v>
      </c>
      <c r="BO282" s="6">
        <v>0</v>
      </c>
      <c r="BP282" s="6">
        <f t="shared" si="350"/>
        <v>0</v>
      </c>
      <c r="BQ282" s="6">
        <f t="shared" si="351"/>
        <v>0</v>
      </c>
      <c r="BR282" s="6">
        <v>0</v>
      </c>
      <c r="BS282" s="6">
        <f t="shared" si="352"/>
        <v>0</v>
      </c>
      <c r="BT282" s="6">
        <f t="shared" si="353"/>
        <v>0</v>
      </c>
      <c r="BU282" s="6">
        <v>0</v>
      </c>
      <c r="BV282" s="6">
        <f t="shared" si="354"/>
        <v>0</v>
      </c>
      <c r="BW282" s="6">
        <f t="shared" si="355"/>
        <v>0</v>
      </c>
      <c r="BX282" s="6">
        <v>0</v>
      </c>
      <c r="BY282" s="6">
        <f t="shared" si="356"/>
        <v>0</v>
      </c>
      <c r="BZ282" s="6">
        <f t="shared" si="357"/>
        <v>0</v>
      </c>
      <c r="CA282" s="6">
        <v>0</v>
      </c>
      <c r="CB282" s="6">
        <f t="shared" si="358"/>
        <v>0</v>
      </c>
      <c r="CC282" s="6">
        <f t="shared" si="359"/>
        <v>0</v>
      </c>
      <c r="CD282" s="6">
        <v>0</v>
      </c>
      <c r="CE282" s="6">
        <f t="shared" si="360"/>
        <v>0</v>
      </c>
      <c r="CF282" s="6">
        <f t="shared" si="361"/>
        <v>0</v>
      </c>
      <c r="CG282" s="6">
        <v>0</v>
      </c>
      <c r="CH282" s="6">
        <f t="shared" si="362"/>
        <v>0</v>
      </c>
      <c r="CI282" s="6">
        <f t="shared" si="363"/>
        <v>0</v>
      </c>
      <c r="CJ282" s="6">
        <v>0</v>
      </c>
      <c r="CK282" s="6">
        <f t="shared" si="364"/>
        <v>0</v>
      </c>
      <c r="CL282" s="6">
        <f t="shared" si="365"/>
        <v>0</v>
      </c>
      <c r="CM282" s="6">
        <v>0</v>
      </c>
      <c r="CN282" s="6">
        <f t="shared" si="366"/>
        <v>0</v>
      </c>
      <c r="CO282" s="6">
        <f t="shared" si="367"/>
        <v>0</v>
      </c>
      <c r="CP282" s="6">
        <v>0</v>
      </c>
      <c r="CQ282" s="6">
        <f t="shared" si="368"/>
        <v>0</v>
      </c>
      <c r="CR282" s="6">
        <f t="shared" si="369"/>
        <v>0</v>
      </c>
      <c r="CS282" s="6">
        <v>0</v>
      </c>
      <c r="CT282" s="6">
        <f t="shared" si="370"/>
        <v>0</v>
      </c>
      <c r="CU282" s="6">
        <f t="shared" si="371"/>
        <v>0</v>
      </c>
      <c r="CV282" s="6">
        <v>0</v>
      </c>
      <c r="CW282" s="6">
        <f t="shared" si="372"/>
        <v>0</v>
      </c>
      <c r="CX282" s="6">
        <f t="shared" si="373"/>
        <v>0</v>
      </c>
      <c r="CY282" s="6">
        <v>0</v>
      </c>
      <c r="CZ282" s="6">
        <f t="shared" si="374"/>
        <v>0</v>
      </c>
      <c r="DA282" s="6">
        <f t="shared" si="375"/>
        <v>0</v>
      </c>
      <c r="DB282" s="6">
        <v>0</v>
      </c>
      <c r="DC282" s="6">
        <f t="shared" si="376"/>
        <v>0</v>
      </c>
      <c r="DD282" s="6">
        <f t="shared" si="377"/>
        <v>0</v>
      </c>
      <c r="DE282" s="6">
        <v>0</v>
      </c>
      <c r="DF282" s="6">
        <f t="shared" si="378"/>
        <v>0</v>
      </c>
      <c r="DG282" s="6">
        <f t="shared" si="379"/>
        <v>0</v>
      </c>
      <c r="DH282" s="6">
        <v>0</v>
      </c>
      <c r="DI282" s="6">
        <f t="shared" si="380"/>
        <v>0</v>
      </c>
      <c r="DJ282" s="6">
        <f t="shared" si="381"/>
        <v>0</v>
      </c>
      <c r="DK282" s="6">
        <v>0</v>
      </c>
      <c r="DL282" s="6">
        <f t="shared" si="382"/>
        <v>0</v>
      </c>
      <c r="DM282" s="6">
        <f t="shared" si="383"/>
        <v>0</v>
      </c>
      <c r="DN282" s="6">
        <v>0</v>
      </c>
      <c r="DO282" s="6">
        <f t="shared" si="384"/>
        <v>0</v>
      </c>
      <c r="DP282" s="6">
        <f t="shared" si="385"/>
        <v>0</v>
      </c>
    </row>
    <row r="283" spans="1:120" x14ac:dyDescent="0.2">
      <c r="A283" s="21">
        <v>41</v>
      </c>
      <c r="B283" s="21" t="s">
        <v>687</v>
      </c>
      <c r="C283" s="21">
        <v>41001</v>
      </c>
      <c r="D283" s="21" t="s">
        <v>721</v>
      </c>
      <c r="E283" s="21" t="s">
        <v>522</v>
      </c>
      <c r="F283" s="22" t="s">
        <v>693</v>
      </c>
      <c r="G283" s="4" t="s">
        <v>395</v>
      </c>
      <c r="H283" s="6">
        <v>1260124.8899999999</v>
      </c>
      <c r="I283" s="6">
        <f t="shared" si="389"/>
        <v>3452.3969589041094</v>
      </c>
      <c r="J283" s="6">
        <v>1324330</v>
      </c>
      <c r="K283" s="6">
        <v>1186874.8899999999</v>
      </c>
      <c r="L283" s="6">
        <f t="shared" si="390"/>
        <v>3242.8275683060106</v>
      </c>
      <c r="M283" s="6">
        <v>1244801</v>
      </c>
      <c r="N283" s="6">
        <v>1154683.99</v>
      </c>
      <c r="O283" s="6">
        <f t="shared" si="386"/>
        <v>3163.5177808219178</v>
      </c>
      <c r="P283" s="6">
        <v>1128935</v>
      </c>
      <c r="Q283" s="6">
        <v>526238.31999999995</v>
      </c>
      <c r="R283" s="6">
        <f t="shared" si="388"/>
        <v>2907.3940331491708</v>
      </c>
      <c r="S283" s="6">
        <v>1012401</v>
      </c>
      <c r="T283" s="6">
        <f t="shared" si="318"/>
        <v>1012401</v>
      </c>
      <c r="U283" s="6">
        <f t="shared" si="319"/>
        <v>2773.7013698630135</v>
      </c>
      <c r="V283" s="6">
        <v>904311</v>
      </c>
      <c r="W283" s="6">
        <f t="shared" si="320"/>
        <v>904311</v>
      </c>
      <c r="X283" s="6">
        <f t="shared" si="321"/>
        <v>2477.5643835616438</v>
      </c>
      <c r="Y283" s="6">
        <v>808652</v>
      </c>
      <c r="Z283" s="6">
        <f t="shared" si="322"/>
        <v>808652</v>
      </c>
      <c r="AA283" s="6">
        <f t="shared" si="323"/>
        <v>2215.4849315068495</v>
      </c>
      <c r="AB283" s="6">
        <v>729149</v>
      </c>
      <c r="AC283" s="6">
        <f t="shared" si="324"/>
        <v>729149</v>
      </c>
      <c r="AD283" s="6">
        <f t="shared" si="325"/>
        <v>1997.668493150685</v>
      </c>
      <c r="AE283" s="6">
        <v>658570</v>
      </c>
      <c r="AF283" s="6">
        <f t="shared" si="326"/>
        <v>658570</v>
      </c>
      <c r="AG283" s="6">
        <f t="shared" si="327"/>
        <v>1804.3013698630136</v>
      </c>
      <c r="AH283" s="6">
        <v>592151</v>
      </c>
      <c r="AI283" s="6">
        <f t="shared" si="328"/>
        <v>592151</v>
      </c>
      <c r="AJ283" s="6">
        <f t="shared" si="329"/>
        <v>1622.331506849315</v>
      </c>
      <c r="AK283" s="6">
        <v>533626</v>
      </c>
      <c r="AL283" s="6">
        <f t="shared" si="330"/>
        <v>533626</v>
      </c>
      <c r="AM283" s="6">
        <f t="shared" si="331"/>
        <v>1461.9890410958903</v>
      </c>
      <c r="AN283" s="6">
        <v>477933</v>
      </c>
      <c r="AO283" s="6">
        <f t="shared" si="332"/>
        <v>477933</v>
      </c>
      <c r="AP283" s="6">
        <f t="shared" si="333"/>
        <v>1309.4054794520548</v>
      </c>
      <c r="AQ283" s="6">
        <v>425373</v>
      </c>
      <c r="AR283" s="6">
        <f t="shared" si="334"/>
        <v>425373</v>
      </c>
      <c r="AS283" s="6">
        <f t="shared" si="335"/>
        <v>1165.4054794520548</v>
      </c>
      <c r="AT283" s="6">
        <v>0</v>
      </c>
      <c r="AU283" s="6">
        <f t="shared" si="336"/>
        <v>0</v>
      </c>
      <c r="AV283" s="6">
        <f t="shared" si="337"/>
        <v>0</v>
      </c>
      <c r="AW283" s="6">
        <v>0</v>
      </c>
      <c r="AX283" s="6">
        <f t="shared" si="338"/>
        <v>0</v>
      </c>
      <c r="AY283" s="6">
        <f t="shared" si="339"/>
        <v>0</v>
      </c>
      <c r="AZ283" s="6">
        <v>0</v>
      </c>
      <c r="BA283" s="6">
        <f t="shared" si="340"/>
        <v>0</v>
      </c>
      <c r="BB283" s="6">
        <f t="shared" si="341"/>
        <v>0</v>
      </c>
      <c r="BC283" s="6">
        <v>0</v>
      </c>
      <c r="BD283" s="6">
        <f t="shared" si="342"/>
        <v>0</v>
      </c>
      <c r="BE283" s="6">
        <f t="shared" si="343"/>
        <v>0</v>
      </c>
      <c r="BF283" s="6">
        <v>0</v>
      </c>
      <c r="BG283" s="6">
        <f t="shared" si="344"/>
        <v>0</v>
      </c>
      <c r="BH283" s="6">
        <f t="shared" si="345"/>
        <v>0</v>
      </c>
      <c r="BI283" s="6">
        <v>0</v>
      </c>
      <c r="BJ283" s="6">
        <f t="shared" si="346"/>
        <v>0</v>
      </c>
      <c r="BK283" s="6">
        <f t="shared" si="347"/>
        <v>0</v>
      </c>
      <c r="BL283" s="6">
        <v>0</v>
      </c>
      <c r="BM283" s="6">
        <f t="shared" si="348"/>
        <v>0</v>
      </c>
      <c r="BN283" s="6">
        <f t="shared" si="349"/>
        <v>0</v>
      </c>
      <c r="BO283" s="6">
        <v>0</v>
      </c>
      <c r="BP283" s="6">
        <f t="shared" si="350"/>
        <v>0</v>
      </c>
      <c r="BQ283" s="6">
        <f t="shared" si="351"/>
        <v>0</v>
      </c>
      <c r="BR283" s="6">
        <v>0</v>
      </c>
      <c r="BS283" s="6">
        <f t="shared" si="352"/>
        <v>0</v>
      </c>
      <c r="BT283" s="6">
        <f t="shared" si="353"/>
        <v>0</v>
      </c>
      <c r="BU283" s="6">
        <v>0</v>
      </c>
      <c r="BV283" s="6">
        <f t="shared" si="354"/>
        <v>0</v>
      </c>
      <c r="BW283" s="6">
        <f t="shared" si="355"/>
        <v>0</v>
      </c>
      <c r="BX283" s="6">
        <v>0</v>
      </c>
      <c r="BY283" s="6">
        <f t="shared" si="356"/>
        <v>0</v>
      </c>
      <c r="BZ283" s="6">
        <f t="shared" si="357"/>
        <v>0</v>
      </c>
      <c r="CA283" s="6">
        <v>0</v>
      </c>
      <c r="CB283" s="6">
        <f t="shared" si="358"/>
        <v>0</v>
      </c>
      <c r="CC283" s="6">
        <f t="shared" si="359"/>
        <v>0</v>
      </c>
      <c r="CD283" s="6">
        <v>0</v>
      </c>
      <c r="CE283" s="6">
        <f t="shared" si="360"/>
        <v>0</v>
      </c>
      <c r="CF283" s="6">
        <f t="shared" si="361"/>
        <v>0</v>
      </c>
      <c r="CG283" s="6">
        <v>0</v>
      </c>
      <c r="CH283" s="6">
        <f t="shared" si="362"/>
        <v>0</v>
      </c>
      <c r="CI283" s="6">
        <f t="shared" si="363"/>
        <v>0</v>
      </c>
      <c r="CJ283" s="6">
        <v>0</v>
      </c>
      <c r="CK283" s="6">
        <f t="shared" si="364"/>
        <v>0</v>
      </c>
      <c r="CL283" s="6">
        <f t="shared" si="365"/>
        <v>0</v>
      </c>
      <c r="CM283" s="6">
        <v>0</v>
      </c>
      <c r="CN283" s="6">
        <f t="shared" si="366"/>
        <v>0</v>
      </c>
      <c r="CO283" s="6">
        <f t="shared" si="367"/>
        <v>0</v>
      </c>
      <c r="CP283" s="6">
        <v>0</v>
      </c>
      <c r="CQ283" s="6">
        <f t="shared" si="368"/>
        <v>0</v>
      </c>
      <c r="CR283" s="6">
        <f t="shared" si="369"/>
        <v>0</v>
      </c>
      <c r="CS283" s="6">
        <v>0</v>
      </c>
      <c r="CT283" s="6">
        <f t="shared" si="370"/>
        <v>0</v>
      </c>
      <c r="CU283" s="6">
        <f t="shared" si="371"/>
        <v>0</v>
      </c>
      <c r="CV283" s="6">
        <v>0</v>
      </c>
      <c r="CW283" s="6">
        <f t="shared" si="372"/>
        <v>0</v>
      </c>
      <c r="CX283" s="6">
        <f t="shared" si="373"/>
        <v>0</v>
      </c>
      <c r="CY283" s="6">
        <v>0</v>
      </c>
      <c r="CZ283" s="6">
        <f t="shared" si="374"/>
        <v>0</v>
      </c>
      <c r="DA283" s="6">
        <f t="shared" si="375"/>
        <v>0</v>
      </c>
      <c r="DB283" s="6">
        <v>0</v>
      </c>
      <c r="DC283" s="6">
        <f t="shared" si="376"/>
        <v>0</v>
      </c>
      <c r="DD283" s="6">
        <f t="shared" si="377"/>
        <v>0</v>
      </c>
      <c r="DE283" s="6">
        <v>0</v>
      </c>
      <c r="DF283" s="6">
        <f t="shared" si="378"/>
        <v>0</v>
      </c>
      <c r="DG283" s="6">
        <f t="shared" si="379"/>
        <v>0</v>
      </c>
      <c r="DH283" s="6">
        <v>0</v>
      </c>
      <c r="DI283" s="6">
        <f t="shared" si="380"/>
        <v>0</v>
      </c>
      <c r="DJ283" s="6">
        <f t="shared" si="381"/>
        <v>0</v>
      </c>
      <c r="DK283" s="6">
        <v>0</v>
      </c>
      <c r="DL283" s="6">
        <f t="shared" si="382"/>
        <v>0</v>
      </c>
      <c r="DM283" s="6">
        <f t="shared" si="383"/>
        <v>0</v>
      </c>
      <c r="DN283" s="6">
        <v>0</v>
      </c>
      <c r="DO283" s="6">
        <f t="shared" si="384"/>
        <v>0</v>
      </c>
      <c r="DP283" s="6">
        <f t="shared" si="385"/>
        <v>0</v>
      </c>
    </row>
    <row r="284" spans="1:120" x14ac:dyDescent="0.2">
      <c r="A284" s="21">
        <v>41</v>
      </c>
      <c r="B284" s="21" t="s">
        <v>687</v>
      </c>
      <c r="C284" s="21">
        <v>41016</v>
      </c>
      <c r="D284" s="21" t="s">
        <v>688</v>
      </c>
      <c r="E284" s="21" t="s">
        <v>522</v>
      </c>
      <c r="F284" s="22" t="s">
        <v>666</v>
      </c>
      <c r="G284" s="4" t="s">
        <v>396</v>
      </c>
      <c r="H284" s="6">
        <v>117692.26</v>
      </c>
      <c r="I284" s="6">
        <f t="shared" si="389"/>
        <v>322.44454794520544</v>
      </c>
      <c r="J284" s="6">
        <v>118265</v>
      </c>
      <c r="K284" s="6">
        <v>103933.21</v>
      </c>
      <c r="L284" s="6">
        <f t="shared" si="390"/>
        <v>283.9705191256831</v>
      </c>
      <c r="M284" s="6">
        <v>107859</v>
      </c>
      <c r="N284" s="6">
        <v>107393.94</v>
      </c>
      <c r="O284" s="6">
        <f t="shared" si="386"/>
        <v>294.22997260273974</v>
      </c>
      <c r="P284" s="6">
        <v>98649</v>
      </c>
      <c r="Q284" s="6">
        <v>47053.58</v>
      </c>
      <c r="R284" s="6">
        <f t="shared" si="388"/>
        <v>259.96453038674036</v>
      </c>
      <c r="S284" s="6">
        <v>90231</v>
      </c>
      <c r="T284" s="6">
        <f t="shared" si="318"/>
        <v>90231</v>
      </c>
      <c r="U284" s="6">
        <f t="shared" si="319"/>
        <v>247.2082191780822</v>
      </c>
      <c r="V284" s="6">
        <v>82748</v>
      </c>
      <c r="W284" s="6">
        <f t="shared" si="320"/>
        <v>82748</v>
      </c>
      <c r="X284" s="6">
        <f t="shared" si="321"/>
        <v>226.7068493150685</v>
      </c>
      <c r="Y284" s="6">
        <v>75474</v>
      </c>
      <c r="Z284" s="6">
        <f t="shared" si="322"/>
        <v>75474</v>
      </c>
      <c r="AA284" s="6">
        <f t="shared" si="323"/>
        <v>206.77808219178081</v>
      </c>
      <c r="AB284" s="6">
        <v>69039</v>
      </c>
      <c r="AC284" s="6">
        <f t="shared" si="324"/>
        <v>69039</v>
      </c>
      <c r="AD284" s="6">
        <f t="shared" si="325"/>
        <v>189.14794520547946</v>
      </c>
      <c r="AE284" s="6">
        <v>63151</v>
      </c>
      <c r="AF284" s="6">
        <f t="shared" si="326"/>
        <v>63151</v>
      </c>
      <c r="AG284" s="6">
        <f t="shared" si="327"/>
        <v>173.01643835616437</v>
      </c>
      <c r="AH284" s="6">
        <v>57928</v>
      </c>
      <c r="AI284" s="6">
        <f t="shared" si="328"/>
        <v>57928</v>
      </c>
      <c r="AJ284" s="6">
        <f t="shared" si="329"/>
        <v>158.7068493150685</v>
      </c>
      <c r="AK284" s="6">
        <v>0</v>
      </c>
      <c r="AL284" s="6">
        <f t="shared" si="330"/>
        <v>0</v>
      </c>
      <c r="AM284" s="6">
        <f t="shared" si="331"/>
        <v>0</v>
      </c>
      <c r="AN284" s="6">
        <v>0</v>
      </c>
      <c r="AO284" s="6">
        <f t="shared" si="332"/>
        <v>0</v>
      </c>
      <c r="AP284" s="6">
        <f t="shared" si="333"/>
        <v>0</v>
      </c>
      <c r="AQ284" s="6">
        <v>0</v>
      </c>
      <c r="AR284" s="6">
        <f t="shared" si="334"/>
        <v>0</v>
      </c>
      <c r="AS284" s="6">
        <f t="shared" si="335"/>
        <v>0</v>
      </c>
      <c r="AT284" s="6">
        <v>0</v>
      </c>
      <c r="AU284" s="6">
        <f t="shared" si="336"/>
        <v>0</v>
      </c>
      <c r="AV284" s="6">
        <f t="shared" si="337"/>
        <v>0</v>
      </c>
      <c r="AW284" s="6">
        <v>0</v>
      </c>
      <c r="AX284" s="6">
        <f t="shared" si="338"/>
        <v>0</v>
      </c>
      <c r="AY284" s="6">
        <f t="shared" si="339"/>
        <v>0</v>
      </c>
      <c r="AZ284" s="6">
        <v>0</v>
      </c>
      <c r="BA284" s="6">
        <f t="shared" si="340"/>
        <v>0</v>
      </c>
      <c r="BB284" s="6">
        <f t="shared" si="341"/>
        <v>0</v>
      </c>
      <c r="BC284" s="6">
        <v>0</v>
      </c>
      <c r="BD284" s="6">
        <f t="shared" si="342"/>
        <v>0</v>
      </c>
      <c r="BE284" s="6">
        <f t="shared" si="343"/>
        <v>0</v>
      </c>
      <c r="BF284" s="6">
        <v>0</v>
      </c>
      <c r="BG284" s="6">
        <f t="shared" si="344"/>
        <v>0</v>
      </c>
      <c r="BH284" s="6">
        <f t="shared" si="345"/>
        <v>0</v>
      </c>
      <c r="BI284" s="6">
        <v>0</v>
      </c>
      <c r="BJ284" s="6">
        <f t="shared" si="346"/>
        <v>0</v>
      </c>
      <c r="BK284" s="6">
        <f t="shared" si="347"/>
        <v>0</v>
      </c>
      <c r="BL284" s="6">
        <v>0</v>
      </c>
      <c r="BM284" s="6">
        <f t="shared" si="348"/>
        <v>0</v>
      </c>
      <c r="BN284" s="6">
        <f t="shared" si="349"/>
        <v>0</v>
      </c>
      <c r="BO284" s="6">
        <v>0</v>
      </c>
      <c r="BP284" s="6">
        <f t="shared" si="350"/>
        <v>0</v>
      </c>
      <c r="BQ284" s="6">
        <f t="shared" si="351"/>
        <v>0</v>
      </c>
      <c r="BR284" s="6">
        <v>0</v>
      </c>
      <c r="BS284" s="6">
        <f t="shared" si="352"/>
        <v>0</v>
      </c>
      <c r="BT284" s="6">
        <f t="shared" si="353"/>
        <v>0</v>
      </c>
      <c r="BU284" s="6">
        <v>0</v>
      </c>
      <c r="BV284" s="6">
        <f t="shared" si="354"/>
        <v>0</v>
      </c>
      <c r="BW284" s="6">
        <f t="shared" si="355"/>
        <v>0</v>
      </c>
      <c r="BX284" s="6">
        <v>0</v>
      </c>
      <c r="BY284" s="6">
        <f t="shared" si="356"/>
        <v>0</v>
      </c>
      <c r="BZ284" s="6">
        <f t="shared" si="357"/>
        <v>0</v>
      </c>
      <c r="CA284" s="6">
        <v>0</v>
      </c>
      <c r="CB284" s="6">
        <f t="shared" si="358"/>
        <v>0</v>
      </c>
      <c r="CC284" s="6">
        <f t="shared" si="359"/>
        <v>0</v>
      </c>
      <c r="CD284" s="6">
        <v>0</v>
      </c>
      <c r="CE284" s="6">
        <f t="shared" si="360"/>
        <v>0</v>
      </c>
      <c r="CF284" s="6">
        <f t="shared" si="361"/>
        <v>0</v>
      </c>
      <c r="CG284" s="6">
        <v>0</v>
      </c>
      <c r="CH284" s="6">
        <f t="shared" si="362"/>
        <v>0</v>
      </c>
      <c r="CI284" s="6">
        <f t="shared" si="363"/>
        <v>0</v>
      </c>
      <c r="CJ284" s="6">
        <v>0</v>
      </c>
      <c r="CK284" s="6">
        <f t="shared" si="364"/>
        <v>0</v>
      </c>
      <c r="CL284" s="6">
        <f t="shared" si="365"/>
        <v>0</v>
      </c>
      <c r="CM284" s="6">
        <v>0</v>
      </c>
      <c r="CN284" s="6">
        <f t="shared" si="366"/>
        <v>0</v>
      </c>
      <c r="CO284" s="6">
        <f t="shared" si="367"/>
        <v>0</v>
      </c>
      <c r="CP284" s="6">
        <v>0</v>
      </c>
      <c r="CQ284" s="6">
        <f t="shared" si="368"/>
        <v>0</v>
      </c>
      <c r="CR284" s="6">
        <f t="shared" si="369"/>
        <v>0</v>
      </c>
      <c r="CS284" s="6">
        <v>0</v>
      </c>
      <c r="CT284" s="6">
        <f t="shared" si="370"/>
        <v>0</v>
      </c>
      <c r="CU284" s="6">
        <f t="shared" si="371"/>
        <v>0</v>
      </c>
      <c r="CV284" s="6">
        <v>0</v>
      </c>
      <c r="CW284" s="6">
        <f t="shared" si="372"/>
        <v>0</v>
      </c>
      <c r="CX284" s="6">
        <f t="shared" si="373"/>
        <v>0</v>
      </c>
      <c r="CY284" s="6">
        <v>0</v>
      </c>
      <c r="CZ284" s="6">
        <f t="shared" si="374"/>
        <v>0</v>
      </c>
      <c r="DA284" s="6">
        <f t="shared" si="375"/>
        <v>0</v>
      </c>
      <c r="DB284" s="6">
        <v>0</v>
      </c>
      <c r="DC284" s="6">
        <f t="shared" si="376"/>
        <v>0</v>
      </c>
      <c r="DD284" s="6">
        <f t="shared" si="377"/>
        <v>0</v>
      </c>
      <c r="DE284" s="6">
        <v>0</v>
      </c>
      <c r="DF284" s="6">
        <f t="shared" si="378"/>
        <v>0</v>
      </c>
      <c r="DG284" s="6">
        <f t="shared" si="379"/>
        <v>0</v>
      </c>
      <c r="DH284" s="6">
        <v>0</v>
      </c>
      <c r="DI284" s="6">
        <f t="shared" si="380"/>
        <v>0</v>
      </c>
      <c r="DJ284" s="6">
        <f t="shared" si="381"/>
        <v>0</v>
      </c>
      <c r="DK284" s="6">
        <v>0</v>
      </c>
      <c r="DL284" s="6">
        <f t="shared" si="382"/>
        <v>0</v>
      </c>
      <c r="DM284" s="6">
        <f t="shared" si="383"/>
        <v>0</v>
      </c>
      <c r="DN284" s="6">
        <v>0</v>
      </c>
      <c r="DO284" s="6">
        <f t="shared" si="384"/>
        <v>0</v>
      </c>
      <c r="DP284" s="6">
        <f t="shared" si="385"/>
        <v>0</v>
      </c>
    </row>
    <row r="285" spans="1:120" x14ac:dyDescent="0.2">
      <c r="A285" s="21">
        <v>41</v>
      </c>
      <c r="B285" s="21" t="s">
        <v>687</v>
      </c>
      <c r="C285" s="21">
        <v>41016</v>
      </c>
      <c r="D285" s="21" t="s">
        <v>688</v>
      </c>
      <c r="E285" s="21" t="s">
        <v>522</v>
      </c>
      <c r="F285" s="22" t="s">
        <v>666</v>
      </c>
      <c r="G285" s="4" t="s">
        <v>397</v>
      </c>
      <c r="H285" s="6">
        <v>36701.85</v>
      </c>
      <c r="I285" s="6">
        <f t="shared" si="389"/>
        <v>100.55301369863014</v>
      </c>
      <c r="J285" s="6">
        <v>45151</v>
      </c>
      <c r="K285" s="6">
        <v>27478.68</v>
      </c>
      <c r="L285" s="6">
        <f t="shared" si="390"/>
        <v>75.078360655737711</v>
      </c>
      <c r="M285" s="6">
        <v>40781</v>
      </c>
      <c r="N285" s="6">
        <v>37861.89</v>
      </c>
      <c r="O285" s="6">
        <f t="shared" si="386"/>
        <v>103.73120547945206</v>
      </c>
      <c r="P285" s="6">
        <v>36951</v>
      </c>
      <c r="Q285" s="6">
        <v>25523.29</v>
      </c>
      <c r="R285" s="6">
        <f t="shared" si="388"/>
        <v>141.01265193370168</v>
      </c>
      <c r="S285" s="6">
        <v>33481</v>
      </c>
      <c r="T285" s="6">
        <f t="shared" si="318"/>
        <v>33481</v>
      </c>
      <c r="U285" s="6">
        <f t="shared" si="319"/>
        <v>91.728767123287668</v>
      </c>
      <c r="V285" s="6">
        <v>30425</v>
      </c>
      <c r="W285" s="6">
        <f t="shared" si="320"/>
        <v>30425</v>
      </c>
      <c r="X285" s="6">
        <f t="shared" si="321"/>
        <v>83.356164383561648</v>
      </c>
      <c r="Y285" s="6">
        <v>27500</v>
      </c>
      <c r="Z285" s="6">
        <f t="shared" si="322"/>
        <v>27500</v>
      </c>
      <c r="AA285" s="6">
        <f t="shared" si="323"/>
        <v>75.342465753424662</v>
      </c>
      <c r="AB285" s="6">
        <v>24934</v>
      </c>
      <c r="AC285" s="6">
        <f t="shared" si="324"/>
        <v>24934</v>
      </c>
      <c r="AD285" s="6">
        <f t="shared" si="325"/>
        <v>68.31232876712329</v>
      </c>
      <c r="AE285" s="6">
        <v>22610</v>
      </c>
      <c r="AF285" s="6">
        <f t="shared" si="326"/>
        <v>22610</v>
      </c>
      <c r="AG285" s="6">
        <f t="shared" si="327"/>
        <v>61.945205479452056</v>
      </c>
      <c r="AH285" s="6">
        <v>20556</v>
      </c>
      <c r="AI285" s="6">
        <f t="shared" si="328"/>
        <v>20556</v>
      </c>
      <c r="AJ285" s="6">
        <f t="shared" si="329"/>
        <v>56.317808219178083</v>
      </c>
      <c r="AK285" s="6">
        <v>0</v>
      </c>
      <c r="AL285" s="6">
        <f t="shared" si="330"/>
        <v>0</v>
      </c>
      <c r="AM285" s="6">
        <f t="shared" si="331"/>
        <v>0</v>
      </c>
      <c r="AN285" s="6">
        <v>0</v>
      </c>
      <c r="AO285" s="6">
        <f t="shared" si="332"/>
        <v>0</v>
      </c>
      <c r="AP285" s="6">
        <f t="shared" si="333"/>
        <v>0</v>
      </c>
      <c r="AQ285" s="6">
        <v>0</v>
      </c>
      <c r="AR285" s="6">
        <f t="shared" si="334"/>
        <v>0</v>
      </c>
      <c r="AS285" s="6">
        <f t="shared" si="335"/>
        <v>0</v>
      </c>
      <c r="AT285" s="6">
        <v>0</v>
      </c>
      <c r="AU285" s="6">
        <f t="shared" si="336"/>
        <v>0</v>
      </c>
      <c r="AV285" s="6">
        <f t="shared" si="337"/>
        <v>0</v>
      </c>
      <c r="AW285" s="6">
        <v>0</v>
      </c>
      <c r="AX285" s="6">
        <f t="shared" si="338"/>
        <v>0</v>
      </c>
      <c r="AY285" s="6">
        <f t="shared" si="339"/>
        <v>0</v>
      </c>
      <c r="AZ285" s="6">
        <v>0</v>
      </c>
      <c r="BA285" s="6">
        <f t="shared" si="340"/>
        <v>0</v>
      </c>
      <c r="BB285" s="6">
        <f t="shared" si="341"/>
        <v>0</v>
      </c>
      <c r="BC285" s="6">
        <v>0</v>
      </c>
      <c r="BD285" s="6">
        <f t="shared" si="342"/>
        <v>0</v>
      </c>
      <c r="BE285" s="6">
        <f t="shared" si="343"/>
        <v>0</v>
      </c>
      <c r="BF285" s="6">
        <v>0</v>
      </c>
      <c r="BG285" s="6">
        <f t="shared" si="344"/>
        <v>0</v>
      </c>
      <c r="BH285" s="6">
        <f t="shared" si="345"/>
        <v>0</v>
      </c>
      <c r="BI285" s="6">
        <v>0</v>
      </c>
      <c r="BJ285" s="6">
        <f t="shared" si="346"/>
        <v>0</v>
      </c>
      <c r="BK285" s="6">
        <f t="shared" si="347"/>
        <v>0</v>
      </c>
      <c r="BL285" s="6">
        <v>0</v>
      </c>
      <c r="BM285" s="6">
        <f t="shared" si="348"/>
        <v>0</v>
      </c>
      <c r="BN285" s="6">
        <f t="shared" si="349"/>
        <v>0</v>
      </c>
      <c r="BO285" s="6">
        <v>0</v>
      </c>
      <c r="BP285" s="6">
        <f t="shared" si="350"/>
        <v>0</v>
      </c>
      <c r="BQ285" s="6">
        <f t="shared" si="351"/>
        <v>0</v>
      </c>
      <c r="BR285" s="6">
        <v>0</v>
      </c>
      <c r="BS285" s="6">
        <f t="shared" si="352"/>
        <v>0</v>
      </c>
      <c r="BT285" s="6">
        <f t="shared" si="353"/>
        <v>0</v>
      </c>
      <c r="BU285" s="6">
        <v>0</v>
      </c>
      <c r="BV285" s="6">
        <f t="shared" si="354"/>
        <v>0</v>
      </c>
      <c r="BW285" s="6">
        <f t="shared" si="355"/>
        <v>0</v>
      </c>
      <c r="BX285" s="6">
        <v>0</v>
      </c>
      <c r="BY285" s="6">
        <f t="shared" si="356"/>
        <v>0</v>
      </c>
      <c r="BZ285" s="6">
        <f t="shared" si="357"/>
        <v>0</v>
      </c>
      <c r="CA285" s="6">
        <v>0</v>
      </c>
      <c r="CB285" s="6">
        <f t="shared" si="358"/>
        <v>0</v>
      </c>
      <c r="CC285" s="6">
        <f t="shared" si="359"/>
        <v>0</v>
      </c>
      <c r="CD285" s="6">
        <v>0</v>
      </c>
      <c r="CE285" s="6">
        <f t="shared" si="360"/>
        <v>0</v>
      </c>
      <c r="CF285" s="6">
        <f t="shared" si="361"/>
        <v>0</v>
      </c>
      <c r="CG285" s="6">
        <v>0</v>
      </c>
      <c r="CH285" s="6">
        <f t="shared" si="362"/>
        <v>0</v>
      </c>
      <c r="CI285" s="6">
        <f t="shared" si="363"/>
        <v>0</v>
      </c>
      <c r="CJ285" s="6">
        <v>0</v>
      </c>
      <c r="CK285" s="6">
        <f t="shared" si="364"/>
        <v>0</v>
      </c>
      <c r="CL285" s="6">
        <f t="shared" si="365"/>
        <v>0</v>
      </c>
      <c r="CM285" s="6">
        <v>0</v>
      </c>
      <c r="CN285" s="6">
        <f t="shared" si="366"/>
        <v>0</v>
      </c>
      <c r="CO285" s="6">
        <f t="shared" si="367"/>
        <v>0</v>
      </c>
      <c r="CP285" s="6">
        <v>0</v>
      </c>
      <c r="CQ285" s="6">
        <f t="shared" si="368"/>
        <v>0</v>
      </c>
      <c r="CR285" s="6">
        <f t="shared" si="369"/>
        <v>0</v>
      </c>
      <c r="CS285" s="6">
        <v>0</v>
      </c>
      <c r="CT285" s="6">
        <f t="shared" si="370"/>
        <v>0</v>
      </c>
      <c r="CU285" s="6">
        <f t="shared" si="371"/>
        <v>0</v>
      </c>
      <c r="CV285" s="6">
        <v>0</v>
      </c>
      <c r="CW285" s="6">
        <f t="shared" si="372"/>
        <v>0</v>
      </c>
      <c r="CX285" s="6">
        <f t="shared" si="373"/>
        <v>0</v>
      </c>
      <c r="CY285" s="6">
        <v>0</v>
      </c>
      <c r="CZ285" s="6">
        <f t="shared" si="374"/>
        <v>0</v>
      </c>
      <c r="DA285" s="6">
        <f t="shared" si="375"/>
        <v>0</v>
      </c>
      <c r="DB285" s="6">
        <v>0</v>
      </c>
      <c r="DC285" s="6">
        <f t="shared" si="376"/>
        <v>0</v>
      </c>
      <c r="DD285" s="6">
        <f t="shared" si="377"/>
        <v>0</v>
      </c>
      <c r="DE285" s="6">
        <v>0</v>
      </c>
      <c r="DF285" s="6">
        <f t="shared" si="378"/>
        <v>0</v>
      </c>
      <c r="DG285" s="6">
        <f t="shared" si="379"/>
        <v>0</v>
      </c>
      <c r="DH285" s="6">
        <v>0</v>
      </c>
      <c r="DI285" s="6">
        <f t="shared" si="380"/>
        <v>0</v>
      </c>
      <c r="DJ285" s="6">
        <f t="shared" si="381"/>
        <v>0</v>
      </c>
      <c r="DK285" s="6">
        <v>0</v>
      </c>
      <c r="DL285" s="6">
        <f t="shared" si="382"/>
        <v>0</v>
      </c>
      <c r="DM285" s="6">
        <f t="shared" si="383"/>
        <v>0</v>
      </c>
      <c r="DN285" s="6">
        <v>0</v>
      </c>
      <c r="DO285" s="6">
        <f t="shared" si="384"/>
        <v>0</v>
      </c>
      <c r="DP285" s="6">
        <f t="shared" si="385"/>
        <v>0</v>
      </c>
    </row>
    <row r="286" spans="1:120" x14ac:dyDescent="0.2">
      <c r="A286" s="21">
        <v>81</v>
      </c>
      <c r="B286" s="21" t="s">
        <v>132</v>
      </c>
      <c r="C286" s="21">
        <v>81065</v>
      </c>
      <c r="D286" s="21" t="s">
        <v>682</v>
      </c>
      <c r="E286" s="21" t="s">
        <v>683</v>
      </c>
      <c r="F286" s="22" t="s">
        <v>662</v>
      </c>
      <c r="G286" s="4" t="s">
        <v>398</v>
      </c>
      <c r="H286" s="6">
        <v>391536.52</v>
      </c>
      <c r="I286" s="6">
        <f t="shared" si="389"/>
        <v>1072.702794520548</v>
      </c>
      <c r="J286" s="6">
        <v>435723</v>
      </c>
      <c r="K286" s="6">
        <v>320800.63</v>
      </c>
      <c r="L286" s="6">
        <f t="shared" si="390"/>
        <v>876.50445355191255</v>
      </c>
      <c r="M286" s="6">
        <v>338525</v>
      </c>
      <c r="N286" s="6">
        <v>581227.84</v>
      </c>
      <c r="O286" s="6">
        <f t="shared" si="386"/>
        <v>1592.4050410958903</v>
      </c>
      <c r="P286" s="6">
        <v>229377</v>
      </c>
      <c r="Q286" s="6">
        <v>387108</v>
      </c>
      <c r="R286" s="6">
        <f t="shared" si="388"/>
        <v>2138.7182320441989</v>
      </c>
      <c r="S286" s="6">
        <v>167003</v>
      </c>
      <c r="T286" s="6">
        <f t="shared" si="318"/>
        <v>167003</v>
      </c>
      <c r="U286" s="6">
        <f t="shared" si="319"/>
        <v>457.54246575342466</v>
      </c>
      <c r="V286" s="6">
        <v>141959</v>
      </c>
      <c r="W286" s="6">
        <f t="shared" si="320"/>
        <v>141959</v>
      </c>
      <c r="X286" s="6">
        <f t="shared" si="321"/>
        <v>388.92876712328768</v>
      </c>
      <c r="Y286" s="6">
        <v>105026</v>
      </c>
      <c r="Z286" s="6">
        <f t="shared" si="322"/>
        <v>105026</v>
      </c>
      <c r="AA286" s="6">
        <f t="shared" si="323"/>
        <v>287.74246575342465</v>
      </c>
      <c r="AB286" s="6">
        <v>72643</v>
      </c>
      <c r="AC286" s="6">
        <f t="shared" si="324"/>
        <v>72643</v>
      </c>
      <c r="AD286" s="6">
        <f t="shared" si="325"/>
        <v>199.02191780821917</v>
      </c>
      <c r="AE286" s="6">
        <v>0</v>
      </c>
      <c r="AF286" s="6">
        <f t="shared" si="326"/>
        <v>0</v>
      </c>
      <c r="AG286" s="6">
        <f t="shared" si="327"/>
        <v>0</v>
      </c>
      <c r="AH286" s="6">
        <v>0</v>
      </c>
      <c r="AI286" s="6">
        <f t="shared" si="328"/>
        <v>0</v>
      </c>
      <c r="AJ286" s="6">
        <f t="shared" si="329"/>
        <v>0</v>
      </c>
      <c r="AK286" s="6">
        <v>0</v>
      </c>
      <c r="AL286" s="6">
        <f t="shared" si="330"/>
        <v>0</v>
      </c>
      <c r="AM286" s="6">
        <f t="shared" si="331"/>
        <v>0</v>
      </c>
      <c r="AN286" s="6">
        <v>0</v>
      </c>
      <c r="AO286" s="6">
        <f t="shared" si="332"/>
        <v>0</v>
      </c>
      <c r="AP286" s="6">
        <f t="shared" si="333"/>
        <v>0</v>
      </c>
      <c r="AQ286" s="6">
        <v>0</v>
      </c>
      <c r="AR286" s="6">
        <f t="shared" si="334"/>
        <v>0</v>
      </c>
      <c r="AS286" s="6">
        <f t="shared" si="335"/>
        <v>0</v>
      </c>
      <c r="AT286" s="6">
        <v>0</v>
      </c>
      <c r="AU286" s="6">
        <f t="shared" si="336"/>
        <v>0</v>
      </c>
      <c r="AV286" s="6">
        <f t="shared" si="337"/>
        <v>0</v>
      </c>
      <c r="AW286" s="6">
        <v>0</v>
      </c>
      <c r="AX286" s="6">
        <f t="shared" si="338"/>
        <v>0</v>
      </c>
      <c r="AY286" s="6">
        <f t="shared" si="339"/>
        <v>0</v>
      </c>
      <c r="AZ286" s="6">
        <v>0</v>
      </c>
      <c r="BA286" s="6">
        <f t="shared" si="340"/>
        <v>0</v>
      </c>
      <c r="BB286" s="6">
        <f t="shared" si="341"/>
        <v>0</v>
      </c>
      <c r="BC286" s="6">
        <v>0</v>
      </c>
      <c r="BD286" s="6">
        <f t="shared" si="342"/>
        <v>0</v>
      </c>
      <c r="BE286" s="6">
        <f t="shared" si="343"/>
        <v>0</v>
      </c>
      <c r="BF286" s="6">
        <v>0</v>
      </c>
      <c r="BG286" s="6">
        <f t="shared" si="344"/>
        <v>0</v>
      </c>
      <c r="BH286" s="6">
        <f t="shared" si="345"/>
        <v>0</v>
      </c>
      <c r="BI286" s="6">
        <v>0</v>
      </c>
      <c r="BJ286" s="6">
        <f t="shared" si="346"/>
        <v>0</v>
      </c>
      <c r="BK286" s="6">
        <f t="shared" si="347"/>
        <v>0</v>
      </c>
      <c r="BL286" s="6">
        <v>0</v>
      </c>
      <c r="BM286" s="6">
        <f t="shared" si="348"/>
        <v>0</v>
      </c>
      <c r="BN286" s="6">
        <f t="shared" si="349"/>
        <v>0</v>
      </c>
      <c r="BO286" s="6">
        <v>0</v>
      </c>
      <c r="BP286" s="6">
        <f t="shared" si="350"/>
        <v>0</v>
      </c>
      <c r="BQ286" s="6">
        <f t="shared" si="351"/>
        <v>0</v>
      </c>
      <c r="BR286" s="6">
        <v>0</v>
      </c>
      <c r="BS286" s="6">
        <f t="shared" si="352"/>
        <v>0</v>
      </c>
      <c r="BT286" s="6">
        <f t="shared" si="353"/>
        <v>0</v>
      </c>
      <c r="BU286" s="6">
        <v>0</v>
      </c>
      <c r="BV286" s="6">
        <f t="shared" si="354"/>
        <v>0</v>
      </c>
      <c r="BW286" s="6">
        <f t="shared" si="355"/>
        <v>0</v>
      </c>
      <c r="BX286" s="6">
        <v>0</v>
      </c>
      <c r="BY286" s="6">
        <f t="shared" si="356"/>
        <v>0</v>
      </c>
      <c r="BZ286" s="6">
        <f t="shared" si="357"/>
        <v>0</v>
      </c>
      <c r="CA286" s="6">
        <v>0</v>
      </c>
      <c r="CB286" s="6">
        <f t="shared" si="358"/>
        <v>0</v>
      </c>
      <c r="CC286" s="6">
        <f t="shared" si="359"/>
        <v>0</v>
      </c>
      <c r="CD286" s="6">
        <v>0</v>
      </c>
      <c r="CE286" s="6">
        <f t="shared" si="360"/>
        <v>0</v>
      </c>
      <c r="CF286" s="6">
        <f t="shared" si="361"/>
        <v>0</v>
      </c>
      <c r="CG286" s="6">
        <v>0</v>
      </c>
      <c r="CH286" s="6">
        <f t="shared" si="362"/>
        <v>0</v>
      </c>
      <c r="CI286" s="6">
        <f t="shared" si="363"/>
        <v>0</v>
      </c>
      <c r="CJ286" s="6">
        <v>0</v>
      </c>
      <c r="CK286" s="6">
        <f t="shared" si="364"/>
        <v>0</v>
      </c>
      <c r="CL286" s="6">
        <f t="shared" si="365"/>
        <v>0</v>
      </c>
      <c r="CM286" s="6">
        <v>0</v>
      </c>
      <c r="CN286" s="6">
        <f t="shared" si="366"/>
        <v>0</v>
      </c>
      <c r="CO286" s="6">
        <f t="shared" si="367"/>
        <v>0</v>
      </c>
      <c r="CP286" s="6">
        <v>0</v>
      </c>
      <c r="CQ286" s="6">
        <f t="shared" si="368"/>
        <v>0</v>
      </c>
      <c r="CR286" s="6">
        <f t="shared" si="369"/>
        <v>0</v>
      </c>
      <c r="CS286" s="6">
        <v>0</v>
      </c>
      <c r="CT286" s="6">
        <f t="shared" si="370"/>
        <v>0</v>
      </c>
      <c r="CU286" s="6">
        <f t="shared" si="371"/>
        <v>0</v>
      </c>
      <c r="CV286" s="6">
        <v>0</v>
      </c>
      <c r="CW286" s="6">
        <f t="shared" si="372"/>
        <v>0</v>
      </c>
      <c r="CX286" s="6">
        <f t="shared" si="373"/>
        <v>0</v>
      </c>
      <c r="CY286" s="6">
        <v>0</v>
      </c>
      <c r="CZ286" s="6">
        <f t="shared" si="374"/>
        <v>0</v>
      </c>
      <c r="DA286" s="6">
        <f t="shared" si="375"/>
        <v>0</v>
      </c>
      <c r="DB286" s="6">
        <v>0</v>
      </c>
      <c r="DC286" s="6">
        <f t="shared" si="376"/>
        <v>0</v>
      </c>
      <c r="DD286" s="6">
        <f t="shared" si="377"/>
        <v>0</v>
      </c>
      <c r="DE286" s="6">
        <v>0</v>
      </c>
      <c r="DF286" s="6">
        <f t="shared" si="378"/>
        <v>0</v>
      </c>
      <c r="DG286" s="6">
        <f t="shared" si="379"/>
        <v>0</v>
      </c>
      <c r="DH286" s="6">
        <v>0</v>
      </c>
      <c r="DI286" s="6">
        <f t="shared" si="380"/>
        <v>0</v>
      </c>
      <c r="DJ286" s="6">
        <f t="shared" si="381"/>
        <v>0</v>
      </c>
      <c r="DK286" s="6">
        <v>0</v>
      </c>
      <c r="DL286" s="6">
        <f t="shared" si="382"/>
        <v>0</v>
      </c>
      <c r="DM286" s="6">
        <f t="shared" si="383"/>
        <v>0</v>
      </c>
      <c r="DN286" s="6">
        <v>0</v>
      </c>
      <c r="DO286" s="6">
        <f t="shared" si="384"/>
        <v>0</v>
      </c>
      <c r="DP286" s="6">
        <f t="shared" si="385"/>
        <v>0</v>
      </c>
    </row>
    <row r="287" spans="1:120" x14ac:dyDescent="0.2">
      <c r="A287" s="21">
        <v>68</v>
      </c>
      <c r="B287" s="21" t="s">
        <v>673</v>
      </c>
      <c r="C287" s="21">
        <v>68689</v>
      </c>
      <c r="D287" s="21" t="s">
        <v>735</v>
      </c>
      <c r="E287" s="21" t="s">
        <v>522</v>
      </c>
      <c r="F287" s="22" t="s">
        <v>666</v>
      </c>
      <c r="G287" s="4" t="s">
        <v>399</v>
      </c>
      <c r="H287" s="6">
        <v>79179.490000000005</v>
      </c>
      <c r="I287" s="6">
        <f t="shared" si="389"/>
        <v>216.93010958904111</v>
      </c>
      <c r="J287" s="6">
        <v>88609</v>
      </c>
      <c r="K287" s="6">
        <v>78934.850000000006</v>
      </c>
      <c r="L287" s="6">
        <f t="shared" si="390"/>
        <v>215.66898907103825</v>
      </c>
      <c r="M287" s="6">
        <v>84457</v>
      </c>
      <c r="N287" s="6">
        <v>95949.78</v>
      </c>
      <c r="O287" s="6">
        <f t="shared" si="386"/>
        <v>262.87610958904111</v>
      </c>
      <c r="P287" s="6">
        <v>68486</v>
      </c>
      <c r="Q287" s="6"/>
      <c r="R287" s="6"/>
      <c r="S287" s="6">
        <v>61015</v>
      </c>
      <c r="T287" s="6">
        <f t="shared" si="318"/>
        <v>61015</v>
      </c>
      <c r="U287" s="6">
        <f t="shared" si="319"/>
        <v>167.16438356164383</v>
      </c>
      <c r="V287" s="6">
        <v>54514</v>
      </c>
      <c r="W287" s="6">
        <f t="shared" si="320"/>
        <v>54514</v>
      </c>
      <c r="X287" s="6">
        <f t="shared" si="321"/>
        <v>149.35342465753425</v>
      </c>
      <c r="Y287" s="6">
        <v>48486</v>
      </c>
      <c r="Z287" s="6">
        <f t="shared" si="322"/>
        <v>48486</v>
      </c>
      <c r="AA287" s="6">
        <f t="shared" si="323"/>
        <v>132.83835616438355</v>
      </c>
      <c r="AB287" s="6">
        <v>42434</v>
      </c>
      <c r="AC287" s="6">
        <f t="shared" si="324"/>
        <v>42434</v>
      </c>
      <c r="AD287" s="6">
        <f t="shared" si="325"/>
        <v>116.25753424657535</v>
      </c>
      <c r="AE287" s="6">
        <v>37441</v>
      </c>
      <c r="AF287" s="6">
        <f t="shared" si="326"/>
        <v>37441</v>
      </c>
      <c r="AG287" s="6">
        <f t="shared" si="327"/>
        <v>102.57808219178082</v>
      </c>
      <c r="AH287" s="6">
        <v>0</v>
      </c>
      <c r="AI287" s="6">
        <f t="shared" si="328"/>
        <v>0</v>
      </c>
      <c r="AJ287" s="6">
        <f t="shared" si="329"/>
        <v>0</v>
      </c>
      <c r="AK287" s="6">
        <v>0</v>
      </c>
      <c r="AL287" s="6">
        <f t="shared" si="330"/>
        <v>0</v>
      </c>
      <c r="AM287" s="6">
        <f t="shared" si="331"/>
        <v>0</v>
      </c>
      <c r="AN287" s="6">
        <v>0</v>
      </c>
      <c r="AO287" s="6">
        <f t="shared" si="332"/>
        <v>0</v>
      </c>
      <c r="AP287" s="6">
        <f t="shared" si="333"/>
        <v>0</v>
      </c>
      <c r="AQ287" s="6">
        <v>0</v>
      </c>
      <c r="AR287" s="6">
        <f t="shared" si="334"/>
        <v>0</v>
      </c>
      <c r="AS287" s="6">
        <f t="shared" si="335"/>
        <v>0</v>
      </c>
      <c r="AT287" s="6">
        <v>0</v>
      </c>
      <c r="AU287" s="6">
        <f t="shared" si="336"/>
        <v>0</v>
      </c>
      <c r="AV287" s="6">
        <f t="shared" si="337"/>
        <v>0</v>
      </c>
      <c r="AW287" s="6">
        <v>0</v>
      </c>
      <c r="AX287" s="6">
        <f t="shared" si="338"/>
        <v>0</v>
      </c>
      <c r="AY287" s="6">
        <f t="shared" si="339"/>
        <v>0</v>
      </c>
      <c r="AZ287" s="6">
        <v>0</v>
      </c>
      <c r="BA287" s="6">
        <f t="shared" si="340"/>
        <v>0</v>
      </c>
      <c r="BB287" s="6">
        <f t="shared" si="341"/>
        <v>0</v>
      </c>
      <c r="BC287" s="6">
        <v>0</v>
      </c>
      <c r="BD287" s="6">
        <f t="shared" si="342"/>
        <v>0</v>
      </c>
      <c r="BE287" s="6">
        <f t="shared" si="343"/>
        <v>0</v>
      </c>
      <c r="BF287" s="6">
        <v>0</v>
      </c>
      <c r="BG287" s="6">
        <f t="shared" si="344"/>
        <v>0</v>
      </c>
      <c r="BH287" s="6">
        <f t="shared" si="345"/>
        <v>0</v>
      </c>
      <c r="BI287" s="6">
        <v>0</v>
      </c>
      <c r="BJ287" s="6">
        <f t="shared" si="346"/>
        <v>0</v>
      </c>
      <c r="BK287" s="6">
        <f t="shared" si="347"/>
        <v>0</v>
      </c>
      <c r="BL287" s="6">
        <v>0</v>
      </c>
      <c r="BM287" s="6">
        <f t="shared" si="348"/>
        <v>0</v>
      </c>
      <c r="BN287" s="6">
        <f t="shared" si="349"/>
        <v>0</v>
      </c>
      <c r="BO287" s="6">
        <v>0</v>
      </c>
      <c r="BP287" s="6">
        <f t="shared" si="350"/>
        <v>0</v>
      </c>
      <c r="BQ287" s="6">
        <f t="shared" si="351"/>
        <v>0</v>
      </c>
      <c r="BR287" s="6">
        <v>0</v>
      </c>
      <c r="BS287" s="6">
        <f t="shared" si="352"/>
        <v>0</v>
      </c>
      <c r="BT287" s="6">
        <f t="shared" si="353"/>
        <v>0</v>
      </c>
      <c r="BU287" s="6">
        <v>0</v>
      </c>
      <c r="BV287" s="6">
        <f t="shared" si="354"/>
        <v>0</v>
      </c>
      <c r="BW287" s="6">
        <f t="shared" si="355"/>
        <v>0</v>
      </c>
      <c r="BX287" s="6">
        <v>0</v>
      </c>
      <c r="BY287" s="6">
        <f t="shared" si="356"/>
        <v>0</v>
      </c>
      <c r="BZ287" s="6">
        <f t="shared" si="357"/>
        <v>0</v>
      </c>
      <c r="CA287" s="6">
        <v>0</v>
      </c>
      <c r="CB287" s="6">
        <f t="shared" si="358"/>
        <v>0</v>
      </c>
      <c r="CC287" s="6">
        <f t="shared" si="359"/>
        <v>0</v>
      </c>
      <c r="CD287" s="6">
        <v>0</v>
      </c>
      <c r="CE287" s="6">
        <f t="shared" si="360"/>
        <v>0</v>
      </c>
      <c r="CF287" s="6">
        <f t="shared" si="361"/>
        <v>0</v>
      </c>
      <c r="CG287" s="6">
        <v>0</v>
      </c>
      <c r="CH287" s="6">
        <f t="shared" si="362"/>
        <v>0</v>
      </c>
      <c r="CI287" s="6">
        <f t="shared" si="363"/>
        <v>0</v>
      </c>
      <c r="CJ287" s="6">
        <v>0</v>
      </c>
      <c r="CK287" s="6">
        <f t="shared" si="364"/>
        <v>0</v>
      </c>
      <c r="CL287" s="6">
        <f t="shared" si="365"/>
        <v>0</v>
      </c>
      <c r="CM287" s="6">
        <v>0</v>
      </c>
      <c r="CN287" s="6">
        <f t="shared" si="366"/>
        <v>0</v>
      </c>
      <c r="CO287" s="6">
        <f t="shared" si="367"/>
        <v>0</v>
      </c>
      <c r="CP287" s="6">
        <v>0</v>
      </c>
      <c r="CQ287" s="6">
        <f t="shared" si="368"/>
        <v>0</v>
      </c>
      <c r="CR287" s="6">
        <f t="shared" si="369"/>
        <v>0</v>
      </c>
      <c r="CS287" s="6">
        <v>0</v>
      </c>
      <c r="CT287" s="6">
        <f t="shared" si="370"/>
        <v>0</v>
      </c>
      <c r="CU287" s="6">
        <f t="shared" si="371"/>
        <v>0</v>
      </c>
      <c r="CV287" s="6">
        <v>0</v>
      </c>
      <c r="CW287" s="6">
        <f t="shared" si="372"/>
        <v>0</v>
      </c>
      <c r="CX287" s="6">
        <f t="shared" si="373"/>
        <v>0</v>
      </c>
      <c r="CY287" s="6">
        <v>0</v>
      </c>
      <c r="CZ287" s="6">
        <f t="shared" si="374"/>
        <v>0</v>
      </c>
      <c r="DA287" s="6">
        <f t="shared" si="375"/>
        <v>0</v>
      </c>
      <c r="DB287" s="6">
        <v>0</v>
      </c>
      <c r="DC287" s="6">
        <f t="shared" si="376"/>
        <v>0</v>
      </c>
      <c r="DD287" s="6">
        <f t="shared" si="377"/>
        <v>0</v>
      </c>
      <c r="DE287" s="6">
        <v>0</v>
      </c>
      <c r="DF287" s="6">
        <f t="shared" si="378"/>
        <v>0</v>
      </c>
      <c r="DG287" s="6">
        <f t="shared" si="379"/>
        <v>0</v>
      </c>
      <c r="DH287" s="6">
        <v>0</v>
      </c>
      <c r="DI287" s="6">
        <f t="shared" si="380"/>
        <v>0</v>
      </c>
      <c r="DJ287" s="6">
        <f t="shared" si="381"/>
        <v>0</v>
      </c>
      <c r="DK287" s="6">
        <v>0</v>
      </c>
      <c r="DL287" s="6">
        <f t="shared" si="382"/>
        <v>0</v>
      </c>
      <c r="DM287" s="6">
        <f t="shared" si="383"/>
        <v>0</v>
      </c>
      <c r="DN287" s="6">
        <v>0</v>
      </c>
      <c r="DO287" s="6">
        <f t="shared" si="384"/>
        <v>0</v>
      </c>
      <c r="DP287" s="6">
        <f t="shared" si="385"/>
        <v>0</v>
      </c>
    </row>
    <row r="288" spans="1:120" x14ac:dyDescent="0.2">
      <c r="A288" s="21">
        <v>54</v>
      </c>
      <c r="B288" s="21" t="s">
        <v>744</v>
      </c>
      <c r="C288" s="21">
        <v>54810</v>
      </c>
      <c r="D288" s="21" t="s">
        <v>400</v>
      </c>
      <c r="E288" s="21" t="s">
        <v>522</v>
      </c>
      <c r="F288" s="22" t="s">
        <v>666</v>
      </c>
      <c r="G288" s="4" t="s">
        <v>400</v>
      </c>
      <c r="H288" s="6">
        <v>418118.42</v>
      </c>
      <c r="I288" s="6">
        <f t="shared" si="389"/>
        <v>1145.5299178082191</v>
      </c>
      <c r="J288" s="6">
        <v>536353</v>
      </c>
      <c r="K288" s="6">
        <v>463729.56</v>
      </c>
      <c r="L288" s="6">
        <f t="shared" si="390"/>
        <v>1267.0206557377048</v>
      </c>
      <c r="M288" s="6">
        <v>559346</v>
      </c>
      <c r="N288" s="6">
        <v>424800.42</v>
      </c>
      <c r="O288" s="6">
        <f t="shared" si="386"/>
        <v>1163.8367671232877</v>
      </c>
      <c r="P288" s="6">
        <v>522325</v>
      </c>
      <c r="Q288" s="6">
        <v>201031.27</v>
      </c>
      <c r="R288" s="6">
        <f>Q288/181</f>
        <v>1110.6699999999998</v>
      </c>
      <c r="S288" s="6">
        <v>461816</v>
      </c>
      <c r="T288" s="6">
        <f t="shared" si="318"/>
        <v>461816</v>
      </c>
      <c r="U288" s="6">
        <f t="shared" si="319"/>
        <v>1265.2493150684932</v>
      </c>
      <c r="V288" s="6">
        <v>413500</v>
      </c>
      <c r="W288" s="6">
        <f t="shared" si="320"/>
        <v>413500</v>
      </c>
      <c r="X288" s="6">
        <f t="shared" si="321"/>
        <v>1132.8767123287671</v>
      </c>
      <c r="Y288" s="6">
        <v>368705</v>
      </c>
      <c r="Z288" s="6">
        <f t="shared" si="322"/>
        <v>368705</v>
      </c>
      <c r="AA288" s="6">
        <f t="shared" si="323"/>
        <v>1010.1506849315068</v>
      </c>
      <c r="AB288" s="6">
        <v>324705</v>
      </c>
      <c r="AC288" s="6">
        <f t="shared" si="324"/>
        <v>324705</v>
      </c>
      <c r="AD288" s="6">
        <f t="shared" si="325"/>
        <v>889.60273972602738</v>
      </c>
      <c r="AE288" s="6">
        <v>277687</v>
      </c>
      <c r="AF288" s="6">
        <f t="shared" si="326"/>
        <v>277687</v>
      </c>
      <c r="AG288" s="6">
        <f t="shared" si="327"/>
        <v>760.78630136986305</v>
      </c>
      <c r="AH288" s="6">
        <v>0</v>
      </c>
      <c r="AI288" s="6">
        <f t="shared" si="328"/>
        <v>0</v>
      </c>
      <c r="AJ288" s="6">
        <f t="shared" si="329"/>
        <v>0</v>
      </c>
      <c r="AK288" s="6">
        <v>0</v>
      </c>
      <c r="AL288" s="6">
        <f t="shared" si="330"/>
        <v>0</v>
      </c>
      <c r="AM288" s="6">
        <f t="shared" si="331"/>
        <v>0</v>
      </c>
      <c r="AN288" s="6">
        <v>0</v>
      </c>
      <c r="AO288" s="6">
        <f t="shared" si="332"/>
        <v>0</v>
      </c>
      <c r="AP288" s="6">
        <f t="shared" si="333"/>
        <v>0</v>
      </c>
      <c r="AQ288" s="6">
        <v>0</v>
      </c>
      <c r="AR288" s="6">
        <f t="shared" si="334"/>
        <v>0</v>
      </c>
      <c r="AS288" s="6">
        <f t="shared" si="335"/>
        <v>0</v>
      </c>
      <c r="AT288" s="6">
        <v>0</v>
      </c>
      <c r="AU288" s="6">
        <f t="shared" si="336"/>
        <v>0</v>
      </c>
      <c r="AV288" s="6">
        <f t="shared" si="337"/>
        <v>0</v>
      </c>
      <c r="AW288" s="6">
        <v>0</v>
      </c>
      <c r="AX288" s="6">
        <f t="shared" si="338"/>
        <v>0</v>
      </c>
      <c r="AY288" s="6">
        <f t="shared" si="339"/>
        <v>0</v>
      </c>
      <c r="AZ288" s="6">
        <v>0</v>
      </c>
      <c r="BA288" s="6">
        <f t="shared" si="340"/>
        <v>0</v>
      </c>
      <c r="BB288" s="6">
        <f t="shared" si="341"/>
        <v>0</v>
      </c>
      <c r="BC288" s="6">
        <v>0</v>
      </c>
      <c r="BD288" s="6">
        <f t="shared" si="342"/>
        <v>0</v>
      </c>
      <c r="BE288" s="6">
        <f t="shared" si="343"/>
        <v>0</v>
      </c>
      <c r="BF288" s="6">
        <v>0</v>
      </c>
      <c r="BG288" s="6">
        <f t="shared" si="344"/>
        <v>0</v>
      </c>
      <c r="BH288" s="6">
        <f t="shared" si="345"/>
        <v>0</v>
      </c>
      <c r="BI288" s="6">
        <v>0</v>
      </c>
      <c r="BJ288" s="6">
        <f t="shared" si="346"/>
        <v>0</v>
      </c>
      <c r="BK288" s="6">
        <f t="shared" si="347"/>
        <v>0</v>
      </c>
      <c r="BL288" s="6">
        <v>0</v>
      </c>
      <c r="BM288" s="6">
        <f t="shared" si="348"/>
        <v>0</v>
      </c>
      <c r="BN288" s="6">
        <f t="shared" si="349"/>
        <v>0</v>
      </c>
      <c r="BO288" s="6">
        <v>0</v>
      </c>
      <c r="BP288" s="6">
        <f t="shared" si="350"/>
        <v>0</v>
      </c>
      <c r="BQ288" s="6">
        <f t="shared" si="351"/>
        <v>0</v>
      </c>
      <c r="BR288" s="6">
        <v>0</v>
      </c>
      <c r="BS288" s="6">
        <f t="shared" si="352"/>
        <v>0</v>
      </c>
      <c r="BT288" s="6">
        <f t="shared" si="353"/>
        <v>0</v>
      </c>
      <c r="BU288" s="6">
        <v>0</v>
      </c>
      <c r="BV288" s="6">
        <f t="shared" si="354"/>
        <v>0</v>
      </c>
      <c r="BW288" s="6">
        <f t="shared" si="355"/>
        <v>0</v>
      </c>
      <c r="BX288" s="6">
        <v>0</v>
      </c>
      <c r="BY288" s="6">
        <f t="shared" si="356"/>
        <v>0</v>
      </c>
      <c r="BZ288" s="6">
        <f t="shared" si="357"/>
        <v>0</v>
      </c>
      <c r="CA288" s="6">
        <v>0</v>
      </c>
      <c r="CB288" s="6">
        <f t="shared" si="358"/>
        <v>0</v>
      </c>
      <c r="CC288" s="6">
        <f t="shared" si="359"/>
        <v>0</v>
      </c>
      <c r="CD288" s="6">
        <v>0</v>
      </c>
      <c r="CE288" s="6">
        <f t="shared" si="360"/>
        <v>0</v>
      </c>
      <c r="CF288" s="6">
        <f t="shared" si="361"/>
        <v>0</v>
      </c>
      <c r="CG288" s="6">
        <v>0</v>
      </c>
      <c r="CH288" s="6">
        <f t="shared" si="362"/>
        <v>0</v>
      </c>
      <c r="CI288" s="6">
        <f t="shared" si="363"/>
        <v>0</v>
      </c>
      <c r="CJ288" s="6">
        <v>0</v>
      </c>
      <c r="CK288" s="6">
        <f t="shared" si="364"/>
        <v>0</v>
      </c>
      <c r="CL288" s="6">
        <f t="shared" si="365"/>
        <v>0</v>
      </c>
      <c r="CM288" s="6">
        <v>0</v>
      </c>
      <c r="CN288" s="6">
        <f t="shared" si="366"/>
        <v>0</v>
      </c>
      <c r="CO288" s="6">
        <f t="shared" si="367"/>
        <v>0</v>
      </c>
      <c r="CP288" s="6">
        <v>0</v>
      </c>
      <c r="CQ288" s="6">
        <f t="shared" si="368"/>
        <v>0</v>
      </c>
      <c r="CR288" s="6">
        <f t="shared" si="369"/>
        <v>0</v>
      </c>
      <c r="CS288" s="6">
        <v>0</v>
      </c>
      <c r="CT288" s="6">
        <f t="shared" si="370"/>
        <v>0</v>
      </c>
      <c r="CU288" s="6">
        <f t="shared" si="371"/>
        <v>0</v>
      </c>
      <c r="CV288" s="6">
        <v>0</v>
      </c>
      <c r="CW288" s="6">
        <f t="shared" si="372"/>
        <v>0</v>
      </c>
      <c r="CX288" s="6">
        <f t="shared" si="373"/>
        <v>0</v>
      </c>
      <c r="CY288" s="6">
        <v>0</v>
      </c>
      <c r="CZ288" s="6">
        <f t="shared" si="374"/>
        <v>0</v>
      </c>
      <c r="DA288" s="6">
        <f t="shared" si="375"/>
        <v>0</v>
      </c>
      <c r="DB288" s="6">
        <v>0</v>
      </c>
      <c r="DC288" s="6">
        <f t="shared" si="376"/>
        <v>0</v>
      </c>
      <c r="DD288" s="6">
        <f t="shared" si="377"/>
        <v>0</v>
      </c>
      <c r="DE288" s="6">
        <v>0</v>
      </c>
      <c r="DF288" s="6">
        <f t="shared" si="378"/>
        <v>0</v>
      </c>
      <c r="DG288" s="6">
        <f t="shared" si="379"/>
        <v>0</v>
      </c>
      <c r="DH288" s="6">
        <v>0</v>
      </c>
      <c r="DI288" s="6">
        <f t="shared" si="380"/>
        <v>0</v>
      </c>
      <c r="DJ288" s="6">
        <f t="shared" si="381"/>
        <v>0</v>
      </c>
      <c r="DK288" s="6">
        <v>0</v>
      </c>
      <c r="DL288" s="6">
        <f t="shared" si="382"/>
        <v>0</v>
      </c>
      <c r="DM288" s="6">
        <f t="shared" si="383"/>
        <v>0</v>
      </c>
      <c r="DN288" s="6">
        <v>0</v>
      </c>
      <c r="DO288" s="6">
        <f t="shared" si="384"/>
        <v>0</v>
      </c>
      <c r="DP288" s="6">
        <f t="shared" si="385"/>
        <v>0</v>
      </c>
    </row>
    <row r="289" spans="1:120" x14ac:dyDescent="0.2">
      <c r="A289" s="21">
        <v>85</v>
      </c>
      <c r="B289" s="21" t="s">
        <v>612</v>
      </c>
      <c r="C289" s="21">
        <v>85410</v>
      </c>
      <c r="D289" s="21" t="s">
        <v>691</v>
      </c>
      <c r="E289" s="21" t="s">
        <v>562</v>
      </c>
      <c r="F289" s="22" t="s">
        <v>669</v>
      </c>
      <c r="G289" s="4" t="s">
        <v>401</v>
      </c>
      <c r="H289" s="6">
        <v>8676268.7899999991</v>
      </c>
      <c r="I289" s="6">
        <f t="shared" si="389"/>
        <v>23770.599424657532</v>
      </c>
      <c r="J289" s="6">
        <v>8940760.6831999999</v>
      </c>
      <c r="K289" s="6">
        <v>8589256.3900000006</v>
      </c>
      <c r="L289" s="6">
        <f t="shared" si="390"/>
        <v>23467.913633879783</v>
      </c>
      <c r="M289" s="6">
        <v>8795103.1082000006</v>
      </c>
      <c r="N289" s="6">
        <v>5893967.25</v>
      </c>
      <c r="O289" s="6">
        <f t="shared" si="386"/>
        <v>16147.855479452055</v>
      </c>
      <c r="P289" s="6">
        <v>7264232.608</v>
      </c>
      <c r="Q289" s="6">
        <v>2620495.27</v>
      </c>
      <c r="R289" s="6">
        <f>Q289/181</f>
        <v>14477.874419889504</v>
      </c>
      <c r="S289" s="6">
        <v>5380821.7558000004</v>
      </c>
      <c r="T289" s="6">
        <f t="shared" si="318"/>
        <v>5380821.7558000004</v>
      </c>
      <c r="U289" s="6">
        <f t="shared" si="319"/>
        <v>14741.977413150686</v>
      </c>
      <c r="V289" s="6">
        <v>4147102.2895</v>
      </c>
      <c r="W289" s="6">
        <f t="shared" si="320"/>
        <v>4147102.2895</v>
      </c>
      <c r="X289" s="6">
        <f t="shared" si="321"/>
        <v>11361.924080821918</v>
      </c>
      <c r="Y289" s="6">
        <v>3316176.2804999999</v>
      </c>
      <c r="Z289" s="6">
        <f t="shared" si="322"/>
        <v>3316176.2804999999</v>
      </c>
      <c r="AA289" s="6">
        <f t="shared" si="323"/>
        <v>9085.414467123288</v>
      </c>
      <c r="AB289" s="6">
        <v>2621016.7042</v>
      </c>
      <c r="AC289" s="6">
        <f t="shared" si="324"/>
        <v>2621016.7042</v>
      </c>
      <c r="AD289" s="6">
        <f t="shared" si="325"/>
        <v>7180.8676827397258</v>
      </c>
      <c r="AE289" s="6">
        <v>2162328.8561999998</v>
      </c>
      <c r="AF289" s="6">
        <f t="shared" si="326"/>
        <v>2162328.8561999998</v>
      </c>
      <c r="AG289" s="6">
        <f t="shared" si="327"/>
        <v>5924.1886471232874</v>
      </c>
      <c r="AH289" s="6">
        <v>1812140.5597000001</v>
      </c>
      <c r="AI289" s="6">
        <f t="shared" si="328"/>
        <v>1812140.5597000001</v>
      </c>
      <c r="AJ289" s="6">
        <f t="shared" si="329"/>
        <v>4964.7686567123292</v>
      </c>
      <c r="AK289" s="6">
        <v>1534500.5677</v>
      </c>
      <c r="AL289" s="6">
        <f t="shared" si="330"/>
        <v>1534500.5677</v>
      </c>
      <c r="AM289" s="6">
        <f t="shared" si="331"/>
        <v>4204.1111443835616</v>
      </c>
      <c r="AN289" s="6">
        <v>1320247.3255</v>
      </c>
      <c r="AO289" s="6">
        <f t="shared" si="332"/>
        <v>1320247.3255</v>
      </c>
      <c r="AP289" s="6">
        <f t="shared" si="333"/>
        <v>3617.1159602739726</v>
      </c>
      <c r="AQ289" s="6">
        <v>1203836.5822999999</v>
      </c>
      <c r="AR289" s="6">
        <f t="shared" si="334"/>
        <v>1203836.5822999999</v>
      </c>
      <c r="AS289" s="6">
        <f t="shared" si="335"/>
        <v>3298.1824172602737</v>
      </c>
      <c r="AT289" s="6">
        <v>1019700.7611</v>
      </c>
      <c r="AU289" s="6">
        <f t="shared" si="336"/>
        <v>1019700.7611</v>
      </c>
      <c r="AV289" s="6">
        <f t="shared" si="337"/>
        <v>2793.7007153424656</v>
      </c>
      <c r="AW289" s="6">
        <v>872548.30359999998</v>
      </c>
      <c r="AX289" s="6">
        <f t="shared" si="338"/>
        <v>872548.30359999998</v>
      </c>
      <c r="AY289" s="6">
        <f t="shared" si="339"/>
        <v>2390.5432975342464</v>
      </c>
      <c r="AZ289" s="6">
        <v>762698.09380000003</v>
      </c>
      <c r="BA289" s="6">
        <f t="shared" si="340"/>
        <v>762698.09380000003</v>
      </c>
      <c r="BB289" s="6">
        <f t="shared" si="341"/>
        <v>2089.5838186301371</v>
      </c>
      <c r="BC289" s="6">
        <v>567405.20120000001</v>
      </c>
      <c r="BD289" s="6">
        <f t="shared" si="342"/>
        <v>567405.20120000001</v>
      </c>
      <c r="BE289" s="6">
        <f t="shared" si="343"/>
        <v>1554.5347978082193</v>
      </c>
      <c r="BF289" s="6">
        <v>0</v>
      </c>
      <c r="BG289" s="6">
        <f t="shared" si="344"/>
        <v>0</v>
      </c>
      <c r="BH289" s="6">
        <f t="shared" si="345"/>
        <v>0</v>
      </c>
      <c r="BI289" s="6">
        <v>0</v>
      </c>
      <c r="BJ289" s="6">
        <f t="shared" si="346"/>
        <v>0</v>
      </c>
      <c r="BK289" s="6">
        <f t="shared" si="347"/>
        <v>0</v>
      </c>
      <c r="BL289" s="6">
        <v>0</v>
      </c>
      <c r="BM289" s="6">
        <f t="shared" si="348"/>
        <v>0</v>
      </c>
      <c r="BN289" s="6">
        <f t="shared" si="349"/>
        <v>0</v>
      </c>
      <c r="BO289" s="6">
        <v>0</v>
      </c>
      <c r="BP289" s="6">
        <f t="shared" si="350"/>
        <v>0</v>
      </c>
      <c r="BQ289" s="6">
        <f t="shared" si="351"/>
        <v>0</v>
      </c>
      <c r="BR289" s="6">
        <v>0</v>
      </c>
      <c r="BS289" s="6">
        <f t="shared" si="352"/>
        <v>0</v>
      </c>
      <c r="BT289" s="6">
        <f t="shared" si="353"/>
        <v>0</v>
      </c>
      <c r="BU289" s="6">
        <v>0</v>
      </c>
      <c r="BV289" s="6">
        <f t="shared" si="354"/>
        <v>0</v>
      </c>
      <c r="BW289" s="6">
        <f t="shared" si="355"/>
        <v>0</v>
      </c>
      <c r="BX289" s="6">
        <v>0</v>
      </c>
      <c r="BY289" s="6">
        <f t="shared" si="356"/>
        <v>0</v>
      </c>
      <c r="BZ289" s="6">
        <f t="shared" si="357"/>
        <v>0</v>
      </c>
      <c r="CA289" s="6">
        <v>0</v>
      </c>
      <c r="CB289" s="6">
        <f t="shared" si="358"/>
        <v>0</v>
      </c>
      <c r="CC289" s="6">
        <f t="shared" si="359"/>
        <v>0</v>
      </c>
      <c r="CD289" s="6">
        <v>0</v>
      </c>
      <c r="CE289" s="6">
        <f t="shared" si="360"/>
        <v>0</v>
      </c>
      <c r="CF289" s="6">
        <f t="shared" si="361"/>
        <v>0</v>
      </c>
      <c r="CG289" s="6">
        <v>0</v>
      </c>
      <c r="CH289" s="6">
        <f t="shared" si="362"/>
        <v>0</v>
      </c>
      <c r="CI289" s="6">
        <f t="shared" si="363"/>
        <v>0</v>
      </c>
      <c r="CJ289" s="6">
        <v>0</v>
      </c>
      <c r="CK289" s="6">
        <f t="shared" si="364"/>
        <v>0</v>
      </c>
      <c r="CL289" s="6">
        <f t="shared" si="365"/>
        <v>0</v>
      </c>
      <c r="CM289" s="6">
        <v>0</v>
      </c>
      <c r="CN289" s="6">
        <f t="shared" si="366"/>
        <v>0</v>
      </c>
      <c r="CO289" s="6">
        <f t="shared" si="367"/>
        <v>0</v>
      </c>
      <c r="CP289" s="6">
        <v>0</v>
      </c>
      <c r="CQ289" s="6">
        <f t="shared" si="368"/>
        <v>0</v>
      </c>
      <c r="CR289" s="6">
        <f t="shared" si="369"/>
        <v>0</v>
      </c>
      <c r="CS289" s="6">
        <v>0</v>
      </c>
      <c r="CT289" s="6">
        <f t="shared" si="370"/>
        <v>0</v>
      </c>
      <c r="CU289" s="6">
        <f t="shared" si="371"/>
        <v>0</v>
      </c>
      <c r="CV289" s="6">
        <v>0</v>
      </c>
      <c r="CW289" s="6">
        <f t="shared" si="372"/>
        <v>0</v>
      </c>
      <c r="CX289" s="6">
        <f t="shared" si="373"/>
        <v>0</v>
      </c>
      <c r="CY289" s="6">
        <v>0</v>
      </c>
      <c r="CZ289" s="6">
        <f t="shared" si="374"/>
        <v>0</v>
      </c>
      <c r="DA289" s="6">
        <f t="shared" si="375"/>
        <v>0</v>
      </c>
      <c r="DB289" s="6">
        <v>0</v>
      </c>
      <c r="DC289" s="6">
        <f t="shared" si="376"/>
        <v>0</v>
      </c>
      <c r="DD289" s="6">
        <f t="shared" si="377"/>
        <v>0</v>
      </c>
      <c r="DE289" s="6">
        <v>0</v>
      </c>
      <c r="DF289" s="6">
        <f t="shared" si="378"/>
        <v>0</v>
      </c>
      <c r="DG289" s="6">
        <f t="shared" si="379"/>
        <v>0</v>
      </c>
      <c r="DH289" s="6">
        <v>0</v>
      </c>
      <c r="DI289" s="6">
        <f t="shared" si="380"/>
        <v>0</v>
      </c>
      <c r="DJ289" s="6">
        <f t="shared" si="381"/>
        <v>0</v>
      </c>
      <c r="DK289" s="6">
        <v>0</v>
      </c>
      <c r="DL289" s="6">
        <f t="shared" si="382"/>
        <v>0</v>
      </c>
      <c r="DM289" s="6">
        <f t="shared" si="383"/>
        <v>0</v>
      </c>
      <c r="DN289" s="6">
        <v>0</v>
      </c>
      <c r="DO289" s="6">
        <f t="shared" si="384"/>
        <v>0</v>
      </c>
      <c r="DP289" s="6">
        <f t="shared" si="385"/>
        <v>0</v>
      </c>
    </row>
    <row r="290" spans="1:120" x14ac:dyDescent="0.2">
      <c r="A290" s="21">
        <v>85</v>
      </c>
      <c r="B290" s="21" t="s">
        <v>612</v>
      </c>
      <c r="C290" s="21">
        <v>85325</v>
      </c>
      <c r="D290" s="21" t="s">
        <v>670</v>
      </c>
      <c r="E290" s="21" t="s">
        <v>747</v>
      </c>
      <c r="F290" s="22" t="s">
        <v>693</v>
      </c>
      <c r="G290" s="4" t="s">
        <v>402</v>
      </c>
      <c r="H290" s="6">
        <v>13086.34</v>
      </c>
      <c r="I290" s="6">
        <f t="shared" si="389"/>
        <v>35.85298630136986</v>
      </c>
      <c r="J290" s="6">
        <v>14406</v>
      </c>
      <c r="K290" s="6"/>
      <c r="L290" s="6"/>
      <c r="M290" s="6">
        <v>11491</v>
      </c>
      <c r="N290" s="6"/>
      <c r="O290" s="6"/>
      <c r="P290" s="6">
        <v>9195</v>
      </c>
      <c r="Q290" s="6"/>
      <c r="R290" s="6"/>
      <c r="S290" s="6">
        <v>7357</v>
      </c>
      <c r="T290" s="6">
        <f t="shared" si="318"/>
        <v>7357</v>
      </c>
      <c r="U290" s="6">
        <f t="shared" si="319"/>
        <v>20.156164383561645</v>
      </c>
      <c r="V290" s="6">
        <v>5899</v>
      </c>
      <c r="W290" s="6">
        <f t="shared" si="320"/>
        <v>5899</v>
      </c>
      <c r="X290" s="6">
        <f t="shared" si="321"/>
        <v>16.161643835616438</v>
      </c>
      <c r="Y290" s="6">
        <v>4708</v>
      </c>
      <c r="Z290" s="6">
        <f t="shared" si="322"/>
        <v>4708</v>
      </c>
      <c r="AA290" s="6">
        <f t="shared" si="323"/>
        <v>12.898630136986302</v>
      </c>
      <c r="AB290" s="6">
        <v>3765</v>
      </c>
      <c r="AC290" s="6">
        <f t="shared" si="324"/>
        <v>3765</v>
      </c>
      <c r="AD290" s="6">
        <f t="shared" si="325"/>
        <v>10.315068493150685</v>
      </c>
      <c r="AE290" s="6">
        <v>3013</v>
      </c>
      <c r="AF290" s="6">
        <f t="shared" si="326"/>
        <v>3013</v>
      </c>
      <c r="AG290" s="6">
        <f t="shared" si="327"/>
        <v>8.2547945205479447</v>
      </c>
      <c r="AH290" s="6">
        <v>2416</v>
      </c>
      <c r="AI290" s="6">
        <f t="shared" si="328"/>
        <v>2416</v>
      </c>
      <c r="AJ290" s="6">
        <f t="shared" si="329"/>
        <v>6.6191780821917812</v>
      </c>
      <c r="AK290" s="6">
        <v>1580</v>
      </c>
      <c r="AL290" s="6">
        <f t="shared" si="330"/>
        <v>1580</v>
      </c>
      <c r="AM290" s="6">
        <f t="shared" si="331"/>
        <v>4.3287671232876717</v>
      </c>
      <c r="AN290" s="6">
        <v>0</v>
      </c>
      <c r="AO290" s="6">
        <f t="shared" si="332"/>
        <v>0</v>
      </c>
      <c r="AP290" s="6">
        <f t="shared" si="333"/>
        <v>0</v>
      </c>
      <c r="AQ290" s="6">
        <v>0</v>
      </c>
      <c r="AR290" s="6">
        <f t="shared" si="334"/>
        <v>0</v>
      </c>
      <c r="AS290" s="6">
        <f t="shared" si="335"/>
        <v>0</v>
      </c>
      <c r="AT290" s="6">
        <v>0</v>
      </c>
      <c r="AU290" s="6">
        <f t="shared" si="336"/>
        <v>0</v>
      </c>
      <c r="AV290" s="6">
        <f t="shared" si="337"/>
        <v>0</v>
      </c>
      <c r="AW290" s="6">
        <v>0</v>
      </c>
      <c r="AX290" s="6">
        <f t="shared" si="338"/>
        <v>0</v>
      </c>
      <c r="AY290" s="6">
        <f t="shared" si="339"/>
        <v>0</v>
      </c>
      <c r="AZ290" s="6">
        <v>0</v>
      </c>
      <c r="BA290" s="6">
        <f t="shared" si="340"/>
        <v>0</v>
      </c>
      <c r="BB290" s="6">
        <f t="shared" si="341"/>
        <v>0</v>
      </c>
      <c r="BC290" s="6">
        <v>0</v>
      </c>
      <c r="BD290" s="6">
        <f t="shared" si="342"/>
        <v>0</v>
      </c>
      <c r="BE290" s="6">
        <f t="shared" si="343"/>
        <v>0</v>
      </c>
      <c r="BF290" s="6">
        <v>0</v>
      </c>
      <c r="BG290" s="6">
        <f t="shared" si="344"/>
        <v>0</v>
      </c>
      <c r="BH290" s="6">
        <f t="shared" si="345"/>
        <v>0</v>
      </c>
      <c r="BI290" s="6">
        <v>0</v>
      </c>
      <c r="BJ290" s="6">
        <f t="shared" si="346"/>
        <v>0</v>
      </c>
      <c r="BK290" s="6">
        <f t="shared" si="347"/>
        <v>0</v>
      </c>
      <c r="BL290" s="6">
        <v>0</v>
      </c>
      <c r="BM290" s="6">
        <f t="shared" si="348"/>
        <v>0</v>
      </c>
      <c r="BN290" s="6">
        <f t="shared" si="349"/>
        <v>0</v>
      </c>
      <c r="BO290" s="6">
        <v>0</v>
      </c>
      <c r="BP290" s="6">
        <f t="shared" si="350"/>
        <v>0</v>
      </c>
      <c r="BQ290" s="6">
        <f t="shared" si="351"/>
        <v>0</v>
      </c>
      <c r="BR290" s="6">
        <v>0</v>
      </c>
      <c r="BS290" s="6">
        <f t="shared" si="352"/>
        <v>0</v>
      </c>
      <c r="BT290" s="6">
        <f t="shared" si="353"/>
        <v>0</v>
      </c>
      <c r="BU290" s="6">
        <v>0</v>
      </c>
      <c r="BV290" s="6">
        <f t="shared" si="354"/>
        <v>0</v>
      </c>
      <c r="BW290" s="6">
        <f t="shared" si="355"/>
        <v>0</v>
      </c>
      <c r="BX290" s="6">
        <v>0</v>
      </c>
      <c r="BY290" s="6">
        <f t="shared" si="356"/>
        <v>0</v>
      </c>
      <c r="BZ290" s="6">
        <f t="shared" si="357"/>
        <v>0</v>
      </c>
      <c r="CA290" s="6">
        <v>0</v>
      </c>
      <c r="CB290" s="6">
        <f t="shared" si="358"/>
        <v>0</v>
      </c>
      <c r="CC290" s="6">
        <f t="shared" si="359"/>
        <v>0</v>
      </c>
      <c r="CD290" s="6">
        <v>0</v>
      </c>
      <c r="CE290" s="6">
        <f t="shared" si="360"/>
        <v>0</v>
      </c>
      <c r="CF290" s="6">
        <f t="shared" si="361"/>
        <v>0</v>
      </c>
      <c r="CG290" s="6">
        <v>0</v>
      </c>
      <c r="CH290" s="6">
        <f t="shared" si="362"/>
        <v>0</v>
      </c>
      <c r="CI290" s="6">
        <f t="shared" si="363"/>
        <v>0</v>
      </c>
      <c r="CJ290" s="6">
        <v>0</v>
      </c>
      <c r="CK290" s="6">
        <f t="shared" si="364"/>
        <v>0</v>
      </c>
      <c r="CL290" s="6">
        <f t="shared" si="365"/>
        <v>0</v>
      </c>
      <c r="CM290" s="6">
        <v>0</v>
      </c>
      <c r="CN290" s="6">
        <f t="shared" si="366"/>
        <v>0</v>
      </c>
      <c r="CO290" s="6">
        <f t="shared" si="367"/>
        <v>0</v>
      </c>
      <c r="CP290" s="6">
        <v>0</v>
      </c>
      <c r="CQ290" s="6">
        <f t="shared" si="368"/>
        <v>0</v>
      </c>
      <c r="CR290" s="6">
        <f t="shared" si="369"/>
        <v>0</v>
      </c>
      <c r="CS290" s="6">
        <v>0</v>
      </c>
      <c r="CT290" s="6">
        <f t="shared" si="370"/>
        <v>0</v>
      </c>
      <c r="CU290" s="6">
        <f t="shared" si="371"/>
        <v>0</v>
      </c>
      <c r="CV290" s="6">
        <v>0</v>
      </c>
      <c r="CW290" s="6">
        <f t="shared" si="372"/>
        <v>0</v>
      </c>
      <c r="CX290" s="6">
        <f t="shared" si="373"/>
        <v>0</v>
      </c>
      <c r="CY290" s="6">
        <v>0</v>
      </c>
      <c r="CZ290" s="6">
        <f t="shared" si="374"/>
        <v>0</v>
      </c>
      <c r="DA290" s="6">
        <f t="shared" si="375"/>
        <v>0</v>
      </c>
      <c r="DB290" s="6">
        <v>0</v>
      </c>
      <c r="DC290" s="6">
        <f t="shared" si="376"/>
        <v>0</v>
      </c>
      <c r="DD290" s="6">
        <f t="shared" si="377"/>
        <v>0</v>
      </c>
      <c r="DE290" s="6">
        <v>0</v>
      </c>
      <c r="DF290" s="6">
        <f t="shared" si="378"/>
        <v>0</v>
      </c>
      <c r="DG290" s="6">
        <f t="shared" si="379"/>
        <v>0</v>
      </c>
      <c r="DH290" s="6">
        <v>0</v>
      </c>
      <c r="DI290" s="6">
        <f t="shared" si="380"/>
        <v>0</v>
      </c>
      <c r="DJ290" s="6">
        <f t="shared" si="381"/>
        <v>0</v>
      </c>
      <c r="DK290" s="6">
        <v>0</v>
      </c>
      <c r="DL290" s="6">
        <f t="shared" si="382"/>
        <v>0</v>
      </c>
      <c r="DM290" s="6">
        <f t="shared" si="383"/>
        <v>0</v>
      </c>
      <c r="DN290" s="6">
        <v>0</v>
      </c>
      <c r="DO290" s="6">
        <f t="shared" si="384"/>
        <v>0</v>
      </c>
      <c r="DP290" s="6">
        <f t="shared" si="385"/>
        <v>0</v>
      </c>
    </row>
    <row r="291" spans="1:120" x14ac:dyDescent="0.2">
      <c r="A291" s="21">
        <v>85</v>
      </c>
      <c r="B291" s="21" t="s">
        <v>612</v>
      </c>
      <c r="C291" s="21">
        <v>85410</v>
      </c>
      <c r="D291" s="21" t="s">
        <v>691</v>
      </c>
      <c r="E291" s="21" t="s">
        <v>562</v>
      </c>
      <c r="F291" s="22" t="s">
        <v>669</v>
      </c>
      <c r="G291" s="4" t="s">
        <v>403</v>
      </c>
      <c r="H291" s="6">
        <v>89170.67</v>
      </c>
      <c r="I291" s="6">
        <f t="shared" si="389"/>
        <v>244.30320547945206</v>
      </c>
      <c r="J291" s="6">
        <v>71407.399999999994</v>
      </c>
      <c r="K291" s="6">
        <v>92451.24</v>
      </c>
      <c r="L291" s="6">
        <f t="shared" ref="L291:L327" si="391">K291/366</f>
        <v>252.59901639344264</v>
      </c>
      <c r="M291" s="6">
        <v>60290.400000000001</v>
      </c>
      <c r="N291" s="6">
        <v>166049.22</v>
      </c>
      <c r="O291" s="6">
        <f t="shared" ref="O291:O301" si="392">N291/365</f>
        <v>454.92936986301368</v>
      </c>
      <c r="P291" s="6">
        <v>52274.3</v>
      </c>
      <c r="Q291" s="6">
        <v>84067.1</v>
      </c>
      <c r="R291" s="6">
        <f t="shared" ref="R291:R301" si="393">Q291/181</f>
        <v>464.45911602209947</v>
      </c>
      <c r="S291" s="6">
        <v>37126.199999999997</v>
      </c>
      <c r="T291" s="6">
        <f t="shared" si="318"/>
        <v>37126.199999999997</v>
      </c>
      <c r="U291" s="6">
        <f t="shared" si="319"/>
        <v>101.71561643835615</v>
      </c>
      <c r="V291" s="6">
        <v>0</v>
      </c>
      <c r="W291" s="6">
        <f t="shared" si="320"/>
        <v>0</v>
      </c>
      <c r="X291" s="6">
        <f t="shared" si="321"/>
        <v>0</v>
      </c>
      <c r="Y291" s="6">
        <v>0</v>
      </c>
      <c r="Z291" s="6">
        <f t="shared" si="322"/>
        <v>0</v>
      </c>
      <c r="AA291" s="6">
        <f t="shared" si="323"/>
        <v>0</v>
      </c>
      <c r="AB291" s="6">
        <v>0</v>
      </c>
      <c r="AC291" s="6">
        <f t="shared" si="324"/>
        <v>0</v>
      </c>
      <c r="AD291" s="6">
        <f t="shared" si="325"/>
        <v>0</v>
      </c>
      <c r="AE291" s="6">
        <v>0</v>
      </c>
      <c r="AF291" s="6">
        <f t="shared" si="326"/>
        <v>0</v>
      </c>
      <c r="AG291" s="6">
        <f t="shared" si="327"/>
        <v>0</v>
      </c>
      <c r="AH291" s="6">
        <v>0</v>
      </c>
      <c r="AI291" s="6">
        <f t="shared" si="328"/>
        <v>0</v>
      </c>
      <c r="AJ291" s="6">
        <f t="shared" si="329"/>
        <v>0</v>
      </c>
      <c r="AK291" s="6">
        <v>0</v>
      </c>
      <c r="AL291" s="6">
        <f t="shared" si="330"/>
        <v>0</v>
      </c>
      <c r="AM291" s="6">
        <f t="shared" si="331"/>
        <v>0</v>
      </c>
      <c r="AN291" s="6">
        <v>0</v>
      </c>
      <c r="AO291" s="6">
        <f t="shared" si="332"/>
        <v>0</v>
      </c>
      <c r="AP291" s="6">
        <f t="shared" si="333"/>
        <v>0</v>
      </c>
      <c r="AQ291" s="6">
        <v>0</v>
      </c>
      <c r="AR291" s="6">
        <f t="shared" si="334"/>
        <v>0</v>
      </c>
      <c r="AS291" s="6">
        <f t="shared" si="335"/>
        <v>0</v>
      </c>
      <c r="AT291" s="6">
        <v>0</v>
      </c>
      <c r="AU291" s="6">
        <f t="shared" si="336"/>
        <v>0</v>
      </c>
      <c r="AV291" s="6">
        <f t="shared" si="337"/>
        <v>0</v>
      </c>
      <c r="AW291" s="6">
        <v>0</v>
      </c>
      <c r="AX291" s="6">
        <f t="shared" si="338"/>
        <v>0</v>
      </c>
      <c r="AY291" s="6">
        <f t="shared" si="339"/>
        <v>0</v>
      </c>
      <c r="AZ291" s="6">
        <v>0</v>
      </c>
      <c r="BA291" s="6">
        <f t="shared" si="340"/>
        <v>0</v>
      </c>
      <c r="BB291" s="6">
        <f t="shared" si="341"/>
        <v>0</v>
      </c>
      <c r="BC291" s="6">
        <v>0</v>
      </c>
      <c r="BD291" s="6">
        <f t="shared" si="342"/>
        <v>0</v>
      </c>
      <c r="BE291" s="6">
        <f t="shared" si="343"/>
        <v>0</v>
      </c>
      <c r="BF291" s="6">
        <v>0</v>
      </c>
      <c r="BG291" s="6">
        <f t="shared" si="344"/>
        <v>0</v>
      </c>
      <c r="BH291" s="6">
        <f t="shared" si="345"/>
        <v>0</v>
      </c>
      <c r="BI291" s="6">
        <v>0</v>
      </c>
      <c r="BJ291" s="6">
        <f t="shared" si="346"/>
        <v>0</v>
      </c>
      <c r="BK291" s="6">
        <f t="shared" si="347"/>
        <v>0</v>
      </c>
      <c r="BL291" s="6">
        <v>0</v>
      </c>
      <c r="BM291" s="6">
        <f t="shared" si="348"/>
        <v>0</v>
      </c>
      <c r="BN291" s="6">
        <f t="shared" si="349"/>
        <v>0</v>
      </c>
      <c r="BO291" s="6">
        <v>0</v>
      </c>
      <c r="BP291" s="6">
        <f t="shared" si="350"/>
        <v>0</v>
      </c>
      <c r="BQ291" s="6">
        <f t="shared" si="351"/>
        <v>0</v>
      </c>
      <c r="BR291" s="6">
        <v>0</v>
      </c>
      <c r="BS291" s="6">
        <f t="shared" si="352"/>
        <v>0</v>
      </c>
      <c r="BT291" s="6">
        <f t="shared" si="353"/>
        <v>0</v>
      </c>
      <c r="BU291" s="6">
        <v>0</v>
      </c>
      <c r="BV291" s="6">
        <f t="shared" si="354"/>
        <v>0</v>
      </c>
      <c r="BW291" s="6">
        <f t="shared" si="355"/>
        <v>0</v>
      </c>
      <c r="BX291" s="6">
        <v>0</v>
      </c>
      <c r="BY291" s="6">
        <f t="shared" si="356"/>
        <v>0</v>
      </c>
      <c r="BZ291" s="6">
        <f t="shared" si="357"/>
        <v>0</v>
      </c>
      <c r="CA291" s="6">
        <v>0</v>
      </c>
      <c r="CB291" s="6">
        <f t="shared" si="358"/>
        <v>0</v>
      </c>
      <c r="CC291" s="6">
        <f t="shared" si="359"/>
        <v>0</v>
      </c>
      <c r="CD291" s="6">
        <v>0</v>
      </c>
      <c r="CE291" s="6">
        <f t="shared" si="360"/>
        <v>0</v>
      </c>
      <c r="CF291" s="6">
        <f t="shared" si="361"/>
        <v>0</v>
      </c>
      <c r="CG291" s="6">
        <v>0</v>
      </c>
      <c r="CH291" s="6">
        <f t="shared" si="362"/>
        <v>0</v>
      </c>
      <c r="CI291" s="6">
        <f t="shared" si="363"/>
        <v>0</v>
      </c>
      <c r="CJ291" s="6">
        <v>0</v>
      </c>
      <c r="CK291" s="6">
        <f t="shared" si="364"/>
        <v>0</v>
      </c>
      <c r="CL291" s="6">
        <f t="shared" si="365"/>
        <v>0</v>
      </c>
      <c r="CM291" s="6">
        <v>0</v>
      </c>
      <c r="CN291" s="6">
        <f t="shared" si="366"/>
        <v>0</v>
      </c>
      <c r="CO291" s="6">
        <f t="shared" si="367"/>
        <v>0</v>
      </c>
      <c r="CP291" s="6">
        <v>0</v>
      </c>
      <c r="CQ291" s="6">
        <f t="shared" si="368"/>
        <v>0</v>
      </c>
      <c r="CR291" s="6">
        <f t="shared" si="369"/>
        <v>0</v>
      </c>
      <c r="CS291" s="6">
        <v>0</v>
      </c>
      <c r="CT291" s="6">
        <f t="shared" si="370"/>
        <v>0</v>
      </c>
      <c r="CU291" s="6">
        <f t="shared" si="371"/>
        <v>0</v>
      </c>
      <c r="CV291" s="6">
        <v>0</v>
      </c>
      <c r="CW291" s="6">
        <f t="shared" si="372"/>
        <v>0</v>
      </c>
      <c r="CX291" s="6">
        <f t="shared" si="373"/>
        <v>0</v>
      </c>
      <c r="CY291" s="6">
        <v>0</v>
      </c>
      <c r="CZ291" s="6">
        <f t="shared" si="374"/>
        <v>0</v>
      </c>
      <c r="DA291" s="6">
        <f t="shared" si="375"/>
        <v>0</v>
      </c>
      <c r="DB291" s="6">
        <v>0</v>
      </c>
      <c r="DC291" s="6">
        <f t="shared" si="376"/>
        <v>0</v>
      </c>
      <c r="DD291" s="6">
        <f t="shared" si="377"/>
        <v>0</v>
      </c>
      <c r="DE291" s="6">
        <v>0</v>
      </c>
      <c r="DF291" s="6">
        <f t="shared" si="378"/>
        <v>0</v>
      </c>
      <c r="DG291" s="6">
        <f t="shared" si="379"/>
        <v>0</v>
      </c>
      <c r="DH291" s="6">
        <v>0</v>
      </c>
      <c r="DI291" s="6">
        <f t="shared" si="380"/>
        <v>0</v>
      </c>
      <c r="DJ291" s="6">
        <f t="shared" si="381"/>
        <v>0</v>
      </c>
      <c r="DK291" s="6">
        <v>0</v>
      </c>
      <c r="DL291" s="6">
        <f t="shared" si="382"/>
        <v>0</v>
      </c>
      <c r="DM291" s="6">
        <f t="shared" si="383"/>
        <v>0</v>
      </c>
      <c r="DN291" s="6">
        <v>0</v>
      </c>
      <c r="DO291" s="6">
        <f t="shared" si="384"/>
        <v>0</v>
      </c>
      <c r="DP291" s="6">
        <f t="shared" si="385"/>
        <v>0</v>
      </c>
    </row>
    <row r="292" spans="1:120" x14ac:dyDescent="0.2">
      <c r="A292" s="21">
        <v>85</v>
      </c>
      <c r="B292" s="21" t="s">
        <v>612</v>
      </c>
      <c r="C292" s="21">
        <v>85001</v>
      </c>
      <c r="D292" s="21" t="s">
        <v>698</v>
      </c>
      <c r="E292" s="21" t="s">
        <v>699</v>
      </c>
      <c r="F292" s="22" t="s">
        <v>693</v>
      </c>
      <c r="G292" s="4" t="s">
        <v>404</v>
      </c>
      <c r="H292" s="6">
        <v>404214.01</v>
      </c>
      <c r="I292" s="6">
        <f t="shared" si="389"/>
        <v>1107.4356438356165</v>
      </c>
      <c r="J292" s="6">
        <v>734304.31660000002</v>
      </c>
      <c r="K292" s="6">
        <v>420031.07</v>
      </c>
      <c r="L292" s="6">
        <f t="shared" si="391"/>
        <v>1147.6258743169399</v>
      </c>
      <c r="M292" s="6">
        <v>545292.79269999999</v>
      </c>
      <c r="N292" s="6">
        <v>307375.89</v>
      </c>
      <c r="O292" s="6">
        <f t="shared" si="392"/>
        <v>842.12572602739726</v>
      </c>
      <c r="P292" s="6">
        <v>390036</v>
      </c>
      <c r="Q292" s="6">
        <v>119265.25</v>
      </c>
      <c r="R292" s="6">
        <f t="shared" si="393"/>
        <v>658.92403314917124</v>
      </c>
      <c r="S292" s="6">
        <v>439958</v>
      </c>
      <c r="T292" s="6">
        <f t="shared" si="318"/>
        <v>439958</v>
      </c>
      <c r="U292" s="6">
        <f t="shared" si="319"/>
        <v>1205.3643835616438</v>
      </c>
      <c r="V292" s="6">
        <v>364166</v>
      </c>
      <c r="W292" s="6">
        <f t="shared" si="320"/>
        <v>364166</v>
      </c>
      <c r="X292" s="6">
        <f t="shared" si="321"/>
        <v>997.71506849315074</v>
      </c>
      <c r="Y292" s="6">
        <v>256710</v>
      </c>
      <c r="Z292" s="6">
        <f t="shared" si="322"/>
        <v>256710</v>
      </c>
      <c r="AA292" s="6">
        <f t="shared" si="323"/>
        <v>703.31506849315065</v>
      </c>
      <c r="AB292" s="6">
        <v>183738</v>
      </c>
      <c r="AC292" s="6">
        <f t="shared" si="324"/>
        <v>183738</v>
      </c>
      <c r="AD292" s="6">
        <f t="shared" si="325"/>
        <v>503.39178082191779</v>
      </c>
      <c r="AE292" s="6">
        <v>131531</v>
      </c>
      <c r="AF292" s="6">
        <f t="shared" si="326"/>
        <v>131531</v>
      </c>
      <c r="AG292" s="6">
        <f t="shared" si="327"/>
        <v>360.35890410958905</v>
      </c>
      <c r="AH292" s="6">
        <v>0</v>
      </c>
      <c r="AI292" s="6">
        <f t="shared" si="328"/>
        <v>0</v>
      </c>
      <c r="AJ292" s="6">
        <f t="shared" si="329"/>
        <v>0</v>
      </c>
      <c r="AK292" s="6">
        <v>0</v>
      </c>
      <c r="AL292" s="6">
        <f t="shared" si="330"/>
        <v>0</v>
      </c>
      <c r="AM292" s="6">
        <f t="shared" si="331"/>
        <v>0</v>
      </c>
      <c r="AN292" s="6">
        <v>0</v>
      </c>
      <c r="AO292" s="6">
        <f t="shared" si="332"/>
        <v>0</v>
      </c>
      <c r="AP292" s="6">
        <f t="shared" si="333"/>
        <v>0</v>
      </c>
      <c r="AQ292" s="6">
        <v>0</v>
      </c>
      <c r="AR292" s="6">
        <f t="shared" si="334"/>
        <v>0</v>
      </c>
      <c r="AS292" s="6">
        <f t="shared" si="335"/>
        <v>0</v>
      </c>
      <c r="AT292" s="6">
        <v>0</v>
      </c>
      <c r="AU292" s="6">
        <f t="shared" si="336"/>
        <v>0</v>
      </c>
      <c r="AV292" s="6">
        <f t="shared" si="337"/>
        <v>0</v>
      </c>
      <c r="AW292" s="6">
        <v>0</v>
      </c>
      <c r="AX292" s="6">
        <f t="shared" si="338"/>
        <v>0</v>
      </c>
      <c r="AY292" s="6">
        <f t="shared" si="339"/>
        <v>0</v>
      </c>
      <c r="AZ292" s="6">
        <v>0</v>
      </c>
      <c r="BA292" s="6">
        <f t="shared" si="340"/>
        <v>0</v>
      </c>
      <c r="BB292" s="6">
        <f t="shared" si="341"/>
        <v>0</v>
      </c>
      <c r="BC292" s="6">
        <v>0</v>
      </c>
      <c r="BD292" s="6">
        <f t="shared" si="342"/>
        <v>0</v>
      </c>
      <c r="BE292" s="6">
        <f t="shared" si="343"/>
        <v>0</v>
      </c>
      <c r="BF292" s="6">
        <v>0</v>
      </c>
      <c r="BG292" s="6">
        <f t="shared" si="344"/>
        <v>0</v>
      </c>
      <c r="BH292" s="6">
        <f t="shared" si="345"/>
        <v>0</v>
      </c>
      <c r="BI292" s="6">
        <v>0</v>
      </c>
      <c r="BJ292" s="6">
        <f t="shared" si="346"/>
        <v>0</v>
      </c>
      <c r="BK292" s="6">
        <f t="shared" si="347"/>
        <v>0</v>
      </c>
      <c r="BL292" s="6">
        <v>0</v>
      </c>
      <c r="BM292" s="6">
        <f t="shared" si="348"/>
        <v>0</v>
      </c>
      <c r="BN292" s="6">
        <f t="shared" si="349"/>
        <v>0</v>
      </c>
      <c r="BO292" s="6">
        <v>0</v>
      </c>
      <c r="BP292" s="6">
        <f t="shared" si="350"/>
        <v>0</v>
      </c>
      <c r="BQ292" s="6">
        <f t="shared" si="351"/>
        <v>0</v>
      </c>
      <c r="BR292" s="6">
        <v>0</v>
      </c>
      <c r="BS292" s="6">
        <f t="shared" si="352"/>
        <v>0</v>
      </c>
      <c r="BT292" s="6">
        <f t="shared" si="353"/>
        <v>0</v>
      </c>
      <c r="BU292" s="6">
        <v>0</v>
      </c>
      <c r="BV292" s="6">
        <f t="shared" si="354"/>
        <v>0</v>
      </c>
      <c r="BW292" s="6">
        <f t="shared" si="355"/>
        <v>0</v>
      </c>
      <c r="BX292" s="6">
        <v>0</v>
      </c>
      <c r="BY292" s="6">
        <f t="shared" si="356"/>
        <v>0</v>
      </c>
      <c r="BZ292" s="6">
        <f t="shared" si="357"/>
        <v>0</v>
      </c>
      <c r="CA292" s="6">
        <v>0</v>
      </c>
      <c r="CB292" s="6">
        <f t="shared" si="358"/>
        <v>0</v>
      </c>
      <c r="CC292" s="6">
        <f t="shared" si="359"/>
        <v>0</v>
      </c>
      <c r="CD292" s="6">
        <v>0</v>
      </c>
      <c r="CE292" s="6">
        <f t="shared" si="360"/>
        <v>0</v>
      </c>
      <c r="CF292" s="6">
        <f t="shared" si="361"/>
        <v>0</v>
      </c>
      <c r="CG292" s="6">
        <v>0</v>
      </c>
      <c r="CH292" s="6">
        <f t="shared" si="362"/>
        <v>0</v>
      </c>
      <c r="CI292" s="6">
        <f t="shared" si="363"/>
        <v>0</v>
      </c>
      <c r="CJ292" s="6">
        <v>0</v>
      </c>
      <c r="CK292" s="6">
        <f t="shared" si="364"/>
        <v>0</v>
      </c>
      <c r="CL292" s="6">
        <f t="shared" si="365"/>
        <v>0</v>
      </c>
      <c r="CM292" s="6">
        <v>0</v>
      </c>
      <c r="CN292" s="6">
        <f t="shared" si="366"/>
        <v>0</v>
      </c>
      <c r="CO292" s="6">
        <f t="shared" si="367"/>
        <v>0</v>
      </c>
      <c r="CP292" s="6">
        <v>0</v>
      </c>
      <c r="CQ292" s="6">
        <f t="shared" si="368"/>
        <v>0</v>
      </c>
      <c r="CR292" s="6">
        <f t="shared" si="369"/>
        <v>0</v>
      </c>
      <c r="CS292" s="6">
        <v>0</v>
      </c>
      <c r="CT292" s="6">
        <f t="shared" si="370"/>
        <v>0</v>
      </c>
      <c r="CU292" s="6">
        <f t="shared" si="371"/>
        <v>0</v>
      </c>
      <c r="CV292" s="6">
        <v>0</v>
      </c>
      <c r="CW292" s="6">
        <f t="shared" si="372"/>
        <v>0</v>
      </c>
      <c r="CX292" s="6">
        <f t="shared" si="373"/>
        <v>0</v>
      </c>
      <c r="CY292" s="6">
        <v>0</v>
      </c>
      <c r="CZ292" s="6">
        <f t="shared" si="374"/>
        <v>0</v>
      </c>
      <c r="DA292" s="6">
        <f t="shared" si="375"/>
        <v>0</v>
      </c>
      <c r="DB292" s="6">
        <v>0</v>
      </c>
      <c r="DC292" s="6">
        <f t="shared" si="376"/>
        <v>0</v>
      </c>
      <c r="DD292" s="6">
        <f t="shared" si="377"/>
        <v>0</v>
      </c>
      <c r="DE292" s="6">
        <v>0</v>
      </c>
      <c r="DF292" s="6">
        <f t="shared" si="378"/>
        <v>0</v>
      </c>
      <c r="DG292" s="6">
        <f t="shared" si="379"/>
        <v>0</v>
      </c>
      <c r="DH292" s="6">
        <v>0</v>
      </c>
      <c r="DI292" s="6">
        <f t="shared" si="380"/>
        <v>0</v>
      </c>
      <c r="DJ292" s="6">
        <f t="shared" si="381"/>
        <v>0</v>
      </c>
      <c r="DK292" s="6">
        <v>0</v>
      </c>
      <c r="DL292" s="6">
        <f t="shared" si="382"/>
        <v>0</v>
      </c>
      <c r="DM292" s="6">
        <f t="shared" si="383"/>
        <v>0</v>
      </c>
      <c r="DN292" s="6">
        <v>0</v>
      </c>
      <c r="DO292" s="6">
        <f t="shared" si="384"/>
        <v>0</v>
      </c>
      <c r="DP292" s="6">
        <f t="shared" si="385"/>
        <v>0</v>
      </c>
    </row>
    <row r="293" spans="1:120" x14ac:dyDescent="0.2">
      <c r="A293" s="21">
        <v>20</v>
      </c>
      <c r="B293" s="21" t="s">
        <v>667</v>
      </c>
      <c r="C293" s="21">
        <v>20770</v>
      </c>
      <c r="D293" s="21" t="s">
        <v>668</v>
      </c>
      <c r="E293" s="21" t="s">
        <v>522</v>
      </c>
      <c r="F293" s="22" t="s">
        <v>666</v>
      </c>
      <c r="G293" s="4" t="s">
        <v>405</v>
      </c>
      <c r="H293" s="6">
        <v>491354.86</v>
      </c>
      <c r="I293" s="6">
        <f t="shared" si="389"/>
        <v>1346.177698630137</v>
      </c>
      <c r="J293" s="6">
        <v>484823</v>
      </c>
      <c r="K293" s="6">
        <v>446725.7</v>
      </c>
      <c r="L293" s="6">
        <f t="shared" si="391"/>
        <v>1220.5620218579236</v>
      </c>
      <c r="M293" s="6">
        <v>410571</v>
      </c>
      <c r="N293" s="6">
        <v>407804.08</v>
      </c>
      <c r="O293" s="6">
        <f t="shared" si="392"/>
        <v>1117.2714520547945</v>
      </c>
      <c r="P293" s="6">
        <v>321020</v>
      </c>
      <c r="Q293" s="6">
        <v>135066.18</v>
      </c>
      <c r="R293" s="6">
        <f t="shared" si="393"/>
        <v>746.22198895027623</v>
      </c>
      <c r="S293" s="6">
        <v>253274</v>
      </c>
      <c r="T293" s="6">
        <f t="shared" si="318"/>
        <v>253274</v>
      </c>
      <c r="U293" s="6">
        <f t="shared" si="319"/>
        <v>693.90136986301366</v>
      </c>
      <c r="V293" s="6">
        <v>201986</v>
      </c>
      <c r="W293" s="6">
        <f t="shared" si="320"/>
        <v>201986</v>
      </c>
      <c r="X293" s="6">
        <f t="shared" si="321"/>
        <v>553.38630136986296</v>
      </c>
      <c r="Y293" s="6">
        <v>161488</v>
      </c>
      <c r="Z293" s="6">
        <f t="shared" si="322"/>
        <v>161488</v>
      </c>
      <c r="AA293" s="6">
        <f t="shared" si="323"/>
        <v>442.43287671232878</v>
      </c>
      <c r="AB293" s="6">
        <v>129784</v>
      </c>
      <c r="AC293" s="6">
        <f t="shared" si="324"/>
        <v>129784</v>
      </c>
      <c r="AD293" s="6">
        <f t="shared" si="325"/>
        <v>355.57260273972605</v>
      </c>
      <c r="AE293" s="6">
        <v>0</v>
      </c>
      <c r="AF293" s="6">
        <f t="shared" si="326"/>
        <v>0</v>
      </c>
      <c r="AG293" s="6">
        <f t="shared" si="327"/>
        <v>0</v>
      </c>
      <c r="AH293" s="6">
        <v>0</v>
      </c>
      <c r="AI293" s="6">
        <f t="shared" si="328"/>
        <v>0</v>
      </c>
      <c r="AJ293" s="6">
        <f t="shared" si="329"/>
        <v>0</v>
      </c>
      <c r="AK293" s="6">
        <v>0</v>
      </c>
      <c r="AL293" s="6">
        <f t="shared" si="330"/>
        <v>0</v>
      </c>
      <c r="AM293" s="6">
        <f t="shared" si="331"/>
        <v>0</v>
      </c>
      <c r="AN293" s="6">
        <v>0</v>
      </c>
      <c r="AO293" s="6">
        <f t="shared" si="332"/>
        <v>0</v>
      </c>
      <c r="AP293" s="6">
        <f t="shared" si="333"/>
        <v>0</v>
      </c>
      <c r="AQ293" s="6">
        <v>0</v>
      </c>
      <c r="AR293" s="6">
        <f t="shared" si="334"/>
        <v>0</v>
      </c>
      <c r="AS293" s="6">
        <f t="shared" si="335"/>
        <v>0</v>
      </c>
      <c r="AT293" s="6">
        <v>0</v>
      </c>
      <c r="AU293" s="6">
        <f t="shared" si="336"/>
        <v>0</v>
      </c>
      <c r="AV293" s="6">
        <f t="shared" si="337"/>
        <v>0</v>
      </c>
      <c r="AW293" s="6">
        <v>0</v>
      </c>
      <c r="AX293" s="6">
        <f t="shared" si="338"/>
        <v>0</v>
      </c>
      <c r="AY293" s="6">
        <f t="shared" si="339"/>
        <v>0</v>
      </c>
      <c r="AZ293" s="6">
        <v>0</v>
      </c>
      <c r="BA293" s="6">
        <f t="shared" si="340"/>
        <v>0</v>
      </c>
      <c r="BB293" s="6">
        <f t="shared" si="341"/>
        <v>0</v>
      </c>
      <c r="BC293" s="6">
        <v>0</v>
      </c>
      <c r="BD293" s="6">
        <f t="shared" si="342"/>
        <v>0</v>
      </c>
      <c r="BE293" s="6">
        <f t="shared" si="343"/>
        <v>0</v>
      </c>
      <c r="BF293" s="6">
        <v>0</v>
      </c>
      <c r="BG293" s="6">
        <f t="shared" si="344"/>
        <v>0</v>
      </c>
      <c r="BH293" s="6">
        <f t="shared" si="345"/>
        <v>0</v>
      </c>
      <c r="BI293" s="6">
        <v>0</v>
      </c>
      <c r="BJ293" s="6">
        <f t="shared" si="346"/>
        <v>0</v>
      </c>
      <c r="BK293" s="6">
        <f t="shared" si="347"/>
        <v>0</v>
      </c>
      <c r="BL293" s="6">
        <v>0</v>
      </c>
      <c r="BM293" s="6">
        <f t="shared" si="348"/>
        <v>0</v>
      </c>
      <c r="BN293" s="6">
        <f t="shared" si="349"/>
        <v>0</v>
      </c>
      <c r="BO293" s="6">
        <v>0</v>
      </c>
      <c r="BP293" s="6">
        <f t="shared" si="350"/>
        <v>0</v>
      </c>
      <c r="BQ293" s="6">
        <f t="shared" si="351"/>
        <v>0</v>
      </c>
      <c r="BR293" s="6">
        <v>0</v>
      </c>
      <c r="BS293" s="6">
        <f t="shared" si="352"/>
        <v>0</v>
      </c>
      <c r="BT293" s="6">
        <f t="shared" si="353"/>
        <v>0</v>
      </c>
      <c r="BU293" s="6">
        <v>0</v>
      </c>
      <c r="BV293" s="6">
        <f t="shared" si="354"/>
        <v>0</v>
      </c>
      <c r="BW293" s="6">
        <f t="shared" si="355"/>
        <v>0</v>
      </c>
      <c r="BX293" s="6">
        <v>0</v>
      </c>
      <c r="BY293" s="6">
        <f t="shared" si="356"/>
        <v>0</v>
      </c>
      <c r="BZ293" s="6">
        <f t="shared" si="357"/>
        <v>0</v>
      </c>
      <c r="CA293" s="6">
        <v>0</v>
      </c>
      <c r="CB293" s="6">
        <f t="shared" si="358"/>
        <v>0</v>
      </c>
      <c r="CC293" s="6">
        <f t="shared" si="359"/>
        <v>0</v>
      </c>
      <c r="CD293" s="6">
        <v>0</v>
      </c>
      <c r="CE293" s="6">
        <f t="shared" si="360"/>
        <v>0</v>
      </c>
      <c r="CF293" s="6">
        <f t="shared" si="361"/>
        <v>0</v>
      </c>
      <c r="CG293" s="6">
        <v>0</v>
      </c>
      <c r="CH293" s="6">
        <f t="shared" si="362"/>
        <v>0</v>
      </c>
      <c r="CI293" s="6">
        <f t="shared" si="363"/>
        <v>0</v>
      </c>
      <c r="CJ293" s="6">
        <v>0</v>
      </c>
      <c r="CK293" s="6">
        <f t="shared" si="364"/>
        <v>0</v>
      </c>
      <c r="CL293" s="6">
        <f t="shared" si="365"/>
        <v>0</v>
      </c>
      <c r="CM293" s="6">
        <v>0</v>
      </c>
      <c r="CN293" s="6">
        <f t="shared" si="366"/>
        <v>0</v>
      </c>
      <c r="CO293" s="6">
        <f t="shared" si="367"/>
        <v>0</v>
      </c>
      <c r="CP293" s="6">
        <v>0</v>
      </c>
      <c r="CQ293" s="6">
        <f t="shared" si="368"/>
        <v>0</v>
      </c>
      <c r="CR293" s="6">
        <f t="shared" si="369"/>
        <v>0</v>
      </c>
      <c r="CS293" s="6">
        <v>0</v>
      </c>
      <c r="CT293" s="6">
        <f t="shared" si="370"/>
        <v>0</v>
      </c>
      <c r="CU293" s="6">
        <f t="shared" si="371"/>
        <v>0</v>
      </c>
      <c r="CV293" s="6">
        <v>0</v>
      </c>
      <c r="CW293" s="6">
        <f t="shared" si="372"/>
        <v>0</v>
      </c>
      <c r="CX293" s="6">
        <f t="shared" si="373"/>
        <v>0</v>
      </c>
      <c r="CY293" s="6">
        <v>0</v>
      </c>
      <c r="CZ293" s="6">
        <f t="shared" si="374"/>
        <v>0</v>
      </c>
      <c r="DA293" s="6">
        <f t="shared" si="375"/>
        <v>0</v>
      </c>
      <c r="DB293" s="6">
        <v>0</v>
      </c>
      <c r="DC293" s="6">
        <f t="shared" si="376"/>
        <v>0</v>
      </c>
      <c r="DD293" s="6">
        <f t="shared" si="377"/>
        <v>0</v>
      </c>
      <c r="DE293" s="6">
        <v>0</v>
      </c>
      <c r="DF293" s="6">
        <f t="shared" si="378"/>
        <v>0</v>
      </c>
      <c r="DG293" s="6">
        <f t="shared" si="379"/>
        <v>0</v>
      </c>
      <c r="DH293" s="6">
        <v>0</v>
      </c>
      <c r="DI293" s="6">
        <f t="shared" si="380"/>
        <v>0</v>
      </c>
      <c r="DJ293" s="6">
        <f t="shared" si="381"/>
        <v>0</v>
      </c>
      <c r="DK293" s="6">
        <v>0</v>
      </c>
      <c r="DL293" s="6">
        <f t="shared" si="382"/>
        <v>0</v>
      </c>
      <c r="DM293" s="6">
        <f t="shared" si="383"/>
        <v>0</v>
      </c>
      <c r="DN293" s="6">
        <v>0</v>
      </c>
      <c r="DO293" s="6">
        <f t="shared" si="384"/>
        <v>0</v>
      </c>
      <c r="DP293" s="6">
        <f t="shared" si="385"/>
        <v>0</v>
      </c>
    </row>
    <row r="294" spans="1:120" x14ac:dyDescent="0.2">
      <c r="A294" s="21">
        <v>85</v>
      </c>
      <c r="B294" s="21" t="s">
        <v>612</v>
      </c>
      <c r="C294" s="21">
        <v>85001</v>
      </c>
      <c r="D294" s="21" t="s">
        <v>698</v>
      </c>
      <c r="E294" s="21" t="s">
        <v>611</v>
      </c>
      <c r="F294" s="22" t="s">
        <v>662</v>
      </c>
      <c r="G294" s="4" t="s">
        <v>406</v>
      </c>
      <c r="H294" s="6">
        <v>55137.68</v>
      </c>
      <c r="I294" s="6">
        <f t="shared" si="389"/>
        <v>151.06213698630137</v>
      </c>
      <c r="J294" s="6">
        <v>45718.918400000002</v>
      </c>
      <c r="K294" s="6">
        <v>48343.48</v>
      </c>
      <c r="L294" s="6">
        <f t="shared" si="391"/>
        <v>132.08601092896177</v>
      </c>
      <c r="M294" s="6">
        <v>64365.684300000001</v>
      </c>
      <c r="N294" s="6">
        <v>43366.62</v>
      </c>
      <c r="O294" s="6">
        <f t="shared" si="392"/>
        <v>118.81265753424658</v>
      </c>
      <c r="P294" s="6">
        <v>74611.303700000004</v>
      </c>
      <c r="Q294" s="6">
        <v>14864.95</v>
      </c>
      <c r="R294" s="6">
        <f t="shared" si="393"/>
        <v>82.126795580110496</v>
      </c>
      <c r="S294" s="6">
        <v>48147.523399999998</v>
      </c>
      <c r="T294" s="6">
        <f t="shared" si="318"/>
        <v>48147.523399999998</v>
      </c>
      <c r="U294" s="6">
        <f t="shared" si="319"/>
        <v>131.91102301369864</v>
      </c>
      <c r="V294" s="6">
        <v>38277.839099999997</v>
      </c>
      <c r="W294" s="6">
        <f t="shared" si="320"/>
        <v>38277.839099999997</v>
      </c>
      <c r="X294" s="6">
        <f t="shared" si="321"/>
        <v>104.87079205479451</v>
      </c>
      <c r="Y294" s="6">
        <v>13801.684300000001</v>
      </c>
      <c r="Z294" s="6">
        <f t="shared" si="322"/>
        <v>13801.684300000001</v>
      </c>
      <c r="AA294" s="6">
        <f t="shared" si="323"/>
        <v>37.812833698630136</v>
      </c>
      <c r="AB294" s="6">
        <v>0</v>
      </c>
      <c r="AC294" s="6">
        <f t="shared" si="324"/>
        <v>0</v>
      </c>
      <c r="AD294" s="6">
        <f t="shared" si="325"/>
        <v>0</v>
      </c>
      <c r="AE294" s="6">
        <v>0</v>
      </c>
      <c r="AF294" s="6">
        <f t="shared" si="326"/>
        <v>0</v>
      </c>
      <c r="AG294" s="6">
        <f t="shared" si="327"/>
        <v>0</v>
      </c>
      <c r="AH294" s="6">
        <v>0</v>
      </c>
      <c r="AI294" s="6">
        <f t="shared" si="328"/>
        <v>0</v>
      </c>
      <c r="AJ294" s="6">
        <f t="shared" si="329"/>
        <v>0</v>
      </c>
      <c r="AK294" s="6">
        <v>0</v>
      </c>
      <c r="AL294" s="6">
        <f t="shared" si="330"/>
        <v>0</v>
      </c>
      <c r="AM294" s="6">
        <f t="shared" si="331"/>
        <v>0</v>
      </c>
      <c r="AN294" s="6">
        <v>0</v>
      </c>
      <c r="AO294" s="6">
        <f t="shared" si="332"/>
        <v>0</v>
      </c>
      <c r="AP294" s="6">
        <f t="shared" si="333"/>
        <v>0</v>
      </c>
      <c r="AQ294" s="6">
        <v>0</v>
      </c>
      <c r="AR294" s="6">
        <f t="shared" si="334"/>
        <v>0</v>
      </c>
      <c r="AS294" s="6">
        <f t="shared" si="335"/>
        <v>0</v>
      </c>
      <c r="AT294" s="6">
        <v>0</v>
      </c>
      <c r="AU294" s="6">
        <f t="shared" si="336"/>
        <v>0</v>
      </c>
      <c r="AV294" s="6">
        <f t="shared" si="337"/>
        <v>0</v>
      </c>
      <c r="AW294" s="6">
        <v>0</v>
      </c>
      <c r="AX294" s="6">
        <f t="shared" si="338"/>
        <v>0</v>
      </c>
      <c r="AY294" s="6">
        <f t="shared" si="339"/>
        <v>0</v>
      </c>
      <c r="AZ294" s="6">
        <v>0</v>
      </c>
      <c r="BA294" s="6">
        <f t="shared" si="340"/>
        <v>0</v>
      </c>
      <c r="BB294" s="6">
        <f t="shared" si="341"/>
        <v>0</v>
      </c>
      <c r="BC294" s="6">
        <v>0</v>
      </c>
      <c r="BD294" s="6">
        <f t="shared" si="342"/>
        <v>0</v>
      </c>
      <c r="BE294" s="6">
        <f t="shared" si="343"/>
        <v>0</v>
      </c>
      <c r="BF294" s="6">
        <v>0</v>
      </c>
      <c r="BG294" s="6">
        <f t="shared" si="344"/>
        <v>0</v>
      </c>
      <c r="BH294" s="6">
        <f t="shared" si="345"/>
        <v>0</v>
      </c>
      <c r="BI294" s="6">
        <v>0</v>
      </c>
      <c r="BJ294" s="6">
        <f t="shared" si="346"/>
        <v>0</v>
      </c>
      <c r="BK294" s="6">
        <f t="shared" si="347"/>
        <v>0</v>
      </c>
      <c r="BL294" s="6">
        <v>0</v>
      </c>
      <c r="BM294" s="6">
        <f t="shared" si="348"/>
        <v>0</v>
      </c>
      <c r="BN294" s="6">
        <f t="shared" si="349"/>
        <v>0</v>
      </c>
      <c r="BO294" s="6">
        <v>0</v>
      </c>
      <c r="BP294" s="6">
        <f t="shared" si="350"/>
        <v>0</v>
      </c>
      <c r="BQ294" s="6">
        <f t="shared" si="351"/>
        <v>0</v>
      </c>
      <c r="BR294" s="6">
        <v>0</v>
      </c>
      <c r="BS294" s="6">
        <f t="shared" si="352"/>
        <v>0</v>
      </c>
      <c r="BT294" s="6">
        <f t="shared" si="353"/>
        <v>0</v>
      </c>
      <c r="BU294" s="6">
        <v>0</v>
      </c>
      <c r="BV294" s="6">
        <f t="shared" si="354"/>
        <v>0</v>
      </c>
      <c r="BW294" s="6">
        <f t="shared" si="355"/>
        <v>0</v>
      </c>
      <c r="BX294" s="6">
        <v>0</v>
      </c>
      <c r="BY294" s="6">
        <f t="shared" si="356"/>
        <v>0</v>
      </c>
      <c r="BZ294" s="6">
        <f t="shared" si="357"/>
        <v>0</v>
      </c>
      <c r="CA294" s="6">
        <v>0</v>
      </c>
      <c r="CB294" s="6">
        <f t="shared" si="358"/>
        <v>0</v>
      </c>
      <c r="CC294" s="6">
        <f t="shared" si="359"/>
        <v>0</v>
      </c>
      <c r="CD294" s="6">
        <v>0</v>
      </c>
      <c r="CE294" s="6">
        <f t="shared" si="360"/>
        <v>0</v>
      </c>
      <c r="CF294" s="6">
        <f t="shared" si="361"/>
        <v>0</v>
      </c>
      <c r="CG294" s="6">
        <v>0</v>
      </c>
      <c r="CH294" s="6">
        <f t="shared" si="362"/>
        <v>0</v>
      </c>
      <c r="CI294" s="6">
        <f t="shared" si="363"/>
        <v>0</v>
      </c>
      <c r="CJ294" s="6">
        <v>0</v>
      </c>
      <c r="CK294" s="6">
        <f t="shared" si="364"/>
        <v>0</v>
      </c>
      <c r="CL294" s="6">
        <f t="shared" si="365"/>
        <v>0</v>
      </c>
      <c r="CM294" s="6">
        <v>0</v>
      </c>
      <c r="CN294" s="6">
        <f t="shared" si="366"/>
        <v>0</v>
      </c>
      <c r="CO294" s="6">
        <f t="shared" si="367"/>
        <v>0</v>
      </c>
      <c r="CP294" s="6">
        <v>0</v>
      </c>
      <c r="CQ294" s="6">
        <f t="shared" si="368"/>
        <v>0</v>
      </c>
      <c r="CR294" s="6">
        <f t="shared" si="369"/>
        <v>0</v>
      </c>
      <c r="CS294" s="6">
        <v>0</v>
      </c>
      <c r="CT294" s="6">
        <f t="shared" si="370"/>
        <v>0</v>
      </c>
      <c r="CU294" s="6">
        <f t="shared" si="371"/>
        <v>0</v>
      </c>
      <c r="CV294" s="6">
        <v>0</v>
      </c>
      <c r="CW294" s="6">
        <f t="shared" si="372"/>
        <v>0</v>
      </c>
      <c r="CX294" s="6">
        <f t="shared" si="373"/>
        <v>0</v>
      </c>
      <c r="CY294" s="6">
        <v>0</v>
      </c>
      <c r="CZ294" s="6">
        <f t="shared" si="374"/>
        <v>0</v>
      </c>
      <c r="DA294" s="6">
        <f t="shared" si="375"/>
        <v>0</v>
      </c>
      <c r="DB294" s="6">
        <v>0</v>
      </c>
      <c r="DC294" s="6">
        <f t="shared" si="376"/>
        <v>0</v>
      </c>
      <c r="DD294" s="6">
        <f t="shared" si="377"/>
        <v>0</v>
      </c>
      <c r="DE294" s="6">
        <v>0</v>
      </c>
      <c r="DF294" s="6">
        <f t="shared" si="378"/>
        <v>0</v>
      </c>
      <c r="DG294" s="6">
        <f t="shared" si="379"/>
        <v>0</v>
      </c>
      <c r="DH294" s="6">
        <v>0</v>
      </c>
      <c r="DI294" s="6">
        <f t="shared" si="380"/>
        <v>0</v>
      </c>
      <c r="DJ294" s="6">
        <f t="shared" si="381"/>
        <v>0</v>
      </c>
      <c r="DK294" s="6">
        <v>0</v>
      </c>
      <c r="DL294" s="6">
        <f t="shared" si="382"/>
        <v>0</v>
      </c>
      <c r="DM294" s="6">
        <f t="shared" si="383"/>
        <v>0</v>
      </c>
      <c r="DN294" s="6">
        <v>0</v>
      </c>
      <c r="DO294" s="6">
        <f t="shared" si="384"/>
        <v>0</v>
      </c>
      <c r="DP294" s="6">
        <f t="shared" si="385"/>
        <v>0</v>
      </c>
    </row>
    <row r="295" spans="1:120" x14ac:dyDescent="0.2">
      <c r="A295" s="21">
        <v>73</v>
      </c>
      <c r="B295" s="21" t="s">
        <v>582</v>
      </c>
      <c r="C295" s="21">
        <v>73504</v>
      </c>
      <c r="D295" s="21" t="s">
        <v>331</v>
      </c>
      <c r="E295" s="21" t="s">
        <v>575</v>
      </c>
      <c r="F295" s="22" t="s">
        <v>666</v>
      </c>
      <c r="G295" s="4" t="s">
        <v>407</v>
      </c>
      <c r="H295" s="6">
        <v>88606.25</v>
      </c>
      <c r="I295" s="6">
        <f t="shared" si="389"/>
        <v>242.75684931506851</v>
      </c>
      <c r="J295" s="6">
        <v>73955</v>
      </c>
      <c r="K295" s="6">
        <v>89666.08</v>
      </c>
      <c r="L295" s="6">
        <f t="shared" si="391"/>
        <v>244.98928961748635</v>
      </c>
      <c r="M295" s="6">
        <v>58992</v>
      </c>
      <c r="N295" s="6">
        <v>89381.27</v>
      </c>
      <c r="O295" s="6">
        <f t="shared" si="392"/>
        <v>244.88019178082192</v>
      </c>
      <c r="P295" s="6">
        <v>0</v>
      </c>
      <c r="Q295" s="6">
        <v>45752.74</v>
      </c>
      <c r="R295" s="6">
        <f t="shared" si="393"/>
        <v>252.77756906077346</v>
      </c>
      <c r="S295" s="6">
        <v>0</v>
      </c>
      <c r="T295" s="6">
        <f t="shared" si="318"/>
        <v>0</v>
      </c>
      <c r="U295" s="6">
        <f t="shared" si="319"/>
        <v>0</v>
      </c>
      <c r="V295" s="6">
        <v>0</v>
      </c>
      <c r="W295" s="6">
        <f t="shared" si="320"/>
        <v>0</v>
      </c>
      <c r="X295" s="6">
        <f t="shared" si="321"/>
        <v>0</v>
      </c>
      <c r="Y295" s="6">
        <v>0</v>
      </c>
      <c r="Z295" s="6">
        <f t="shared" si="322"/>
        <v>0</v>
      </c>
      <c r="AA295" s="6">
        <f t="shared" si="323"/>
        <v>0</v>
      </c>
      <c r="AB295" s="6">
        <v>0</v>
      </c>
      <c r="AC295" s="6">
        <f t="shared" si="324"/>
        <v>0</v>
      </c>
      <c r="AD295" s="6">
        <f t="shared" si="325"/>
        <v>0</v>
      </c>
      <c r="AE295" s="6">
        <v>0</v>
      </c>
      <c r="AF295" s="6">
        <f t="shared" si="326"/>
        <v>0</v>
      </c>
      <c r="AG295" s="6">
        <f t="shared" si="327"/>
        <v>0</v>
      </c>
      <c r="AH295" s="6">
        <v>0</v>
      </c>
      <c r="AI295" s="6">
        <f t="shared" si="328"/>
        <v>0</v>
      </c>
      <c r="AJ295" s="6">
        <f t="shared" si="329"/>
        <v>0</v>
      </c>
      <c r="AK295" s="6">
        <v>0</v>
      </c>
      <c r="AL295" s="6">
        <f t="shared" si="330"/>
        <v>0</v>
      </c>
      <c r="AM295" s="6">
        <f t="shared" si="331"/>
        <v>0</v>
      </c>
      <c r="AN295" s="6">
        <v>0</v>
      </c>
      <c r="AO295" s="6">
        <f t="shared" si="332"/>
        <v>0</v>
      </c>
      <c r="AP295" s="6">
        <f t="shared" si="333"/>
        <v>0</v>
      </c>
      <c r="AQ295" s="6">
        <v>0</v>
      </c>
      <c r="AR295" s="6">
        <f t="shared" si="334"/>
        <v>0</v>
      </c>
      <c r="AS295" s="6">
        <f t="shared" si="335"/>
        <v>0</v>
      </c>
      <c r="AT295" s="6">
        <v>0</v>
      </c>
      <c r="AU295" s="6">
        <f t="shared" si="336"/>
        <v>0</v>
      </c>
      <c r="AV295" s="6">
        <f t="shared" si="337"/>
        <v>0</v>
      </c>
      <c r="AW295" s="6">
        <v>0</v>
      </c>
      <c r="AX295" s="6">
        <f t="shared" si="338"/>
        <v>0</v>
      </c>
      <c r="AY295" s="6">
        <f t="shared" si="339"/>
        <v>0</v>
      </c>
      <c r="AZ295" s="6">
        <v>0</v>
      </c>
      <c r="BA295" s="6">
        <f t="shared" si="340"/>
        <v>0</v>
      </c>
      <c r="BB295" s="6">
        <f t="shared" si="341"/>
        <v>0</v>
      </c>
      <c r="BC295" s="6">
        <v>0</v>
      </c>
      <c r="BD295" s="6">
        <f t="shared" si="342"/>
        <v>0</v>
      </c>
      <c r="BE295" s="6">
        <f t="shared" si="343"/>
        <v>0</v>
      </c>
      <c r="BF295" s="6">
        <v>0</v>
      </c>
      <c r="BG295" s="6">
        <f t="shared" si="344"/>
        <v>0</v>
      </c>
      <c r="BH295" s="6">
        <f t="shared" si="345"/>
        <v>0</v>
      </c>
      <c r="BI295" s="6">
        <v>0</v>
      </c>
      <c r="BJ295" s="6">
        <f t="shared" si="346"/>
        <v>0</v>
      </c>
      <c r="BK295" s="6">
        <f t="shared" si="347"/>
        <v>0</v>
      </c>
      <c r="BL295" s="6">
        <v>0</v>
      </c>
      <c r="BM295" s="6">
        <f t="shared" si="348"/>
        <v>0</v>
      </c>
      <c r="BN295" s="6">
        <f t="shared" si="349"/>
        <v>0</v>
      </c>
      <c r="BO295" s="6">
        <v>0</v>
      </c>
      <c r="BP295" s="6">
        <f t="shared" si="350"/>
        <v>0</v>
      </c>
      <c r="BQ295" s="6">
        <f t="shared" si="351"/>
        <v>0</v>
      </c>
      <c r="BR295" s="6">
        <v>0</v>
      </c>
      <c r="BS295" s="6">
        <f t="shared" si="352"/>
        <v>0</v>
      </c>
      <c r="BT295" s="6">
        <f t="shared" si="353"/>
        <v>0</v>
      </c>
      <c r="BU295" s="6">
        <v>0</v>
      </c>
      <c r="BV295" s="6">
        <f t="shared" si="354"/>
        <v>0</v>
      </c>
      <c r="BW295" s="6">
        <f t="shared" si="355"/>
        <v>0</v>
      </c>
      <c r="BX295" s="6">
        <v>0</v>
      </c>
      <c r="BY295" s="6">
        <f t="shared" si="356"/>
        <v>0</v>
      </c>
      <c r="BZ295" s="6">
        <f t="shared" si="357"/>
        <v>0</v>
      </c>
      <c r="CA295" s="6">
        <v>0</v>
      </c>
      <c r="CB295" s="6">
        <f t="shared" si="358"/>
        <v>0</v>
      </c>
      <c r="CC295" s="6">
        <f t="shared" si="359"/>
        <v>0</v>
      </c>
      <c r="CD295" s="6">
        <v>0</v>
      </c>
      <c r="CE295" s="6">
        <f t="shared" si="360"/>
        <v>0</v>
      </c>
      <c r="CF295" s="6">
        <f t="shared" si="361"/>
        <v>0</v>
      </c>
      <c r="CG295" s="6">
        <v>0</v>
      </c>
      <c r="CH295" s="6">
        <f t="shared" si="362"/>
        <v>0</v>
      </c>
      <c r="CI295" s="6">
        <f t="shared" si="363"/>
        <v>0</v>
      </c>
      <c r="CJ295" s="6">
        <v>0</v>
      </c>
      <c r="CK295" s="6">
        <f t="shared" si="364"/>
        <v>0</v>
      </c>
      <c r="CL295" s="6">
        <f t="shared" si="365"/>
        <v>0</v>
      </c>
      <c r="CM295" s="6">
        <v>0</v>
      </c>
      <c r="CN295" s="6">
        <f t="shared" si="366"/>
        <v>0</v>
      </c>
      <c r="CO295" s="6">
        <f t="shared" si="367"/>
        <v>0</v>
      </c>
      <c r="CP295" s="6">
        <v>0</v>
      </c>
      <c r="CQ295" s="6">
        <f t="shared" si="368"/>
        <v>0</v>
      </c>
      <c r="CR295" s="6">
        <f t="shared" si="369"/>
        <v>0</v>
      </c>
      <c r="CS295" s="6">
        <v>0</v>
      </c>
      <c r="CT295" s="6">
        <f t="shared" si="370"/>
        <v>0</v>
      </c>
      <c r="CU295" s="6">
        <f t="shared" si="371"/>
        <v>0</v>
      </c>
      <c r="CV295" s="6">
        <v>0</v>
      </c>
      <c r="CW295" s="6">
        <f t="shared" si="372"/>
        <v>0</v>
      </c>
      <c r="CX295" s="6">
        <f t="shared" si="373"/>
        <v>0</v>
      </c>
      <c r="CY295" s="6">
        <v>0</v>
      </c>
      <c r="CZ295" s="6">
        <f t="shared" si="374"/>
        <v>0</v>
      </c>
      <c r="DA295" s="6">
        <f t="shared" si="375"/>
        <v>0</v>
      </c>
      <c r="DB295" s="6">
        <v>0</v>
      </c>
      <c r="DC295" s="6">
        <f t="shared" si="376"/>
        <v>0</v>
      </c>
      <c r="DD295" s="6">
        <f t="shared" si="377"/>
        <v>0</v>
      </c>
      <c r="DE295" s="6">
        <v>0</v>
      </c>
      <c r="DF295" s="6">
        <f t="shared" si="378"/>
        <v>0</v>
      </c>
      <c r="DG295" s="6">
        <f t="shared" si="379"/>
        <v>0</v>
      </c>
      <c r="DH295" s="6">
        <v>0</v>
      </c>
      <c r="DI295" s="6">
        <f t="shared" si="380"/>
        <v>0</v>
      </c>
      <c r="DJ295" s="6">
        <f t="shared" si="381"/>
        <v>0</v>
      </c>
      <c r="DK295" s="6">
        <v>0</v>
      </c>
      <c r="DL295" s="6">
        <f t="shared" si="382"/>
        <v>0</v>
      </c>
      <c r="DM295" s="6">
        <f t="shared" si="383"/>
        <v>0</v>
      </c>
      <c r="DN295" s="6">
        <v>0</v>
      </c>
      <c r="DO295" s="6">
        <f t="shared" si="384"/>
        <v>0</v>
      </c>
      <c r="DP295" s="6">
        <f t="shared" si="385"/>
        <v>0</v>
      </c>
    </row>
    <row r="296" spans="1:120" x14ac:dyDescent="0.2">
      <c r="A296" s="21">
        <v>73</v>
      </c>
      <c r="B296" s="21" t="s">
        <v>582</v>
      </c>
      <c r="C296" s="21">
        <v>73547</v>
      </c>
      <c r="D296" s="21" t="s">
        <v>678</v>
      </c>
      <c r="E296" s="21" t="s">
        <v>575</v>
      </c>
      <c r="F296" s="22" t="s">
        <v>666</v>
      </c>
      <c r="G296" s="4" t="s">
        <v>408</v>
      </c>
      <c r="H296" s="6">
        <v>114078.69</v>
      </c>
      <c r="I296" s="6">
        <f t="shared" si="389"/>
        <v>312.54435616438354</v>
      </c>
      <c r="J296" s="6">
        <v>119843</v>
      </c>
      <c r="K296" s="6">
        <v>92846.41</v>
      </c>
      <c r="L296" s="6">
        <f t="shared" si="391"/>
        <v>253.67871584699455</v>
      </c>
      <c r="M296" s="6">
        <v>108255</v>
      </c>
      <c r="N296" s="6">
        <v>86103.92</v>
      </c>
      <c r="O296" s="6">
        <f t="shared" si="392"/>
        <v>235.90115068493151</v>
      </c>
      <c r="P296" s="6">
        <v>99144</v>
      </c>
      <c r="Q296" s="6">
        <v>35008.19</v>
      </c>
      <c r="R296" s="6">
        <f t="shared" si="393"/>
        <v>193.4154143646409</v>
      </c>
      <c r="S296" s="6">
        <v>90899</v>
      </c>
      <c r="T296" s="6">
        <f t="shared" si="318"/>
        <v>90899</v>
      </c>
      <c r="U296" s="6">
        <f t="shared" si="319"/>
        <v>249.03835616438357</v>
      </c>
      <c r="V296" s="6">
        <v>83652</v>
      </c>
      <c r="W296" s="6">
        <f t="shared" si="320"/>
        <v>83652</v>
      </c>
      <c r="X296" s="6">
        <f t="shared" si="321"/>
        <v>229.18356164383562</v>
      </c>
      <c r="Y296" s="6">
        <v>76900</v>
      </c>
      <c r="Z296" s="6">
        <f t="shared" si="322"/>
        <v>76900</v>
      </c>
      <c r="AA296" s="6">
        <f t="shared" si="323"/>
        <v>210.68493150684932</v>
      </c>
      <c r="AB296" s="6">
        <v>71016</v>
      </c>
      <c r="AC296" s="6">
        <f t="shared" si="324"/>
        <v>71016</v>
      </c>
      <c r="AD296" s="6">
        <f t="shared" si="325"/>
        <v>194.56438356164384</v>
      </c>
      <c r="AE296" s="6">
        <v>65670</v>
      </c>
      <c r="AF296" s="6">
        <f t="shared" si="326"/>
        <v>65670</v>
      </c>
      <c r="AG296" s="6">
        <f t="shared" si="327"/>
        <v>179.91780821917808</v>
      </c>
      <c r="AH296" s="6">
        <v>60983</v>
      </c>
      <c r="AI296" s="6">
        <f t="shared" si="328"/>
        <v>60983</v>
      </c>
      <c r="AJ296" s="6">
        <f t="shared" si="329"/>
        <v>167.07671232876712</v>
      </c>
      <c r="AK296" s="6">
        <v>56394</v>
      </c>
      <c r="AL296" s="6">
        <f t="shared" si="330"/>
        <v>56394</v>
      </c>
      <c r="AM296" s="6">
        <f t="shared" si="331"/>
        <v>154.50410958904109</v>
      </c>
      <c r="AN296" s="6">
        <v>52249</v>
      </c>
      <c r="AO296" s="6">
        <f t="shared" si="332"/>
        <v>52249</v>
      </c>
      <c r="AP296" s="6">
        <f t="shared" si="333"/>
        <v>143.14794520547946</v>
      </c>
      <c r="AQ296" s="6">
        <v>48356</v>
      </c>
      <c r="AR296" s="6">
        <f t="shared" si="334"/>
        <v>48356</v>
      </c>
      <c r="AS296" s="6">
        <f t="shared" si="335"/>
        <v>132.48219178082192</v>
      </c>
      <c r="AT296" s="6">
        <v>45010</v>
      </c>
      <c r="AU296" s="6">
        <f t="shared" si="336"/>
        <v>45010</v>
      </c>
      <c r="AV296" s="6">
        <f t="shared" si="337"/>
        <v>123.31506849315069</v>
      </c>
      <c r="AW296" s="6">
        <v>0</v>
      </c>
      <c r="AX296" s="6">
        <f t="shared" si="338"/>
        <v>0</v>
      </c>
      <c r="AY296" s="6">
        <f t="shared" si="339"/>
        <v>0</v>
      </c>
      <c r="AZ296" s="6">
        <v>0</v>
      </c>
      <c r="BA296" s="6">
        <f t="shared" si="340"/>
        <v>0</v>
      </c>
      <c r="BB296" s="6">
        <f t="shared" si="341"/>
        <v>0</v>
      </c>
      <c r="BC296" s="6">
        <v>0</v>
      </c>
      <c r="BD296" s="6">
        <f t="shared" si="342"/>
        <v>0</v>
      </c>
      <c r="BE296" s="6">
        <f t="shared" si="343"/>
        <v>0</v>
      </c>
      <c r="BF296" s="6">
        <v>0</v>
      </c>
      <c r="BG296" s="6">
        <f t="shared" si="344"/>
        <v>0</v>
      </c>
      <c r="BH296" s="6">
        <f t="shared" si="345"/>
        <v>0</v>
      </c>
      <c r="BI296" s="6">
        <v>0</v>
      </c>
      <c r="BJ296" s="6">
        <f t="shared" si="346"/>
        <v>0</v>
      </c>
      <c r="BK296" s="6">
        <f t="shared" si="347"/>
        <v>0</v>
      </c>
      <c r="BL296" s="6">
        <v>0</v>
      </c>
      <c r="BM296" s="6">
        <f t="shared" si="348"/>
        <v>0</v>
      </c>
      <c r="BN296" s="6">
        <f t="shared" si="349"/>
        <v>0</v>
      </c>
      <c r="BO296" s="6">
        <v>0</v>
      </c>
      <c r="BP296" s="6">
        <f t="shared" si="350"/>
        <v>0</v>
      </c>
      <c r="BQ296" s="6">
        <f t="shared" si="351"/>
        <v>0</v>
      </c>
      <c r="BR296" s="6">
        <v>0</v>
      </c>
      <c r="BS296" s="6">
        <f t="shared" si="352"/>
        <v>0</v>
      </c>
      <c r="BT296" s="6">
        <f t="shared" si="353"/>
        <v>0</v>
      </c>
      <c r="BU296" s="6">
        <v>0</v>
      </c>
      <c r="BV296" s="6">
        <f t="shared" si="354"/>
        <v>0</v>
      </c>
      <c r="BW296" s="6">
        <f t="shared" si="355"/>
        <v>0</v>
      </c>
      <c r="BX296" s="6">
        <v>0</v>
      </c>
      <c r="BY296" s="6">
        <f t="shared" si="356"/>
        <v>0</v>
      </c>
      <c r="BZ296" s="6">
        <f t="shared" si="357"/>
        <v>0</v>
      </c>
      <c r="CA296" s="6">
        <v>0</v>
      </c>
      <c r="CB296" s="6">
        <f t="shared" si="358"/>
        <v>0</v>
      </c>
      <c r="CC296" s="6">
        <f t="shared" si="359"/>
        <v>0</v>
      </c>
      <c r="CD296" s="6">
        <v>0</v>
      </c>
      <c r="CE296" s="6">
        <f t="shared" si="360"/>
        <v>0</v>
      </c>
      <c r="CF296" s="6">
        <f t="shared" si="361"/>
        <v>0</v>
      </c>
      <c r="CG296" s="6">
        <v>0</v>
      </c>
      <c r="CH296" s="6">
        <f t="shared" si="362"/>
        <v>0</v>
      </c>
      <c r="CI296" s="6">
        <f t="shared" si="363"/>
        <v>0</v>
      </c>
      <c r="CJ296" s="6">
        <v>0</v>
      </c>
      <c r="CK296" s="6">
        <f t="shared" si="364"/>
        <v>0</v>
      </c>
      <c r="CL296" s="6">
        <f t="shared" si="365"/>
        <v>0</v>
      </c>
      <c r="CM296" s="6">
        <v>0</v>
      </c>
      <c r="CN296" s="6">
        <f t="shared" si="366"/>
        <v>0</v>
      </c>
      <c r="CO296" s="6">
        <f t="shared" si="367"/>
        <v>0</v>
      </c>
      <c r="CP296" s="6">
        <v>0</v>
      </c>
      <c r="CQ296" s="6">
        <f t="shared" si="368"/>
        <v>0</v>
      </c>
      <c r="CR296" s="6">
        <f t="shared" si="369"/>
        <v>0</v>
      </c>
      <c r="CS296" s="6">
        <v>0</v>
      </c>
      <c r="CT296" s="6">
        <f t="shared" si="370"/>
        <v>0</v>
      </c>
      <c r="CU296" s="6">
        <f t="shared" si="371"/>
        <v>0</v>
      </c>
      <c r="CV296" s="6">
        <v>0</v>
      </c>
      <c r="CW296" s="6">
        <f t="shared" si="372"/>
        <v>0</v>
      </c>
      <c r="CX296" s="6">
        <f t="shared" si="373"/>
        <v>0</v>
      </c>
      <c r="CY296" s="6">
        <v>0</v>
      </c>
      <c r="CZ296" s="6">
        <f t="shared" si="374"/>
        <v>0</v>
      </c>
      <c r="DA296" s="6">
        <f t="shared" si="375"/>
        <v>0</v>
      </c>
      <c r="DB296" s="6">
        <v>0</v>
      </c>
      <c r="DC296" s="6">
        <f t="shared" si="376"/>
        <v>0</v>
      </c>
      <c r="DD296" s="6">
        <f t="shared" si="377"/>
        <v>0</v>
      </c>
      <c r="DE296" s="6">
        <v>0</v>
      </c>
      <c r="DF296" s="6">
        <f t="shared" si="378"/>
        <v>0</v>
      </c>
      <c r="DG296" s="6">
        <f t="shared" si="379"/>
        <v>0</v>
      </c>
      <c r="DH296" s="6">
        <v>0</v>
      </c>
      <c r="DI296" s="6">
        <f t="shared" si="380"/>
        <v>0</v>
      </c>
      <c r="DJ296" s="6">
        <f t="shared" si="381"/>
        <v>0</v>
      </c>
      <c r="DK296" s="6">
        <v>0</v>
      </c>
      <c r="DL296" s="6">
        <f t="shared" si="382"/>
        <v>0</v>
      </c>
      <c r="DM296" s="6">
        <f t="shared" si="383"/>
        <v>0</v>
      </c>
      <c r="DN296" s="6">
        <v>0</v>
      </c>
      <c r="DO296" s="6">
        <f t="shared" si="384"/>
        <v>0</v>
      </c>
      <c r="DP296" s="6">
        <f t="shared" si="385"/>
        <v>0</v>
      </c>
    </row>
    <row r="297" spans="1:120" x14ac:dyDescent="0.2">
      <c r="A297" s="21">
        <v>50</v>
      </c>
      <c r="B297" s="21" t="s">
        <v>675</v>
      </c>
      <c r="C297" s="21">
        <v>50568</v>
      </c>
      <c r="D297" s="21" t="s">
        <v>700</v>
      </c>
      <c r="E297" s="21" t="s">
        <v>699</v>
      </c>
      <c r="F297" s="22" t="s">
        <v>659</v>
      </c>
      <c r="G297" s="4" t="s">
        <v>409</v>
      </c>
      <c r="H297" s="6">
        <v>66816.12</v>
      </c>
      <c r="I297" s="6">
        <f t="shared" si="389"/>
        <v>183.05786301369861</v>
      </c>
      <c r="J297" s="6">
        <v>64109.393400000001</v>
      </c>
      <c r="K297" s="6">
        <v>77642.649999999994</v>
      </c>
      <c r="L297" s="6">
        <f t="shared" si="391"/>
        <v>212.13838797814205</v>
      </c>
      <c r="M297" s="6">
        <v>54377.976799999997</v>
      </c>
      <c r="N297" s="6">
        <v>75658.2</v>
      </c>
      <c r="O297" s="6">
        <f t="shared" si="392"/>
        <v>207.28273972602739</v>
      </c>
      <c r="P297" s="6">
        <v>46448.022599999997</v>
      </c>
      <c r="Q297" s="6">
        <v>42967.31</v>
      </c>
      <c r="R297" s="6">
        <f t="shared" si="393"/>
        <v>237.38845303867402</v>
      </c>
      <c r="S297" s="6">
        <v>39826.6031</v>
      </c>
      <c r="T297" s="6">
        <f t="shared" si="318"/>
        <v>39826.6031</v>
      </c>
      <c r="U297" s="6">
        <f t="shared" si="319"/>
        <v>109.11398109589041</v>
      </c>
      <c r="V297" s="6">
        <v>34360.292999999998</v>
      </c>
      <c r="W297" s="6">
        <f t="shared" si="320"/>
        <v>34360.292999999998</v>
      </c>
      <c r="X297" s="6">
        <f t="shared" si="321"/>
        <v>94.137789041095886</v>
      </c>
      <c r="Y297" s="6">
        <v>7698.7530999999999</v>
      </c>
      <c r="Z297" s="6">
        <f t="shared" si="322"/>
        <v>7698.7530999999999</v>
      </c>
      <c r="AA297" s="6">
        <f t="shared" si="323"/>
        <v>21.092474246575343</v>
      </c>
      <c r="AB297" s="6">
        <v>0</v>
      </c>
      <c r="AC297" s="6">
        <f t="shared" si="324"/>
        <v>0</v>
      </c>
      <c r="AD297" s="6">
        <f t="shared" si="325"/>
        <v>0</v>
      </c>
      <c r="AE297" s="6">
        <v>0</v>
      </c>
      <c r="AF297" s="6">
        <f t="shared" si="326"/>
        <v>0</v>
      </c>
      <c r="AG297" s="6">
        <f t="shared" si="327"/>
        <v>0</v>
      </c>
      <c r="AH297" s="6">
        <v>0</v>
      </c>
      <c r="AI297" s="6">
        <f t="shared" si="328"/>
        <v>0</v>
      </c>
      <c r="AJ297" s="6">
        <f t="shared" si="329"/>
        <v>0</v>
      </c>
      <c r="AK297" s="6">
        <v>0</v>
      </c>
      <c r="AL297" s="6">
        <f t="shared" si="330"/>
        <v>0</v>
      </c>
      <c r="AM297" s="6">
        <f t="shared" si="331"/>
        <v>0</v>
      </c>
      <c r="AN297" s="6">
        <v>0</v>
      </c>
      <c r="AO297" s="6">
        <f t="shared" si="332"/>
        <v>0</v>
      </c>
      <c r="AP297" s="6">
        <f t="shared" si="333"/>
        <v>0</v>
      </c>
      <c r="AQ297" s="6">
        <v>0</v>
      </c>
      <c r="AR297" s="6">
        <f t="shared" si="334"/>
        <v>0</v>
      </c>
      <c r="AS297" s="6">
        <f t="shared" si="335"/>
        <v>0</v>
      </c>
      <c r="AT297" s="6">
        <v>0</v>
      </c>
      <c r="AU297" s="6">
        <f t="shared" si="336"/>
        <v>0</v>
      </c>
      <c r="AV297" s="6">
        <f t="shared" si="337"/>
        <v>0</v>
      </c>
      <c r="AW297" s="6">
        <v>0</v>
      </c>
      <c r="AX297" s="6">
        <f t="shared" si="338"/>
        <v>0</v>
      </c>
      <c r="AY297" s="6">
        <f t="shared" si="339"/>
        <v>0</v>
      </c>
      <c r="AZ297" s="6">
        <v>0</v>
      </c>
      <c r="BA297" s="6">
        <f t="shared" si="340"/>
        <v>0</v>
      </c>
      <c r="BB297" s="6">
        <f t="shared" si="341"/>
        <v>0</v>
      </c>
      <c r="BC297" s="6">
        <v>0</v>
      </c>
      <c r="BD297" s="6">
        <f t="shared" si="342"/>
        <v>0</v>
      </c>
      <c r="BE297" s="6">
        <f t="shared" si="343"/>
        <v>0</v>
      </c>
      <c r="BF297" s="6">
        <v>0</v>
      </c>
      <c r="BG297" s="6">
        <f t="shared" si="344"/>
        <v>0</v>
      </c>
      <c r="BH297" s="6">
        <f t="shared" si="345"/>
        <v>0</v>
      </c>
      <c r="BI297" s="6">
        <v>0</v>
      </c>
      <c r="BJ297" s="6">
        <f t="shared" si="346"/>
        <v>0</v>
      </c>
      <c r="BK297" s="6">
        <f t="shared" si="347"/>
        <v>0</v>
      </c>
      <c r="BL297" s="6">
        <v>0</v>
      </c>
      <c r="BM297" s="6">
        <f t="shared" si="348"/>
        <v>0</v>
      </c>
      <c r="BN297" s="6">
        <f t="shared" si="349"/>
        <v>0</v>
      </c>
      <c r="BO297" s="6">
        <v>0</v>
      </c>
      <c r="BP297" s="6">
        <f t="shared" si="350"/>
        <v>0</v>
      </c>
      <c r="BQ297" s="6">
        <f t="shared" si="351"/>
        <v>0</v>
      </c>
      <c r="BR297" s="6">
        <v>0</v>
      </c>
      <c r="BS297" s="6">
        <f t="shared" si="352"/>
        <v>0</v>
      </c>
      <c r="BT297" s="6">
        <f t="shared" si="353"/>
        <v>0</v>
      </c>
      <c r="BU297" s="6">
        <v>0</v>
      </c>
      <c r="BV297" s="6">
        <f t="shared" si="354"/>
        <v>0</v>
      </c>
      <c r="BW297" s="6">
        <f t="shared" si="355"/>
        <v>0</v>
      </c>
      <c r="BX297" s="6">
        <v>0</v>
      </c>
      <c r="BY297" s="6">
        <f t="shared" si="356"/>
        <v>0</v>
      </c>
      <c r="BZ297" s="6">
        <f t="shared" si="357"/>
        <v>0</v>
      </c>
      <c r="CA297" s="6">
        <v>0</v>
      </c>
      <c r="CB297" s="6">
        <f t="shared" si="358"/>
        <v>0</v>
      </c>
      <c r="CC297" s="6">
        <f t="shared" si="359"/>
        <v>0</v>
      </c>
      <c r="CD297" s="6">
        <v>0</v>
      </c>
      <c r="CE297" s="6">
        <f t="shared" si="360"/>
        <v>0</v>
      </c>
      <c r="CF297" s="6">
        <f t="shared" si="361"/>
        <v>0</v>
      </c>
      <c r="CG297" s="6">
        <v>0</v>
      </c>
      <c r="CH297" s="6">
        <f t="shared" si="362"/>
        <v>0</v>
      </c>
      <c r="CI297" s="6">
        <f t="shared" si="363"/>
        <v>0</v>
      </c>
      <c r="CJ297" s="6">
        <v>0</v>
      </c>
      <c r="CK297" s="6">
        <f t="shared" si="364"/>
        <v>0</v>
      </c>
      <c r="CL297" s="6">
        <f t="shared" si="365"/>
        <v>0</v>
      </c>
      <c r="CM297" s="6">
        <v>0</v>
      </c>
      <c r="CN297" s="6">
        <f t="shared" si="366"/>
        <v>0</v>
      </c>
      <c r="CO297" s="6">
        <f t="shared" si="367"/>
        <v>0</v>
      </c>
      <c r="CP297" s="6">
        <v>0</v>
      </c>
      <c r="CQ297" s="6">
        <f t="shared" si="368"/>
        <v>0</v>
      </c>
      <c r="CR297" s="6">
        <f t="shared" si="369"/>
        <v>0</v>
      </c>
      <c r="CS297" s="6">
        <v>0</v>
      </c>
      <c r="CT297" s="6">
        <f t="shared" si="370"/>
        <v>0</v>
      </c>
      <c r="CU297" s="6">
        <f t="shared" si="371"/>
        <v>0</v>
      </c>
      <c r="CV297" s="6">
        <v>0</v>
      </c>
      <c r="CW297" s="6">
        <f t="shared" si="372"/>
        <v>0</v>
      </c>
      <c r="CX297" s="6">
        <f t="shared" si="373"/>
        <v>0</v>
      </c>
      <c r="CY297" s="6">
        <v>0</v>
      </c>
      <c r="CZ297" s="6">
        <f t="shared" si="374"/>
        <v>0</v>
      </c>
      <c r="DA297" s="6">
        <f t="shared" si="375"/>
        <v>0</v>
      </c>
      <c r="DB297" s="6">
        <v>0</v>
      </c>
      <c r="DC297" s="6">
        <f t="shared" si="376"/>
        <v>0</v>
      </c>
      <c r="DD297" s="6">
        <f t="shared" si="377"/>
        <v>0</v>
      </c>
      <c r="DE297" s="6">
        <v>0</v>
      </c>
      <c r="DF297" s="6">
        <f t="shared" si="378"/>
        <v>0</v>
      </c>
      <c r="DG297" s="6">
        <f t="shared" si="379"/>
        <v>0</v>
      </c>
      <c r="DH297" s="6">
        <v>0</v>
      </c>
      <c r="DI297" s="6">
        <f t="shared" si="380"/>
        <v>0</v>
      </c>
      <c r="DJ297" s="6">
        <f t="shared" si="381"/>
        <v>0</v>
      </c>
      <c r="DK297" s="6">
        <v>0</v>
      </c>
      <c r="DL297" s="6">
        <f t="shared" si="382"/>
        <v>0</v>
      </c>
      <c r="DM297" s="6">
        <f t="shared" si="383"/>
        <v>0</v>
      </c>
      <c r="DN297" s="6">
        <v>0</v>
      </c>
      <c r="DO297" s="6">
        <f t="shared" si="384"/>
        <v>0</v>
      </c>
      <c r="DP297" s="6">
        <f t="shared" si="385"/>
        <v>0</v>
      </c>
    </row>
    <row r="298" spans="1:120" x14ac:dyDescent="0.2">
      <c r="A298" s="21">
        <v>50</v>
      </c>
      <c r="B298" s="21" t="s">
        <v>675</v>
      </c>
      <c r="C298" s="21">
        <v>50568</v>
      </c>
      <c r="D298" s="21" t="s">
        <v>700</v>
      </c>
      <c r="E298" s="21" t="s">
        <v>699</v>
      </c>
      <c r="F298" s="22" t="s">
        <v>659</v>
      </c>
      <c r="G298" s="4" t="s">
        <v>410</v>
      </c>
      <c r="H298" s="6">
        <v>162869.98000000001</v>
      </c>
      <c r="I298" s="6">
        <f t="shared" si="389"/>
        <v>446.21912328767127</v>
      </c>
      <c r="J298" s="6">
        <v>151382.7439</v>
      </c>
      <c r="K298" s="6">
        <v>158386.96</v>
      </c>
      <c r="L298" s="6">
        <f t="shared" si="391"/>
        <v>432.75125683060105</v>
      </c>
      <c r="M298" s="6">
        <v>141423.42060000001</v>
      </c>
      <c r="N298" s="6">
        <v>146106.04999999999</v>
      </c>
      <c r="O298" s="6">
        <f t="shared" si="392"/>
        <v>400.29054794520545</v>
      </c>
      <c r="P298" s="6">
        <v>126676.16009999999</v>
      </c>
      <c r="Q298" s="6">
        <v>69313.789999999994</v>
      </c>
      <c r="R298" s="6">
        <f t="shared" si="393"/>
        <v>382.94911602209942</v>
      </c>
      <c r="S298" s="6">
        <v>110880.7629</v>
      </c>
      <c r="T298" s="6">
        <f t="shared" si="318"/>
        <v>110880.7629</v>
      </c>
      <c r="U298" s="6">
        <f t="shared" si="319"/>
        <v>303.78291205479451</v>
      </c>
      <c r="V298" s="6">
        <v>97484.971099999995</v>
      </c>
      <c r="W298" s="6">
        <f t="shared" si="320"/>
        <v>97484.971099999995</v>
      </c>
      <c r="X298" s="6">
        <f t="shared" si="321"/>
        <v>267.0821126027397</v>
      </c>
      <c r="Y298" s="6">
        <v>22088.120800000001</v>
      </c>
      <c r="Z298" s="6">
        <f t="shared" si="322"/>
        <v>22088.120800000001</v>
      </c>
      <c r="AA298" s="6">
        <f t="shared" si="323"/>
        <v>60.515399452054794</v>
      </c>
      <c r="AB298" s="6">
        <v>0</v>
      </c>
      <c r="AC298" s="6">
        <f t="shared" si="324"/>
        <v>0</v>
      </c>
      <c r="AD298" s="6">
        <f t="shared" si="325"/>
        <v>0</v>
      </c>
      <c r="AE298" s="6">
        <v>0</v>
      </c>
      <c r="AF298" s="6">
        <f t="shared" si="326"/>
        <v>0</v>
      </c>
      <c r="AG298" s="6">
        <f t="shared" si="327"/>
        <v>0</v>
      </c>
      <c r="AH298" s="6">
        <v>0</v>
      </c>
      <c r="AI298" s="6">
        <f t="shared" si="328"/>
        <v>0</v>
      </c>
      <c r="AJ298" s="6">
        <f t="shared" si="329"/>
        <v>0</v>
      </c>
      <c r="AK298" s="6">
        <v>0</v>
      </c>
      <c r="AL298" s="6">
        <f t="shared" si="330"/>
        <v>0</v>
      </c>
      <c r="AM298" s="6">
        <f t="shared" si="331"/>
        <v>0</v>
      </c>
      <c r="AN298" s="6">
        <v>0</v>
      </c>
      <c r="AO298" s="6">
        <f t="shared" si="332"/>
        <v>0</v>
      </c>
      <c r="AP298" s="6">
        <f t="shared" si="333"/>
        <v>0</v>
      </c>
      <c r="AQ298" s="6">
        <v>0</v>
      </c>
      <c r="AR298" s="6">
        <f t="shared" si="334"/>
        <v>0</v>
      </c>
      <c r="AS298" s="6">
        <f t="shared" si="335"/>
        <v>0</v>
      </c>
      <c r="AT298" s="6">
        <v>0</v>
      </c>
      <c r="AU298" s="6">
        <f t="shared" si="336"/>
        <v>0</v>
      </c>
      <c r="AV298" s="6">
        <f t="shared" si="337"/>
        <v>0</v>
      </c>
      <c r="AW298" s="6">
        <v>0</v>
      </c>
      <c r="AX298" s="6">
        <f t="shared" si="338"/>
        <v>0</v>
      </c>
      <c r="AY298" s="6">
        <f t="shared" si="339"/>
        <v>0</v>
      </c>
      <c r="AZ298" s="6">
        <v>0</v>
      </c>
      <c r="BA298" s="6">
        <f t="shared" si="340"/>
        <v>0</v>
      </c>
      <c r="BB298" s="6">
        <f t="shared" si="341"/>
        <v>0</v>
      </c>
      <c r="BC298" s="6">
        <v>0</v>
      </c>
      <c r="BD298" s="6">
        <f t="shared" si="342"/>
        <v>0</v>
      </c>
      <c r="BE298" s="6">
        <f t="shared" si="343"/>
        <v>0</v>
      </c>
      <c r="BF298" s="6">
        <v>0</v>
      </c>
      <c r="BG298" s="6">
        <f t="shared" si="344"/>
        <v>0</v>
      </c>
      <c r="BH298" s="6">
        <f t="shared" si="345"/>
        <v>0</v>
      </c>
      <c r="BI298" s="6">
        <v>0</v>
      </c>
      <c r="BJ298" s="6">
        <f t="shared" si="346"/>
        <v>0</v>
      </c>
      <c r="BK298" s="6">
        <f t="shared" si="347"/>
        <v>0</v>
      </c>
      <c r="BL298" s="6">
        <v>0</v>
      </c>
      <c r="BM298" s="6">
        <f t="shared" si="348"/>
        <v>0</v>
      </c>
      <c r="BN298" s="6">
        <f t="shared" si="349"/>
        <v>0</v>
      </c>
      <c r="BO298" s="6">
        <v>0</v>
      </c>
      <c r="BP298" s="6">
        <f t="shared" si="350"/>
        <v>0</v>
      </c>
      <c r="BQ298" s="6">
        <f t="shared" si="351"/>
        <v>0</v>
      </c>
      <c r="BR298" s="6">
        <v>0</v>
      </c>
      <c r="BS298" s="6">
        <f t="shared" si="352"/>
        <v>0</v>
      </c>
      <c r="BT298" s="6">
        <f t="shared" si="353"/>
        <v>0</v>
      </c>
      <c r="BU298" s="6">
        <v>0</v>
      </c>
      <c r="BV298" s="6">
        <f t="shared" si="354"/>
        <v>0</v>
      </c>
      <c r="BW298" s="6">
        <f t="shared" si="355"/>
        <v>0</v>
      </c>
      <c r="BX298" s="6">
        <v>0</v>
      </c>
      <c r="BY298" s="6">
        <f t="shared" si="356"/>
        <v>0</v>
      </c>
      <c r="BZ298" s="6">
        <f t="shared" si="357"/>
        <v>0</v>
      </c>
      <c r="CA298" s="6">
        <v>0</v>
      </c>
      <c r="CB298" s="6">
        <f t="shared" si="358"/>
        <v>0</v>
      </c>
      <c r="CC298" s="6">
        <f t="shared" si="359"/>
        <v>0</v>
      </c>
      <c r="CD298" s="6">
        <v>0</v>
      </c>
      <c r="CE298" s="6">
        <f t="shared" si="360"/>
        <v>0</v>
      </c>
      <c r="CF298" s="6">
        <f t="shared" si="361"/>
        <v>0</v>
      </c>
      <c r="CG298" s="6">
        <v>0</v>
      </c>
      <c r="CH298" s="6">
        <f t="shared" si="362"/>
        <v>0</v>
      </c>
      <c r="CI298" s="6">
        <f t="shared" si="363"/>
        <v>0</v>
      </c>
      <c r="CJ298" s="6">
        <v>0</v>
      </c>
      <c r="CK298" s="6">
        <f t="shared" si="364"/>
        <v>0</v>
      </c>
      <c r="CL298" s="6">
        <f t="shared" si="365"/>
        <v>0</v>
      </c>
      <c r="CM298" s="6">
        <v>0</v>
      </c>
      <c r="CN298" s="6">
        <f t="shared" si="366"/>
        <v>0</v>
      </c>
      <c r="CO298" s="6">
        <f t="shared" si="367"/>
        <v>0</v>
      </c>
      <c r="CP298" s="6">
        <v>0</v>
      </c>
      <c r="CQ298" s="6">
        <f t="shared" si="368"/>
        <v>0</v>
      </c>
      <c r="CR298" s="6">
        <f t="shared" si="369"/>
        <v>0</v>
      </c>
      <c r="CS298" s="6">
        <v>0</v>
      </c>
      <c r="CT298" s="6">
        <f t="shared" si="370"/>
        <v>0</v>
      </c>
      <c r="CU298" s="6">
        <f t="shared" si="371"/>
        <v>0</v>
      </c>
      <c r="CV298" s="6">
        <v>0</v>
      </c>
      <c r="CW298" s="6">
        <f t="shared" si="372"/>
        <v>0</v>
      </c>
      <c r="CX298" s="6">
        <f t="shared" si="373"/>
        <v>0</v>
      </c>
      <c r="CY298" s="6">
        <v>0</v>
      </c>
      <c r="CZ298" s="6">
        <f t="shared" si="374"/>
        <v>0</v>
      </c>
      <c r="DA298" s="6">
        <f t="shared" si="375"/>
        <v>0</v>
      </c>
      <c r="DB298" s="6">
        <v>0</v>
      </c>
      <c r="DC298" s="6">
        <f t="shared" si="376"/>
        <v>0</v>
      </c>
      <c r="DD298" s="6">
        <f t="shared" si="377"/>
        <v>0</v>
      </c>
      <c r="DE298" s="6">
        <v>0</v>
      </c>
      <c r="DF298" s="6">
        <f t="shared" si="378"/>
        <v>0</v>
      </c>
      <c r="DG298" s="6">
        <f t="shared" si="379"/>
        <v>0</v>
      </c>
      <c r="DH298" s="6">
        <v>0</v>
      </c>
      <c r="DI298" s="6">
        <f t="shared" si="380"/>
        <v>0</v>
      </c>
      <c r="DJ298" s="6">
        <f t="shared" si="381"/>
        <v>0</v>
      </c>
      <c r="DK298" s="6">
        <v>0</v>
      </c>
      <c r="DL298" s="6">
        <f t="shared" si="382"/>
        <v>0</v>
      </c>
      <c r="DM298" s="6">
        <f t="shared" si="383"/>
        <v>0</v>
      </c>
      <c r="DN298" s="6">
        <v>0</v>
      </c>
      <c r="DO298" s="6">
        <f t="shared" si="384"/>
        <v>0</v>
      </c>
      <c r="DP298" s="6">
        <f t="shared" si="385"/>
        <v>0</v>
      </c>
    </row>
    <row r="299" spans="1:120" x14ac:dyDescent="0.2">
      <c r="A299" s="21">
        <v>50</v>
      </c>
      <c r="B299" s="21" t="s">
        <v>675</v>
      </c>
      <c r="C299" s="21">
        <v>50568</v>
      </c>
      <c r="D299" s="21" t="s">
        <v>700</v>
      </c>
      <c r="E299" s="21" t="s">
        <v>699</v>
      </c>
      <c r="F299" s="22" t="s">
        <v>659</v>
      </c>
      <c r="G299" s="4" t="s">
        <v>411</v>
      </c>
      <c r="H299" s="6">
        <v>33431.53</v>
      </c>
      <c r="I299" s="6">
        <f t="shared" si="389"/>
        <v>91.593232876712321</v>
      </c>
      <c r="J299" s="6">
        <v>34043.079299999998</v>
      </c>
      <c r="K299" s="6">
        <v>36947.64</v>
      </c>
      <c r="L299" s="6">
        <f t="shared" si="391"/>
        <v>100.94983606557376</v>
      </c>
      <c r="M299" s="6">
        <v>27918.674900000002</v>
      </c>
      <c r="N299" s="6">
        <v>36758.42</v>
      </c>
      <c r="O299" s="6">
        <f t="shared" si="392"/>
        <v>100.708</v>
      </c>
      <c r="P299" s="6">
        <v>21945.960899999998</v>
      </c>
      <c r="Q299" s="6">
        <v>19053.27</v>
      </c>
      <c r="R299" s="6">
        <f t="shared" si="393"/>
        <v>105.26668508287293</v>
      </c>
      <c r="S299" s="6">
        <v>18597.756799999999</v>
      </c>
      <c r="T299" s="6">
        <f t="shared" si="318"/>
        <v>18597.756799999999</v>
      </c>
      <c r="U299" s="6">
        <f t="shared" si="319"/>
        <v>50.952758356164381</v>
      </c>
      <c r="V299" s="6">
        <v>15842.8233</v>
      </c>
      <c r="W299" s="6">
        <f t="shared" si="320"/>
        <v>15842.8233</v>
      </c>
      <c r="X299" s="6">
        <f t="shared" si="321"/>
        <v>43.404995342465753</v>
      </c>
      <c r="Y299" s="6">
        <v>3519.7692999999999</v>
      </c>
      <c r="Z299" s="6">
        <f t="shared" si="322"/>
        <v>3519.7692999999999</v>
      </c>
      <c r="AA299" s="6">
        <f t="shared" si="323"/>
        <v>9.6432035616438352</v>
      </c>
      <c r="AB299" s="6">
        <v>0</v>
      </c>
      <c r="AC299" s="6">
        <f t="shared" si="324"/>
        <v>0</v>
      </c>
      <c r="AD299" s="6">
        <f t="shared" si="325"/>
        <v>0</v>
      </c>
      <c r="AE299" s="6">
        <v>0</v>
      </c>
      <c r="AF299" s="6">
        <f t="shared" si="326"/>
        <v>0</v>
      </c>
      <c r="AG299" s="6">
        <f t="shared" si="327"/>
        <v>0</v>
      </c>
      <c r="AH299" s="6">
        <v>0</v>
      </c>
      <c r="AI299" s="6">
        <f t="shared" si="328"/>
        <v>0</v>
      </c>
      <c r="AJ299" s="6">
        <f t="shared" si="329"/>
        <v>0</v>
      </c>
      <c r="AK299" s="6">
        <v>0</v>
      </c>
      <c r="AL299" s="6">
        <f t="shared" si="330"/>
        <v>0</v>
      </c>
      <c r="AM299" s="6">
        <f t="shared" si="331"/>
        <v>0</v>
      </c>
      <c r="AN299" s="6">
        <v>0</v>
      </c>
      <c r="AO299" s="6">
        <f t="shared" si="332"/>
        <v>0</v>
      </c>
      <c r="AP299" s="6">
        <f t="shared" si="333"/>
        <v>0</v>
      </c>
      <c r="AQ299" s="6">
        <v>0</v>
      </c>
      <c r="AR299" s="6">
        <f t="shared" si="334"/>
        <v>0</v>
      </c>
      <c r="AS299" s="6">
        <f t="shared" si="335"/>
        <v>0</v>
      </c>
      <c r="AT299" s="6">
        <v>0</v>
      </c>
      <c r="AU299" s="6">
        <f t="shared" si="336"/>
        <v>0</v>
      </c>
      <c r="AV299" s="6">
        <f t="shared" si="337"/>
        <v>0</v>
      </c>
      <c r="AW299" s="6">
        <v>0</v>
      </c>
      <c r="AX299" s="6">
        <f t="shared" si="338"/>
        <v>0</v>
      </c>
      <c r="AY299" s="6">
        <f t="shared" si="339"/>
        <v>0</v>
      </c>
      <c r="AZ299" s="6">
        <v>0</v>
      </c>
      <c r="BA299" s="6">
        <f t="shared" si="340"/>
        <v>0</v>
      </c>
      <c r="BB299" s="6">
        <f t="shared" si="341"/>
        <v>0</v>
      </c>
      <c r="BC299" s="6">
        <v>0</v>
      </c>
      <c r="BD299" s="6">
        <f t="shared" si="342"/>
        <v>0</v>
      </c>
      <c r="BE299" s="6">
        <f t="shared" si="343"/>
        <v>0</v>
      </c>
      <c r="BF299" s="6">
        <v>0</v>
      </c>
      <c r="BG299" s="6">
        <f t="shared" si="344"/>
        <v>0</v>
      </c>
      <c r="BH299" s="6">
        <f t="shared" si="345"/>
        <v>0</v>
      </c>
      <c r="BI299" s="6">
        <v>0</v>
      </c>
      <c r="BJ299" s="6">
        <f t="shared" si="346"/>
        <v>0</v>
      </c>
      <c r="BK299" s="6">
        <f t="shared" si="347"/>
        <v>0</v>
      </c>
      <c r="BL299" s="6">
        <v>0</v>
      </c>
      <c r="BM299" s="6">
        <f t="shared" si="348"/>
        <v>0</v>
      </c>
      <c r="BN299" s="6">
        <f t="shared" si="349"/>
        <v>0</v>
      </c>
      <c r="BO299" s="6">
        <v>0</v>
      </c>
      <c r="BP299" s="6">
        <f t="shared" si="350"/>
        <v>0</v>
      </c>
      <c r="BQ299" s="6">
        <f t="shared" si="351"/>
        <v>0</v>
      </c>
      <c r="BR299" s="6">
        <v>0</v>
      </c>
      <c r="BS299" s="6">
        <f t="shared" si="352"/>
        <v>0</v>
      </c>
      <c r="BT299" s="6">
        <f t="shared" si="353"/>
        <v>0</v>
      </c>
      <c r="BU299" s="6">
        <v>0</v>
      </c>
      <c r="BV299" s="6">
        <f t="shared" si="354"/>
        <v>0</v>
      </c>
      <c r="BW299" s="6">
        <f t="shared" si="355"/>
        <v>0</v>
      </c>
      <c r="BX299" s="6">
        <v>0</v>
      </c>
      <c r="BY299" s="6">
        <f t="shared" si="356"/>
        <v>0</v>
      </c>
      <c r="BZ299" s="6">
        <f t="shared" si="357"/>
        <v>0</v>
      </c>
      <c r="CA299" s="6">
        <v>0</v>
      </c>
      <c r="CB299" s="6">
        <f t="shared" si="358"/>
        <v>0</v>
      </c>
      <c r="CC299" s="6">
        <f t="shared" si="359"/>
        <v>0</v>
      </c>
      <c r="CD299" s="6">
        <v>0</v>
      </c>
      <c r="CE299" s="6">
        <f t="shared" si="360"/>
        <v>0</v>
      </c>
      <c r="CF299" s="6">
        <f t="shared" si="361"/>
        <v>0</v>
      </c>
      <c r="CG299" s="6">
        <v>0</v>
      </c>
      <c r="CH299" s="6">
        <f t="shared" si="362"/>
        <v>0</v>
      </c>
      <c r="CI299" s="6">
        <f t="shared" si="363"/>
        <v>0</v>
      </c>
      <c r="CJ299" s="6">
        <v>0</v>
      </c>
      <c r="CK299" s="6">
        <f t="shared" si="364"/>
        <v>0</v>
      </c>
      <c r="CL299" s="6">
        <f t="shared" si="365"/>
        <v>0</v>
      </c>
      <c r="CM299" s="6">
        <v>0</v>
      </c>
      <c r="CN299" s="6">
        <f t="shared" si="366"/>
        <v>0</v>
      </c>
      <c r="CO299" s="6">
        <f t="shared" si="367"/>
        <v>0</v>
      </c>
      <c r="CP299" s="6">
        <v>0</v>
      </c>
      <c r="CQ299" s="6">
        <f t="shared" si="368"/>
        <v>0</v>
      </c>
      <c r="CR299" s="6">
        <f t="shared" si="369"/>
        <v>0</v>
      </c>
      <c r="CS299" s="6">
        <v>0</v>
      </c>
      <c r="CT299" s="6">
        <f t="shared" si="370"/>
        <v>0</v>
      </c>
      <c r="CU299" s="6">
        <f t="shared" si="371"/>
        <v>0</v>
      </c>
      <c r="CV299" s="6">
        <v>0</v>
      </c>
      <c r="CW299" s="6">
        <f t="shared" si="372"/>
        <v>0</v>
      </c>
      <c r="CX299" s="6">
        <f t="shared" si="373"/>
        <v>0</v>
      </c>
      <c r="CY299" s="6">
        <v>0</v>
      </c>
      <c r="CZ299" s="6">
        <f t="shared" si="374"/>
        <v>0</v>
      </c>
      <c r="DA299" s="6">
        <f t="shared" si="375"/>
        <v>0</v>
      </c>
      <c r="DB299" s="6">
        <v>0</v>
      </c>
      <c r="DC299" s="6">
        <f t="shared" si="376"/>
        <v>0</v>
      </c>
      <c r="DD299" s="6">
        <f t="shared" si="377"/>
        <v>0</v>
      </c>
      <c r="DE299" s="6">
        <v>0</v>
      </c>
      <c r="DF299" s="6">
        <f t="shared" si="378"/>
        <v>0</v>
      </c>
      <c r="DG299" s="6">
        <f t="shared" si="379"/>
        <v>0</v>
      </c>
      <c r="DH299" s="6">
        <v>0</v>
      </c>
      <c r="DI299" s="6">
        <f t="shared" si="380"/>
        <v>0</v>
      </c>
      <c r="DJ299" s="6">
        <f t="shared" si="381"/>
        <v>0</v>
      </c>
      <c r="DK299" s="6">
        <v>0</v>
      </c>
      <c r="DL299" s="6">
        <f t="shared" si="382"/>
        <v>0</v>
      </c>
      <c r="DM299" s="6">
        <f t="shared" si="383"/>
        <v>0</v>
      </c>
      <c r="DN299" s="6">
        <v>0</v>
      </c>
      <c r="DO299" s="6">
        <f t="shared" si="384"/>
        <v>0</v>
      </c>
      <c r="DP299" s="6">
        <f t="shared" si="385"/>
        <v>0</v>
      </c>
    </row>
    <row r="300" spans="1:120" x14ac:dyDescent="0.2">
      <c r="A300" s="21">
        <v>86</v>
      </c>
      <c r="B300" s="21" t="s">
        <v>664</v>
      </c>
      <c r="C300" s="21">
        <v>86001</v>
      </c>
      <c r="D300" s="21" t="s">
        <v>739</v>
      </c>
      <c r="E300" s="21" t="s">
        <v>564</v>
      </c>
      <c r="F300" s="22" t="s">
        <v>666</v>
      </c>
      <c r="G300" s="4" t="s">
        <v>412</v>
      </c>
      <c r="H300" s="6">
        <v>65937.320000000007</v>
      </c>
      <c r="I300" s="6">
        <f t="shared" si="389"/>
        <v>180.65019178082193</v>
      </c>
      <c r="J300" s="6">
        <v>59041.445200000002</v>
      </c>
      <c r="K300" s="6">
        <v>65419.98</v>
      </c>
      <c r="L300" s="6">
        <f t="shared" si="391"/>
        <v>178.74311475409837</v>
      </c>
      <c r="M300" s="6">
        <v>52582.9323</v>
      </c>
      <c r="N300" s="6">
        <v>49925.46</v>
      </c>
      <c r="O300" s="6">
        <f t="shared" si="392"/>
        <v>136.78208219178083</v>
      </c>
      <c r="P300" s="6">
        <v>47293.315199999997</v>
      </c>
      <c r="Q300" s="6">
        <v>12542.28</v>
      </c>
      <c r="R300" s="6">
        <f t="shared" si="393"/>
        <v>69.294364640883984</v>
      </c>
      <c r="S300" s="6">
        <v>42781.052600000003</v>
      </c>
      <c r="T300" s="6">
        <f t="shared" si="318"/>
        <v>42781.052600000003</v>
      </c>
      <c r="U300" s="6">
        <f t="shared" si="319"/>
        <v>117.20836328767125</v>
      </c>
      <c r="V300" s="6">
        <v>32740.3226</v>
      </c>
      <c r="W300" s="6">
        <f t="shared" si="320"/>
        <v>32740.3226</v>
      </c>
      <c r="X300" s="6">
        <f t="shared" si="321"/>
        <v>89.699513972602745</v>
      </c>
      <c r="Y300" s="6">
        <v>0</v>
      </c>
      <c r="Z300" s="6">
        <f t="shared" si="322"/>
        <v>0</v>
      </c>
      <c r="AA300" s="6">
        <f t="shared" si="323"/>
        <v>0</v>
      </c>
      <c r="AB300" s="6">
        <v>0</v>
      </c>
      <c r="AC300" s="6">
        <f t="shared" si="324"/>
        <v>0</v>
      </c>
      <c r="AD300" s="6">
        <f t="shared" si="325"/>
        <v>0</v>
      </c>
      <c r="AE300" s="6">
        <v>0</v>
      </c>
      <c r="AF300" s="6">
        <f t="shared" si="326"/>
        <v>0</v>
      </c>
      <c r="AG300" s="6">
        <f t="shared" si="327"/>
        <v>0</v>
      </c>
      <c r="AH300" s="6">
        <v>0</v>
      </c>
      <c r="AI300" s="6">
        <f t="shared" si="328"/>
        <v>0</v>
      </c>
      <c r="AJ300" s="6">
        <f t="shared" si="329"/>
        <v>0</v>
      </c>
      <c r="AK300" s="6">
        <v>0</v>
      </c>
      <c r="AL300" s="6">
        <f t="shared" si="330"/>
        <v>0</v>
      </c>
      <c r="AM300" s="6">
        <f t="shared" si="331"/>
        <v>0</v>
      </c>
      <c r="AN300" s="6">
        <v>0</v>
      </c>
      <c r="AO300" s="6">
        <f t="shared" si="332"/>
        <v>0</v>
      </c>
      <c r="AP300" s="6">
        <f t="shared" si="333"/>
        <v>0</v>
      </c>
      <c r="AQ300" s="6">
        <v>0</v>
      </c>
      <c r="AR300" s="6">
        <f t="shared" si="334"/>
        <v>0</v>
      </c>
      <c r="AS300" s="6">
        <f t="shared" si="335"/>
        <v>0</v>
      </c>
      <c r="AT300" s="6">
        <v>0</v>
      </c>
      <c r="AU300" s="6">
        <f t="shared" si="336"/>
        <v>0</v>
      </c>
      <c r="AV300" s="6">
        <f t="shared" si="337"/>
        <v>0</v>
      </c>
      <c r="AW300" s="6">
        <v>0</v>
      </c>
      <c r="AX300" s="6">
        <f t="shared" si="338"/>
        <v>0</v>
      </c>
      <c r="AY300" s="6">
        <f t="shared" si="339"/>
        <v>0</v>
      </c>
      <c r="AZ300" s="6">
        <v>0</v>
      </c>
      <c r="BA300" s="6">
        <f t="shared" si="340"/>
        <v>0</v>
      </c>
      <c r="BB300" s="6">
        <f t="shared" si="341"/>
        <v>0</v>
      </c>
      <c r="BC300" s="6">
        <v>0</v>
      </c>
      <c r="BD300" s="6">
        <f t="shared" si="342"/>
        <v>0</v>
      </c>
      <c r="BE300" s="6">
        <f t="shared" si="343"/>
        <v>0</v>
      </c>
      <c r="BF300" s="6">
        <v>0</v>
      </c>
      <c r="BG300" s="6">
        <f t="shared" si="344"/>
        <v>0</v>
      </c>
      <c r="BH300" s="6">
        <f t="shared" si="345"/>
        <v>0</v>
      </c>
      <c r="BI300" s="6">
        <v>0</v>
      </c>
      <c r="BJ300" s="6">
        <f t="shared" si="346"/>
        <v>0</v>
      </c>
      <c r="BK300" s="6">
        <f t="shared" si="347"/>
        <v>0</v>
      </c>
      <c r="BL300" s="6">
        <v>0</v>
      </c>
      <c r="BM300" s="6">
        <f t="shared" si="348"/>
        <v>0</v>
      </c>
      <c r="BN300" s="6">
        <f t="shared" si="349"/>
        <v>0</v>
      </c>
      <c r="BO300" s="6">
        <v>0</v>
      </c>
      <c r="BP300" s="6">
        <f t="shared" si="350"/>
        <v>0</v>
      </c>
      <c r="BQ300" s="6">
        <f t="shared" si="351"/>
        <v>0</v>
      </c>
      <c r="BR300" s="6">
        <v>0</v>
      </c>
      <c r="BS300" s="6">
        <f t="shared" si="352"/>
        <v>0</v>
      </c>
      <c r="BT300" s="6">
        <f t="shared" si="353"/>
        <v>0</v>
      </c>
      <c r="BU300" s="6">
        <v>0</v>
      </c>
      <c r="BV300" s="6">
        <f t="shared" si="354"/>
        <v>0</v>
      </c>
      <c r="BW300" s="6">
        <f t="shared" si="355"/>
        <v>0</v>
      </c>
      <c r="BX300" s="6">
        <v>0</v>
      </c>
      <c r="BY300" s="6">
        <f t="shared" si="356"/>
        <v>0</v>
      </c>
      <c r="BZ300" s="6">
        <f t="shared" si="357"/>
        <v>0</v>
      </c>
      <c r="CA300" s="6">
        <v>0</v>
      </c>
      <c r="CB300" s="6">
        <f t="shared" si="358"/>
        <v>0</v>
      </c>
      <c r="CC300" s="6">
        <f t="shared" si="359"/>
        <v>0</v>
      </c>
      <c r="CD300" s="6">
        <v>0</v>
      </c>
      <c r="CE300" s="6">
        <f t="shared" si="360"/>
        <v>0</v>
      </c>
      <c r="CF300" s="6">
        <f t="shared" si="361"/>
        <v>0</v>
      </c>
      <c r="CG300" s="6">
        <v>0</v>
      </c>
      <c r="CH300" s="6">
        <f t="shared" si="362"/>
        <v>0</v>
      </c>
      <c r="CI300" s="6">
        <f t="shared" si="363"/>
        <v>0</v>
      </c>
      <c r="CJ300" s="6">
        <v>0</v>
      </c>
      <c r="CK300" s="6">
        <f t="shared" si="364"/>
        <v>0</v>
      </c>
      <c r="CL300" s="6">
        <f t="shared" si="365"/>
        <v>0</v>
      </c>
      <c r="CM300" s="6">
        <v>0</v>
      </c>
      <c r="CN300" s="6">
        <f t="shared" si="366"/>
        <v>0</v>
      </c>
      <c r="CO300" s="6">
        <f t="shared" si="367"/>
        <v>0</v>
      </c>
      <c r="CP300" s="6">
        <v>0</v>
      </c>
      <c r="CQ300" s="6">
        <f t="shared" si="368"/>
        <v>0</v>
      </c>
      <c r="CR300" s="6">
        <f t="shared" si="369"/>
        <v>0</v>
      </c>
      <c r="CS300" s="6">
        <v>0</v>
      </c>
      <c r="CT300" s="6">
        <f t="shared" si="370"/>
        <v>0</v>
      </c>
      <c r="CU300" s="6">
        <f t="shared" si="371"/>
        <v>0</v>
      </c>
      <c r="CV300" s="6">
        <v>0</v>
      </c>
      <c r="CW300" s="6">
        <f t="shared" si="372"/>
        <v>0</v>
      </c>
      <c r="CX300" s="6">
        <f t="shared" si="373"/>
        <v>0</v>
      </c>
      <c r="CY300" s="6">
        <v>0</v>
      </c>
      <c r="CZ300" s="6">
        <f t="shared" si="374"/>
        <v>0</v>
      </c>
      <c r="DA300" s="6">
        <f t="shared" si="375"/>
        <v>0</v>
      </c>
      <c r="DB300" s="6">
        <v>0</v>
      </c>
      <c r="DC300" s="6">
        <f t="shared" si="376"/>
        <v>0</v>
      </c>
      <c r="DD300" s="6">
        <f t="shared" si="377"/>
        <v>0</v>
      </c>
      <c r="DE300" s="6">
        <v>0</v>
      </c>
      <c r="DF300" s="6">
        <f t="shared" si="378"/>
        <v>0</v>
      </c>
      <c r="DG300" s="6">
        <f t="shared" si="379"/>
        <v>0</v>
      </c>
      <c r="DH300" s="6">
        <v>0</v>
      </c>
      <c r="DI300" s="6">
        <f t="shared" si="380"/>
        <v>0</v>
      </c>
      <c r="DJ300" s="6">
        <f t="shared" si="381"/>
        <v>0</v>
      </c>
      <c r="DK300" s="6">
        <v>0</v>
      </c>
      <c r="DL300" s="6">
        <f t="shared" si="382"/>
        <v>0</v>
      </c>
      <c r="DM300" s="6">
        <f t="shared" si="383"/>
        <v>0</v>
      </c>
      <c r="DN300" s="6">
        <v>0</v>
      </c>
      <c r="DO300" s="6">
        <f t="shared" si="384"/>
        <v>0</v>
      </c>
      <c r="DP300" s="6">
        <f t="shared" si="385"/>
        <v>0</v>
      </c>
    </row>
    <row r="301" spans="1:120" x14ac:dyDescent="0.2">
      <c r="A301" s="21">
        <v>73</v>
      </c>
      <c r="B301" s="21" t="s">
        <v>582</v>
      </c>
      <c r="C301" s="21">
        <v>73026</v>
      </c>
      <c r="D301" s="21" t="s">
        <v>748</v>
      </c>
      <c r="E301" s="21" t="s">
        <v>575</v>
      </c>
      <c r="F301" s="22" t="s">
        <v>666</v>
      </c>
      <c r="G301" s="4" t="s">
        <v>413</v>
      </c>
      <c r="H301" s="6">
        <v>27398.76</v>
      </c>
      <c r="I301" s="6">
        <f t="shared" si="389"/>
        <v>75.065095890410959</v>
      </c>
      <c r="J301" s="6">
        <v>25881.626499999998</v>
      </c>
      <c r="K301" s="6">
        <v>28737.62</v>
      </c>
      <c r="L301" s="6">
        <f t="shared" si="391"/>
        <v>78.518087431693985</v>
      </c>
      <c r="M301" s="6">
        <v>23655.654999999999</v>
      </c>
      <c r="N301" s="6">
        <v>27404.76</v>
      </c>
      <c r="O301" s="6">
        <f t="shared" si="392"/>
        <v>75.081534246575345</v>
      </c>
      <c r="P301" s="6">
        <v>21693.171699999999</v>
      </c>
      <c r="Q301" s="6">
        <v>12739.57</v>
      </c>
      <c r="R301" s="6">
        <f t="shared" si="393"/>
        <v>70.384364640883973</v>
      </c>
      <c r="S301" s="6">
        <v>19904.944299999999</v>
      </c>
      <c r="T301" s="6">
        <f t="shared" si="318"/>
        <v>19904.944299999999</v>
      </c>
      <c r="U301" s="6">
        <f t="shared" si="319"/>
        <v>54.53409397260274</v>
      </c>
      <c r="V301" s="6">
        <v>18324.419699999999</v>
      </c>
      <c r="W301" s="6">
        <f t="shared" si="320"/>
        <v>18324.419699999999</v>
      </c>
      <c r="X301" s="6">
        <f t="shared" si="321"/>
        <v>50.20388958904109</v>
      </c>
      <c r="Y301" s="6">
        <v>16786.471300000001</v>
      </c>
      <c r="Z301" s="6">
        <f t="shared" si="322"/>
        <v>16786.471300000001</v>
      </c>
      <c r="AA301" s="6">
        <f t="shared" si="323"/>
        <v>45.990332328767124</v>
      </c>
      <c r="AB301" s="6">
        <v>15427.884</v>
      </c>
      <c r="AC301" s="6">
        <f t="shared" si="324"/>
        <v>15427.884</v>
      </c>
      <c r="AD301" s="6">
        <f t="shared" si="325"/>
        <v>42.268175342465753</v>
      </c>
      <c r="AE301" s="6">
        <v>0</v>
      </c>
      <c r="AF301" s="6">
        <f t="shared" si="326"/>
        <v>0</v>
      </c>
      <c r="AG301" s="6">
        <f t="shared" si="327"/>
        <v>0</v>
      </c>
      <c r="AH301" s="6">
        <v>0</v>
      </c>
      <c r="AI301" s="6">
        <f t="shared" si="328"/>
        <v>0</v>
      </c>
      <c r="AJ301" s="6">
        <f t="shared" si="329"/>
        <v>0</v>
      </c>
      <c r="AK301" s="6">
        <v>0</v>
      </c>
      <c r="AL301" s="6">
        <f t="shared" si="330"/>
        <v>0</v>
      </c>
      <c r="AM301" s="6">
        <f t="shared" si="331"/>
        <v>0</v>
      </c>
      <c r="AN301" s="6">
        <v>0</v>
      </c>
      <c r="AO301" s="6">
        <f t="shared" si="332"/>
        <v>0</v>
      </c>
      <c r="AP301" s="6">
        <f t="shared" si="333"/>
        <v>0</v>
      </c>
      <c r="AQ301" s="6">
        <v>0</v>
      </c>
      <c r="AR301" s="6">
        <f t="shared" si="334"/>
        <v>0</v>
      </c>
      <c r="AS301" s="6">
        <f t="shared" si="335"/>
        <v>0</v>
      </c>
      <c r="AT301" s="6">
        <v>0</v>
      </c>
      <c r="AU301" s="6">
        <f t="shared" si="336"/>
        <v>0</v>
      </c>
      <c r="AV301" s="6">
        <f t="shared" si="337"/>
        <v>0</v>
      </c>
      <c r="AW301" s="6">
        <v>0</v>
      </c>
      <c r="AX301" s="6">
        <f t="shared" si="338"/>
        <v>0</v>
      </c>
      <c r="AY301" s="6">
        <f t="shared" si="339"/>
        <v>0</v>
      </c>
      <c r="AZ301" s="6">
        <v>0</v>
      </c>
      <c r="BA301" s="6">
        <f t="shared" si="340"/>
        <v>0</v>
      </c>
      <c r="BB301" s="6">
        <f t="shared" si="341"/>
        <v>0</v>
      </c>
      <c r="BC301" s="6">
        <v>0</v>
      </c>
      <c r="BD301" s="6">
        <f t="shared" si="342"/>
        <v>0</v>
      </c>
      <c r="BE301" s="6">
        <f t="shared" si="343"/>
        <v>0</v>
      </c>
      <c r="BF301" s="6">
        <v>0</v>
      </c>
      <c r="BG301" s="6">
        <f t="shared" si="344"/>
        <v>0</v>
      </c>
      <c r="BH301" s="6">
        <f t="shared" si="345"/>
        <v>0</v>
      </c>
      <c r="BI301" s="6">
        <v>0</v>
      </c>
      <c r="BJ301" s="6">
        <f t="shared" si="346"/>
        <v>0</v>
      </c>
      <c r="BK301" s="6">
        <f t="shared" si="347"/>
        <v>0</v>
      </c>
      <c r="BL301" s="6">
        <v>0</v>
      </c>
      <c r="BM301" s="6">
        <f t="shared" si="348"/>
        <v>0</v>
      </c>
      <c r="BN301" s="6">
        <f t="shared" si="349"/>
        <v>0</v>
      </c>
      <c r="BO301" s="6">
        <v>0</v>
      </c>
      <c r="BP301" s="6">
        <f t="shared" si="350"/>
        <v>0</v>
      </c>
      <c r="BQ301" s="6">
        <f t="shared" si="351"/>
        <v>0</v>
      </c>
      <c r="BR301" s="6">
        <v>0</v>
      </c>
      <c r="BS301" s="6">
        <f t="shared" si="352"/>
        <v>0</v>
      </c>
      <c r="BT301" s="6">
        <f t="shared" si="353"/>
        <v>0</v>
      </c>
      <c r="BU301" s="6">
        <v>0</v>
      </c>
      <c r="BV301" s="6">
        <f t="shared" si="354"/>
        <v>0</v>
      </c>
      <c r="BW301" s="6">
        <f t="shared" si="355"/>
        <v>0</v>
      </c>
      <c r="BX301" s="6">
        <v>0</v>
      </c>
      <c r="BY301" s="6">
        <f t="shared" si="356"/>
        <v>0</v>
      </c>
      <c r="BZ301" s="6">
        <f t="shared" si="357"/>
        <v>0</v>
      </c>
      <c r="CA301" s="6">
        <v>0</v>
      </c>
      <c r="CB301" s="6">
        <f t="shared" si="358"/>
        <v>0</v>
      </c>
      <c r="CC301" s="6">
        <f t="shared" si="359"/>
        <v>0</v>
      </c>
      <c r="CD301" s="6">
        <v>0</v>
      </c>
      <c r="CE301" s="6">
        <f t="shared" si="360"/>
        <v>0</v>
      </c>
      <c r="CF301" s="6">
        <f t="shared" si="361"/>
        <v>0</v>
      </c>
      <c r="CG301" s="6">
        <v>0</v>
      </c>
      <c r="CH301" s="6">
        <f t="shared" si="362"/>
        <v>0</v>
      </c>
      <c r="CI301" s="6">
        <f t="shared" si="363"/>
        <v>0</v>
      </c>
      <c r="CJ301" s="6">
        <v>0</v>
      </c>
      <c r="CK301" s="6">
        <f t="shared" si="364"/>
        <v>0</v>
      </c>
      <c r="CL301" s="6">
        <f t="shared" si="365"/>
        <v>0</v>
      </c>
      <c r="CM301" s="6">
        <v>0</v>
      </c>
      <c r="CN301" s="6">
        <f t="shared" si="366"/>
        <v>0</v>
      </c>
      <c r="CO301" s="6">
        <f t="shared" si="367"/>
        <v>0</v>
      </c>
      <c r="CP301" s="6">
        <v>0</v>
      </c>
      <c r="CQ301" s="6">
        <f t="shared" si="368"/>
        <v>0</v>
      </c>
      <c r="CR301" s="6">
        <f t="shared" si="369"/>
        <v>0</v>
      </c>
      <c r="CS301" s="6">
        <v>0</v>
      </c>
      <c r="CT301" s="6">
        <f t="shared" si="370"/>
        <v>0</v>
      </c>
      <c r="CU301" s="6">
        <f t="shared" si="371"/>
        <v>0</v>
      </c>
      <c r="CV301" s="6">
        <v>0</v>
      </c>
      <c r="CW301" s="6">
        <f t="shared" si="372"/>
        <v>0</v>
      </c>
      <c r="CX301" s="6">
        <f t="shared" si="373"/>
        <v>0</v>
      </c>
      <c r="CY301" s="6">
        <v>0</v>
      </c>
      <c r="CZ301" s="6">
        <f t="shared" si="374"/>
        <v>0</v>
      </c>
      <c r="DA301" s="6">
        <f t="shared" si="375"/>
        <v>0</v>
      </c>
      <c r="DB301" s="6">
        <v>0</v>
      </c>
      <c r="DC301" s="6">
        <f t="shared" si="376"/>
        <v>0</v>
      </c>
      <c r="DD301" s="6">
        <f t="shared" si="377"/>
        <v>0</v>
      </c>
      <c r="DE301" s="6">
        <v>0</v>
      </c>
      <c r="DF301" s="6">
        <f t="shared" si="378"/>
        <v>0</v>
      </c>
      <c r="DG301" s="6">
        <f t="shared" si="379"/>
        <v>0</v>
      </c>
      <c r="DH301" s="6">
        <v>0</v>
      </c>
      <c r="DI301" s="6">
        <f t="shared" si="380"/>
        <v>0</v>
      </c>
      <c r="DJ301" s="6">
        <f t="shared" si="381"/>
        <v>0</v>
      </c>
      <c r="DK301" s="6">
        <v>0</v>
      </c>
      <c r="DL301" s="6">
        <f t="shared" si="382"/>
        <v>0</v>
      </c>
      <c r="DM301" s="6">
        <f t="shared" si="383"/>
        <v>0</v>
      </c>
      <c r="DN301" s="6">
        <v>0</v>
      </c>
      <c r="DO301" s="6">
        <f t="shared" si="384"/>
        <v>0</v>
      </c>
      <c r="DP301" s="6">
        <f t="shared" si="385"/>
        <v>0</v>
      </c>
    </row>
    <row r="302" spans="1:120" x14ac:dyDescent="0.2">
      <c r="A302" s="21">
        <v>73</v>
      </c>
      <c r="B302" s="21" t="s">
        <v>582</v>
      </c>
      <c r="C302" s="21">
        <v>73504</v>
      </c>
      <c r="D302" s="21" t="s">
        <v>331</v>
      </c>
      <c r="E302" s="21" t="s">
        <v>575</v>
      </c>
      <c r="F302" s="22" t="s">
        <v>666</v>
      </c>
      <c r="G302" s="4" t="s">
        <v>414</v>
      </c>
      <c r="H302" s="6">
        <v>25575.35</v>
      </c>
      <c r="I302" s="6">
        <f t="shared" si="389"/>
        <v>70.06945205479451</v>
      </c>
      <c r="J302" s="6">
        <v>50336.224000000002</v>
      </c>
      <c r="K302" s="6">
        <v>27532.33</v>
      </c>
      <c r="L302" s="6">
        <f t="shared" si="391"/>
        <v>75.224945355191267</v>
      </c>
      <c r="M302" s="6">
        <v>46832.055</v>
      </c>
      <c r="N302" s="6"/>
      <c r="O302" s="6"/>
      <c r="P302" s="6">
        <v>43705.160799999998</v>
      </c>
      <c r="Q302" s="6"/>
      <c r="R302" s="6"/>
      <c r="S302" s="6">
        <v>40798.696300000003</v>
      </c>
      <c r="T302" s="6">
        <f t="shared" si="318"/>
        <v>40798.696300000003</v>
      </c>
      <c r="U302" s="6">
        <f t="shared" si="319"/>
        <v>111.77725013698631</v>
      </c>
      <c r="V302" s="6">
        <v>38195.912499999999</v>
      </c>
      <c r="W302" s="6">
        <f t="shared" si="320"/>
        <v>38195.912499999999</v>
      </c>
      <c r="X302" s="6">
        <f t="shared" si="321"/>
        <v>104.64633561643835</v>
      </c>
      <c r="Y302" s="6">
        <v>35579.013800000001</v>
      </c>
      <c r="Z302" s="6">
        <f t="shared" si="322"/>
        <v>35579.013800000001</v>
      </c>
      <c r="AA302" s="6">
        <f t="shared" si="323"/>
        <v>97.476750136986297</v>
      </c>
      <c r="AB302" s="6">
        <v>33244.504200000003</v>
      </c>
      <c r="AC302" s="6">
        <f t="shared" si="324"/>
        <v>33244.504200000003</v>
      </c>
      <c r="AD302" s="6">
        <f t="shared" si="325"/>
        <v>91.080833424657541</v>
      </c>
      <c r="AE302" s="6">
        <v>31073.697100000001</v>
      </c>
      <c r="AF302" s="6">
        <f t="shared" si="326"/>
        <v>31073.697100000001</v>
      </c>
      <c r="AG302" s="6">
        <f t="shared" si="327"/>
        <v>85.133416712328767</v>
      </c>
      <c r="AH302" s="6">
        <v>29130.2755</v>
      </c>
      <c r="AI302" s="6">
        <f t="shared" si="328"/>
        <v>29130.2755</v>
      </c>
      <c r="AJ302" s="6">
        <f t="shared" si="329"/>
        <v>79.808973972602743</v>
      </c>
      <c r="AK302" s="6">
        <v>27172.424999999999</v>
      </c>
      <c r="AL302" s="6">
        <f t="shared" si="330"/>
        <v>27172.424999999999</v>
      </c>
      <c r="AM302" s="6">
        <f t="shared" si="331"/>
        <v>74.444999999999993</v>
      </c>
      <c r="AN302" s="6">
        <v>25426.0825</v>
      </c>
      <c r="AO302" s="6">
        <f t="shared" si="332"/>
        <v>25426.0825</v>
      </c>
      <c r="AP302" s="6">
        <f t="shared" si="333"/>
        <v>69.660499999999999</v>
      </c>
      <c r="AQ302" s="6">
        <v>23801.65</v>
      </c>
      <c r="AR302" s="6">
        <f t="shared" si="334"/>
        <v>23801.65</v>
      </c>
      <c r="AS302" s="6">
        <f t="shared" si="335"/>
        <v>65.210000000000008</v>
      </c>
      <c r="AT302" s="6">
        <v>0</v>
      </c>
      <c r="AU302" s="6">
        <f t="shared" si="336"/>
        <v>0</v>
      </c>
      <c r="AV302" s="6">
        <f t="shared" si="337"/>
        <v>0</v>
      </c>
      <c r="AW302" s="6">
        <v>0</v>
      </c>
      <c r="AX302" s="6">
        <f t="shared" si="338"/>
        <v>0</v>
      </c>
      <c r="AY302" s="6">
        <f t="shared" si="339"/>
        <v>0</v>
      </c>
      <c r="AZ302" s="6">
        <v>0</v>
      </c>
      <c r="BA302" s="6">
        <f t="shared" si="340"/>
        <v>0</v>
      </c>
      <c r="BB302" s="6">
        <f t="shared" si="341"/>
        <v>0</v>
      </c>
      <c r="BC302" s="6">
        <v>0</v>
      </c>
      <c r="BD302" s="6">
        <f t="shared" si="342"/>
        <v>0</v>
      </c>
      <c r="BE302" s="6">
        <f t="shared" si="343"/>
        <v>0</v>
      </c>
      <c r="BF302" s="6">
        <v>0</v>
      </c>
      <c r="BG302" s="6">
        <f t="shared" si="344"/>
        <v>0</v>
      </c>
      <c r="BH302" s="6">
        <f t="shared" si="345"/>
        <v>0</v>
      </c>
      <c r="BI302" s="6">
        <v>0</v>
      </c>
      <c r="BJ302" s="6">
        <f t="shared" si="346"/>
        <v>0</v>
      </c>
      <c r="BK302" s="6">
        <f t="shared" si="347"/>
        <v>0</v>
      </c>
      <c r="BL302" s="6">
        <v>0</v>
      </c>
      <c r="BM302" s="6">
        <f t="shared" si="348"/>
        <v>0</v>
      </c>
      <c r="BN302" s="6">
        <f t="shared" si="349"/>
        <v>0</v>
      </c>
      <c r="BO302" s="6">
        <v>0</v>
      </c>
      <c r="BP302" s="6">
        <f t="shared" si="350"/>
        <v>0</v>
      </c>
      <c r="BQ302" s="6">
        <f t="shared" si="351"/>
        <v>0</v>
      </c>
      <c r="BR302" s="6">
        <v>0</v>
      </c>
      <c r="BS302" s="6">
        <f t="shared" si="352"/>
        <v>0</v>
      </c>
      <c r="BT302" s="6">
        <f t="shared" si="353"/>
        <v>0</v>
      </c>
      <c r="BU302" s="6">
        <v>0</v>
      </c>
      <c r="BV302" s="6">
        <f t="shared" si="354"/>
        <v>0</v>
      </c>
      <c r="BW302" s="6">
        <f t="shared" si="355"/>
        <v>0</v>
      </c>
      <c r="BX302" s="6">
        <v>0</v>
      </c>
      <c r="BY302" s="6">
        <f t="shared" si="356"/>
        <v>0</v>
      </c>
      <c r="BZ302" s="6">
        <f t="shared" si="357"/>
        <v>0</v>
      </c>
      <c r="CA302" s="6">
        <v>0</v>
      </c>
      <c r="CB302" s="6">
        <f t="shared" si="358"/>
        <v>0</v>
      </c>
      <c r="CC302" s="6">
        <f t="shared" si="359"/>
        <v>0</v>
      </c>
      <c r="CD302" s="6">
        <v>0</v>
      </c>
      <c r="CE302" s="6">
        <f t="shared" si="360"/>
        <v>0</v>
      </c>
      <c r="CF302" s="6">
        <f t="shared" si="361"/>
        <v>0</v>
      </c>
      <c r="CG302" s="6">
        <v>0</v>
      </c>
      <c r="CH302" s="6">
        <f t="shared" si="362"/>
        <v>0</v>
      </c>
      <c r="CI302" s="6">
        <f t="shared" si="363"/>
        <v>0</v>
      </c>
      <c r="CJ302" s="6">
        <v>0</v>
      </c>
      <c r="CK302" s="6">
        <f t="shared" si="364"/>
        <v>0</v>
      </c>
      <c r="CL302" s="6">
        <f t="shared" si="365"/>
        <v>0</v>
      </c>
      <c r="CM302" s="6">
        <v>0</v>
      </c>
      <c r="CN302" s="6">
        <f t="shared" si="366"/>
        <v>0</v>
      </c>
      <c r="CO302" s="6">
        <f t="shared" si="367"/>
        <v>0</v>
      </c>
      <c r="CP302" s="6">
        <v>0</v>
      </c>
      <c r="CQ302" s="6">
        <f t="shared" si="368"/>
        <v>0</v>
      </c>
      <c r="CR302" s="6">
        <f t="shared" si="369"/>
        <v>0</v>
      </c>
      <c r="CS302" s="6">
        <v>0</v>
      </c>
      <c r="CT302" s="6">
        <f t="shared" si="370"/>
        <v>0</v>
      </c>
      <c r="CU302" s="6">
        <f t="shared" si="371"/>
        <v>0</v>
      </c>
      <c r="CV302" s="6">
        <v>0</v>
      </c>
      <c r="CW302" s="6">
        <f t="shared" si="372"/>
        <v>0</v>
      </c>
      <c r="CX302" s="6">
        <f t="shared" si="373"/>
        <v>0</v>
      </c>
      <c r="CY302" s="6">
        <v>0</v>
      </c>
      <c r="CZ302" s="6">
        <f t="shared" si="374"/>
        <v>0</v>
      </c>
      <c r="DA302" s="6">
        <f t="shared" si="375"/>
        <v>0</v>
      </c>
      <c r="DB302" s="6">
        <v>0</v>
      </c>
      <c r="DC302" s="6">
        <f t="shared" si="376"/>
        <v>0</v>
      </c>
      <c r="DD302" s="6">
        <f t="shared" si="377"/>
        <v>0</v>
      </c>
      <c r="DE302" s="6">
        <v>0</v>
      </c>
      <c r="DF302" s="6">
        <f t="shared" si="378"/>
        <v>0</v>
      </c>
      <c r="DG302" s="6">
        <f t="shared" si="379"/>
        <v>0</v>
      </c>
      <c r="DH302" s="6">
        <v>0</v>
      </c>
      <c r="DI302" s="6">
        <f t="shared" si="380"/>
        <v>0</v>
      </c>
      <c r="DJ302" s="6">
        <f t="shared" si="381"/>
        <v>0</v>
      </c>
      <c r="DK302" s="6">
        <v>0</v>
      </c>
      <c r="DL302" s="6">
        <f t="shared" si="382"/>
        <v>0</v>
      </c>
      <c r="DM302" s="6">
        <f t="shared" si="383"/>
        <v>0</v>
      </c>
      <c r="DN302" s="6">
        <v>0</v>
      </c>
      <c r="DO302" s="6">
        <f t="shared" si="384"/>
        <v>0</v>
      </c>
      <c r="DP302" s="6">
        <f t="shared" si="385"/>
        <v>0</v>
      </c>
    </row>
    <row r="303" spans="1:120" x14ac:dyDescent="0.2">
      <c r="A303" s="21">
        <v>85</v>
      </c>
      <c r="B303" s="21" t="s">
        <v>612</v>
      </c>
      <c r="C303" s="21">
        <v>85410</v>
      </c>
      <c r="D303" s="21" t="s">
        <v>691</v>
      </c>
      <c r="E303" s="21" t="s">
        <v>562</v>
      </c>
      <c r="F303" s="22" t="s">
        <v>669</v>
      </c>
      <c r="G303" s="4" t="s">
        <v>415</v>
      </c>
      <c r="H303" s="6">
        <v>886722.26</v>
      </c>
      <c r="I303" s="6">
        <f t="shared" si="389"/>
        <v>2429.3760547945208</v>
      </c>
      <c r="J303" s="6">
        <v>1418744.3511999999</v>
      </c>
      <c r="K303" s="6">
        <v>714444.96</v>
      </c>
      <c r="L303" s="6">
        <f t="shared" si="391"/>
        <v>1952.0354098360656</v>
      </c>
      <c r="M303" s="6">
        <v>1614898.3594</v>
      </c>
      <c r="N303" s="6">
        <v>603176.28</v>
      </c>
      <c r="O303" s="6">
        <f t="shared" ref="O303:O345" si="394">N303/365</f>
        <v>1652.5377534246577</v>
      </c>
      <c r="P303" s="6">
        <v>1177428.0227999999</v>
      </c>
      <c r="Q303" s="6">
        <v>265138.68</v>
      </c>
      <c r="R303" s="6">
        <f>Q303/181</f>
        <v>1464.8545856353592</v>
      </c>
      <c r="S303" s="6">
        <v>902328.64049999998</v>
      </c>
      <c r="T303" s="6">
        <f t="shared" si="318"/>
        <v>902328.64049999998</v>
      </c>
      <c r="U303" s="6">
        <f t="shared" si="319"/>
        <v>2472.1332616438353</v>
      </c>
      <c r="V303" s="6">
        <v>681647.72739999997</v>
      </c>
      <c r="W303" s="6">
        <f t="shared" si="320"/>
        <v>681647.72739999997</v>
      </c>
      <c r="X303" s="6">
        <f t="shared" si="321"/>
        <v>1867.5280202739725</v>
      </c>
      <c r="Y303" s="6">
        <v>558730.17130000005</v>
      </c>
      <c r="Z303" s="6">
        <f t="shared" si="322"/>
        <v>558730.17130000005</v>
      </c>
      <c r="AA303" s="6">
        <f t="shared" si="323"/>
        <v>1530.7675926027398</v>
      </c>
      <c r="AB303" s="6">
        <v>462435.69900000002</v>
      </c>
      <c r="AC303" s="6">
        <f t="shared" si="324"/>
        <v>462435.69900000002</v>
      </c>
      <c r="AD303" s="6">
        <f t="shared" si="325"/>
        <v>1266.9471205479454</v>
      </c>
      <c r="AE303" s="6">
        <v>390418.11820000003</v>
      </c>
      <c r="AF303" s="6">
        <f t="shared" si="326"/>
        <v>390418.11820000003</v>
      </c>
      <c r="AG303" s="6">
        <f t="shared" si="327"/>
        <v>1069.63868</v>
      </c>
      <c r="AH303" s="6">
        <v>318356.74400000001</v>
      </c>
      <c r="AI303" s="6">
        <f t="shared" si="328"/>
        <v>318356.74400000001</v>
      </c>
      <c r="AJ303" s="6">
        <f t="shared" si="329"/>
        <v>872.21025753424658</v>
      </c>
      <c r="AK303" s="6">
        <v>283474.15490000002</v>
      </c>
      <c r="AL303" s="6">
        <f t="shared" si="330"/>
        <v>283474.15490000002</v>
      </c>
      <c r="AM303" s="6">
        <f t="shared" si="331"/>
        <v>776.64152027397267</v>
      </c>
      <c r="AN303" s="6">
        <v>251808.96609999999</v>
      </c>
      <c r="AO303" s="6">
        <f t="shared" si="332"/>
        <v>251808.96609999999</v>
      </c>
      <c r="AP303" s="6">
        <f t="shared" si="333"/>
        <v>689.88757835616434</v>
      </c>
      <c r="AQ303" s="6">
        <v>236764.21410000001</v>
      </c>
      <c r="AR303" s="6">
        <f t="shared" si="334"/>
        <v>236764.21410000001</v>
      </c>
      <c r="AS303" s="6">
        <f t="shared" si="335"/>
        <v>648.66907972602746</v>
      </c>
      <c r="AT303" s="6">
        <v>200685.13039999999</v>
      </c>
      <c r="AU303" s="6">
        <f t="shared" si="336"/>
        <v>200685.13039999999</v>
      </c>
      <c r="AV303" s="6">
        <f t="shared" si="337"/>
        <v>549.82227506849313</v>
      </c>
      <c r="AW303" s="6">
        <v>192217.84599999999</v>
      </c>
      <c r="AX303" s="6">
        <f t="shared" si="338"/>
        <v>192217.84599999999</v>
      </c>
      <c r="AY303" s="6">
        <f t="shared" si="339"/>
        <v>526.62423561643834</v>
      </c>
      <c r="AZ303" s="6">
        <v>177938.24470000001</v>
      </c>
      <c r="BA303" s="6">
        <f t="shared" si="340"/>
        <v>177938.24470000001</v>
      </c>
      <c r="BB303" s="6">
        <f t="shared" si="341"/>
        <v>487.50204027397263</v>
      </c>
      <c r="BC303" s="6">
        <v>0</v>
      </c>
      <c r="BD303" s="6">
        <f t="shared" si="342"/>
        <v>0</v>
      </c>
      <c r="BE303" s="6">
        <f t="shared" si="343"/>
        <v>0</v>
      </c>
      <c r="BF303" s="6">
        <v>0</v>
      </c>
      <c r="BG303" s="6">
        <f t="shared" si="344"/>
        <v>0</v>
      </c>
      <c r="BH303" s="6">
        <f t="shared" si="345"/>
        <v>0</v>
      </c>
      <c r="BI303" s="6">
        <v>0</v>
      </c>
      <c r="BJ303" s="6">
        <f t="shared" si="346"/>
        <v>0</v>
      </c>
      <c r="BK303" s="6">
        <f t="shared" si="347"/>
        <v>0</v>
      </c>
      <c r="BL303" s="6">
        <v>0</v>
      </c>
      <c r="BM303" s="6">
        <f t="shared" si="348"/>
        <v>0</v>
      </c>
      <c r="BN303" s="6">
        <f t="shared" si="349"/>
        <v>0</v>
      </c>
      <c r="BO303" s="6">
        <v>0</v>
      </c>
      <c r="BP303" s="6">
        <f t="shared" si="350"/>
        <v>0</v>
      </c>
      <c r="BQ303" s="6">
        <f t="shared" si="351"/>
        <v>0</v>
      </c>
      <c r="BR303" s="6">
        <v>0</v>
      </c>
      <c r="BS303" s="6">
        <f t="shared" si="352"/>
        <v>0</v>
      </c>
      <c r="BT303" s="6">
        <f t="shared" si="353"/>
        <v>0</v>
      </c>
      <c r="BU303" s="6">
        <v>0</v>
      </c>
      <c r="BV303" s="6">
        <f t="shared" si="354"/>
        <v>0</v>
      </c>
      <c r="BW303" s="6">
        <f t="shared" si="355"/>
        <v>0</v>
      </c>
      <c r="BX303" s="6">
        <v>0</v>
      </c>
      <c r="BY303" s="6">
        <f t="shared" si="356"/>
        <v>0</v>
      </c>
      <c r="BZ303" s="6">
        <f t="shared" si="357"/>
        <v>0</v>
      </c>
      <c r="CA303" s="6">
        <v>0</v>
      </c>
      <c r="CB303" s="6">
        <f t="shared" si="358"/>
        <v>0</v>
      </c>
      <c r="CC303" s="6">
        <f t="shared" si="359"/>
        <v>0</v>
      </c>
      <c r="CD303" s="6">
        <v>0</v>
      </c>
      <c r="CE303" s="6">
        <f t="shared" si="360"/>
        <v>0</v>
      </c>
      <c r="CF303" s="6">
        <f t="shared" si="361"/>
        <v>0</v>
      </c>
      <c r="CG303" s="6">
        <v>0</v>
      </c>
      <c r="CH303" s="6">
        <f t="shared" si="362"/>
        <v>0</v>
      </c>
      <c r="CI303" s="6">
        <f t="shared" si="363"/>
        <v>0</v>
      </c>
      <c r="CJ303" s="6">
        <v>0</v>
      </c>
      <c r="CK303" s="6">
        <f t="shared" si="364"/>
        <v>0</v>
      </c>
      <c r="CL303" s="6">
        <f t="shared" si="365"/>
        <v>0</v>
      </c>
      <c r="CM303" s="6">
        <v>0</v>
      </c>
      <c r="CN303" s="6">
        <f t="shared" si="366"/>
        <v>0</v>
      </c>
      <c r="CO303" s="6">
        <f t="shared" si="367"/>
        <v>0</v>
      </c>
      <c r="CP303" s="6">
        <v>0</v>
      </c>
      <c r="CQ303" s="6">
        <f t="shared" si="368"/>
        <v>0</v>
      </c>
      <c r="CR303" s="6">
        <f t="shared" si="369"/>
        <v>0</v>
      </c>
      <c r="CS303" s="6">
        <v>0</v>
      </c>
      <c r="CT303" s="6">
        <f t="shared" si="370"/>
        <v>0</v>
      </c>
      <c r="CU303" s="6">
        <f t="shared" si="371"/>
        <v>0</v>
      </c>
      <c r="CV303" s="6">
        <v>0</v>
      </c>
      <c r="CW303" s="6">
        <f t="shared" si="372"/>
        <v>0</v>
      </c>
      <c r="CX303" s="6">
        <f t="shared" si="373"/>
        <v>0</v>
      </c>
      <c r="CY303" s="6">
        <v>0</v>
      </c>
      <c r="CZ303" s="6">
        <f t="shared" si="374"/>
        <v>0</v>
      </c>
      <c r="DA303" s="6">
        <f t="shared" si="375"/>
        <v>0</v>
      </c>
      <c r="DB303" s="6">
        <v>0</v>
      </c>
      <c r="DC303" s="6">
        <f t="shared" si="376"/>
        <v>0</v>
      </c>
      <c r="DD303" s="6">
        <f t="shared" si="377"/>
        <v>0</v>
      </c>
      <c r="DE303" s="6">
        <v>0</v>
      </c>
      <c r="DF303" s="6">
        <f t="shared" si="378"/>
        <v>0</v>
      </c>
      <c r="DG303" s="6">
        <f t="shared" si="379"/>
        <v>0</v>
      </c>
      <c r="DH303" s="6">
        <v>0</v>
      </c>
      <c r="DI303" s="6">
        <f t="shared" si="380"/>
        <v>0</v>
      </c>
      <c r="DJ303" s="6">
        <f t="shared" si="381"/>
        <v>0</v>
      </c>
      <c r="DK303" s="6">
        <v>0</v>
      </c>
      <c r="DL303" s="6">
        <f t="shared" si="382"/>
        <v>0</v>
      </c>
      <c r="DM303" s="6">
        <f t="shared" si="383"/>
        <v>0</v>
      </c>
      <c r="DN303" s="6">
        <v>0</v>
      </c>
      <c r="DO303" s="6">
        <f t="shared" si="384"/>
        <v>0</v>
      </c>
      <c r="DP303" s="6">
        <f t="shared" si="385"/>
        <v>0</v>
      </c>
    </row>
    <row r="304" spans="1:120" x14ac:dyDescent="0.2">
      <c r="A304" s="21">
        <v>85</v>
      </c>
      <c r="B304" s="21" t="s">
        <v>612</v>
      </c>
      <c r="C304" s="21">
        <v>85430</v>
      </c>
      <c r="D304" s="21" t="s">
        <v>672</v>
      </c>
      <c r="E304" s="21" t="s">
        <v>690</v>
      </c>
      <c r="F304" s="22" t="s">
        <v>669</v>
      </c>
      <c r="G304" s="4" t="s">
        <v>416</v>
      </c>
      <c r="H304" s="6">
        <v>37399.22</v>
      </c>
      <c r="I304" s="6">
        <f t="shared" si="389"/>
        <v>102.46361643835617</v>
      </c>
      <c r="J304" s="6">
        <v>39428.3923</v>
      </c>
      <c r="K304" s="6">
        <v>39612.54</v>
      </c>
      <c r="L304" s="6">
        <f t="shared" si="391"/>
        <v>108.23098360655737</v>
      </c>
      <c r="M304" s="6">
        <v>35369.89</v>
      </c>
      <c r="N304" s="6">
        <v>31570.11</v>
      </c>
      <c r="O304" s="6">
        <f t="shared" si="394"/>
        <v>86.493452054794517</v>
      </c>
      <c r="P304" s="6">
        <v>29635.5524</v>
      </c>
      <c r="Q304" s="6">
        <v>9962.8700000000008</v>
      </c>
      <c r="R304" s="6">
        <f>Q304/181</f>
        <v>55.043480662983427</v>
      </c>
      <c r="S304" s="6">
        <v>24886.417399999998</v>
      </c>
      <c r="T304" s="6">
        <f t="shared" si="318"/>
        <v>24886.417399999998</v>
      </c>
      <c r="U304" s="6">
        <f t="shared" si="319"/>
        <v>68.181965479452046</v>
      </c>
      <c r="V304" s="6">
        <v>21000.689600000002</v>
      </c>
      <c r="W304" s="6">
        <f t="shared" si="320"/>
        <v>21000.689600000002</v>
      </c>
      <c r="X304" s="6">
        <f t="shared" si="321"/>
        <v>57.536135890410961</v>
      </c>
      <c r="Y304" s="6">
        <v>0</v>
      </c>
      <c r="Z304" s="6">
        <f t="shared" si="322"/>
        <v>0</v>
      </c>
      <c r="AA304" s="6">
        <f t="shared" si="323"/>
        <v>0</v>
      </c>
      <c r="AB304" s="6">
        <v>0</v>
      </c>
      <c r="AC304" s="6">
        <f t="shared" si="324"/>
        <v>0</v>
      </c>
      <c r="AD304" s="6">
        <f t="shared" si="325"/>
        <v>0</v>
      </c>
      <c r="AE304" s="6">
        <v>0</v>
      </c>
      <c r="AF304" s="6">
        <f t="shared" si="326"/>
        <v>0</v>
      </c>
      <c r="AG304" s="6">
        <f t="shared" si="327"/>
        <v>0</v>
      </c>
      <c r="AH304" s="6">
        <v>0</v>
      </c>
      <c r="AI304" s="6">
        <f t="shared" si="328"/>
        <v>0</v>
      </c>
      <c r="AJ304" s="6">
        <f t="shared" si="329"/>
        <v>0</v>
      </c>
      <c r="AK304" s="6">
        <v>0</v>
      </c>
      <c r="AL304" s="6">
        <f t="shared" si="330"/>
        <v>0</v>
      </c>
      <c r="AM304" s="6">
        <f t="shared" si="331"/>
        <v>0</v>
      </c>
      <c r="AN304" s="6">
        <v>0</v>
      </c>
      <c r="AO304" s="6">
        <f t="shared" si="332"/>
        <v>0</v>
      </c>
      <c r="AP304" s="6">
        <f t="shared" si="333"/>
        <v>0</v>
      </c>
      <c r="AQ304" s="6">
        <v>0</v>
      </c>
      <c r="AR304" s="6">
        <f t="shared" si="334"/>
        <v>0</v>
      </c>
      <c r="AS304" s="6">
        <f t="shared" si="335"/>
        <v>0</v>
      </c>
      <c r="AT304" s="6">
        <v>0</v>
      </c>
      <c r="AU304" s="6">
        <f t="shared" si="336"/>
        <v>0</v>
      </c>
      <c r="AV304" s="6">
        <f t="shared" si="337"/>
        <v>0</v>
      </c>
      <c r="AW304" s="6">
        <v>0</v>
      </c>
      <c r="AX304" s="6">
        <f t="shared" si="338"/>
        <v>0</v>
      </c>
      <c r="AY304" s="6">
        <f t="shared" si="339"/>
        <v>0</v>
      </c>
      <c r="AZ304" s="6">
        <v>0</v>
      </c>
      <c r="BA304" s="6">
        <f t="shared" si="340"/>
        <v>0</v>
      </c>
      <c r="BB304" s="6">
        <f t="shared" si="341"/>
        <v>0</v>
      </c>
      <c r="BC304" s="6">
        <v>0</v>
      </c>
      <c r="BD304" s="6">
        <f t="shared" si="342"/>
        <v>0</v>
      </c>
      <c r="BE304" s="6">
        <f t="shared" si="343"/>
        <v>0</v>
      </c>
      <c r="BF304" s="6">
        <v>0</v>
      </c>
      <c r="BG304" s="6">
        <f t="shared" si="344"/>
        <v>0</v>
      </c>
      <c r="BH304" s="6">
        <f t="shared" si="345"/>
        <v>0</v>
      </c>
      <c r="BI304" s="6">
        <v>0</v>
      </c>
      <c r="BJ304" s="6">
        <f t="shared" si="346"/>
        <v>0</v>
      </c>
      <c r="BK304" s="6">
        <f t="shared" si="347"/>
        <v>0</v>
      </c>
      <c r="BL304" s="6">
        <v>0</v>
      </c>
      <c r="BM304" s="6">
        <f t="shared" si="348"/>
        <v>0</v>
      </c>
      <c r="BN304" s="6">
        <f t="shared" si="349"/>
        <v>0</v>
      </c>
      <c r="BO304" s="6">
        <v>0</v>
      </c>
      <c r="BP304" s="6">
        <f t="shared" si="350"/>
        <v>0</v>
      </c>
      <c r="BQ304" s="6">
        <f t="shared" si="351"/>
        <v>0</v>
      </c>
      <c r="BR304" s="6">
        <v>0</v>
      </c>
      <c r="BS304" s="6">
        <f t="shared" si="352"/>
        <v>0</v>
      </c>
      <c r="BT304" s="6">
        <f t="shared" si="353"/>
        <v>0</v>
      </c>
      <c r="BU304" s="6">
        <v>0</v>
      </c>
      <c r="BV304" s="6">
        <f t="shared" si="354"/>
        <v>0</v>
      </c>
      <c r="BW304" s="6">
        <f t="shared" si="355"/>
        <v>0</v>
      </c>
      <c r="BX304" s="6">
        <v>0</v>
      </c>
      <c r="BY304" s="6">
        <f t="shared" si="356"/>
        <v>0</v>
      </c>
      <c r="BZ304" s="6">
        <f t="shared" si="357"/>
        <v>0</v>
      </c>
      <c r="CA304" s="6">
        <v>0</v>
      </c>
      <c r="CB304" s="6">
        <f t="shared" si="358"/>
        <v>0</v>
      </c>
      <c r="CC304" s="6">
        <f t="shared" si="359"/>
        <v>0</v>
      </c>
      <c r="CD304" s="6">
        <v>0</v>
      </c>
      <c r="CE304" s="6">
        <f t="shared" si="360"/>
        <v>0</v>
      </c>
      <c r="CF304" s="6">
        <f t="shared" si="361"/>
        <v>0</v>
      </c>
      <c r="CG304" s="6">
        <v>0</v>
      </c>
      <c r="CH304" s="6">
        <f t="shared" si="362"/>
        <v>0</v>
      </c>
      <c r="CI304" s="6">
        <f t="shared" si="363"/>
        <v>0</v>
      </c>
      <c r="CJ304" s="6">
        <v>0</v>
      </c>
      <c r="CK304" s="6">
        <f t="shared" si="364"/>
        <v>0</v>
      </c>
      <c r="CL304" s="6">
        <f t="shared" si="365"/>
        <v>0</v>
      </c>
      <c r="CM304" s="6">
        <v>0</v>
      </c>
      <c r="CN304" s="6">
        <f t="shared" si="366"/>
        <v>0</v>
      </c>
      <c r="CO304" s="6">
        <f t="shared" si="367"/>
        <v>0</v>
      </c>
      <c r="CP304" s="6">
        <v>0</v>
      </c>
      <c r="CQ304" s="6">
        <f t="shared" si="368"/>
        <v>0</v>
      </c>
      <c r="CR304" s="6">
        <f t="shared" si="369"/>
        <v>0</v>
      </c>
      <c r="CS304" s="6">
        <v>0</v>
      </c>
      <c r="CT304" s="6">
        <f t="shared" si="370"/>
        <v>0</v>
      </c>
      <c r="CU304" s="6">
        <f t="shared" si="371"/>
        <v>0</v>
      </c>
      <c r="CV304" s="6">
        <v>0</v>
      </c>
      <c r="CW304" s="6">
        <f t="shared" si="372"/>
        <v>0</v>
      </c>
      <c r="CX304" s="6">
        <f t="shared" si="373"/>
        <v>0</v>
      </c>
      <c r="CY304" s="6">
        <v>0</v>
      </c>
      <c r="CZ304" s="6">
        <f t="shared" si="374"/>
        <v>0</v>
      </c>
      <c r="DA304" s="6">
        <f t="shared" si="375"/>
        <v>0</v>
      </c>
      <c r="DB304" s="6">
        <v>0</v>
      </c>
      <c r="DC304" s="6">
        <f t="shared" si="376"/>
        <v>0</v>
      </c>
      <c r="DD304" s="6">
        <f t="shared" si="377"/>
        <v>0</v>
      </c>
      <c r="DE304" s="6">
        <v>0</v>
      </c>
      <c r="DF304" s="6">
        <f t="shared" si="378"/>
        <v>0</v>
      </c>
      <c r="DG304" s="6">
        <f t="shared" si="379"/>
        <v>0</v>
      </c>
      <c r="DH304" s="6">
        <v>0</v>
      </c>
      <c r="DI304" s="6">
        <f t="shared" si="380"/>
        <v>0</v>
      </c>
      <c r="DJ304" s="6">
        <f t="shared" si="381"/>
        <v>0</v>
      </c>
      <c r="DK304" s="6">
        <v>0</v>
      </c>
      <c r="DL304" s="6">
        <f t="shared" si="382"/>
        <v>0</v>
      </c>
      <c r="DM304" s="6">
        <f t="shared" si="383"/>
        <v>0</v>
      </c>
      <c r="DN304" s="6">
        <v>0</v>
      </c>
      <c r="DO304" s="6">
        <f t="shared" si="384"/>
        <v>0</v>
      </c>
      <c r="DP304" s="6">
        <f t="shared" si="385"/>
        <v>0</v>
      </c>
    </row>
    <row r="305" spans="1:120" x14ac:dyDescent="0.2">
      <c r="A305" s="21">
        <v>15</v>
      </c>
      <c r="B305" s="21" t="s">
        <v>660</v>
      </c>
      <c r="C305" s="21">
        <v>15572</v>
      </c>
      <c r="D305" s="21" t="s">
        <v>661</v>
      </c>
      <c r="E305" s="21" t="s">
        <v>749</v>
      </c>
      <c r="F305" s="22" t="s">
        <v>669</v>
      </c>
      <c r="G305" s="4" t="s">
        <v>417</v>
      </c>
      <c r="H305" s="6">
        <v>41243.64</v>
      </c>
      <c r="I305" s="6">
        <f t="shared" si="389"/>
        <v>112.99627397260274</v>
      </c>
      <c r="J305" s="6">
        <v>36170</v>
      </c>
      <c r="K305" s="6">
        <v>36556.300000000003</v>
      </c>
      <c r="L305" s="6">
        <f t="shared" si="391"/>
        <v>99.880601092896185</v>
      </c>
      <c r="M305" s="6">
        <v>61140</v>
      </c>
      <c r="N305" s="6">
        <v>33484.089999999997</v>
      </c>
      <c r="O305" s="6">
        <f t="shared" si="394"/>
        <v>91.737232876712312</v>
      </c>
      <c r="P305" s="6">
        <v>55719</v>
      </c>
      <c r="Q305" s="6">
        <v>10084.61</v>
      </c>
      <c r="R305" s="6">
        <f>Q305/181</f>
        <v>55.7160773480663</v>
      </c>
      <c r="S305" s="6">
        <v>78349</v>
      </c>
      <c r="T305" s="6">
        <f t="shared" si="318"/>
        <v>78349</v>
      </c>
      <c r="U305" s="6">
        <f t="shared" si="319"/>
        <v>214.65479452054794</v>
      </c>
      <c r="V305" s="6">
        <v>67755</v>
      </c>
      <c r="W305" s="6">
        <f t="shared" si="320"/>
        <v>67755</v>
      </c>
      <c r="X305" s="6">
        <f t="shared" si="321"/>
        <v>185.63013698630138</v>
      </c>
      <c r="Y305" s="6">
        <v>58994</v>
      </c>
      <c r="Z305" s="6">
        <f t="shared" si="322"/>
        <v>58994</v>
      </c>
      <c r="AA305" s="6">
        <f t="shared" si="323"/>
        <v>161.62739726027397</v>
      </c>
      <c r="AB305" s="6">
        <v>52078</v>
      </c>
      <c r="AC305" s="6">
        <f t="shared" si="324"/>
        <v>52078</v>
      </c>
      <c r="AD305" s="6">
        <f t="shared" si="325"/>
        <v>142.67945205479452</v>
      </c>
      <c r="AE305" s="6">
        <v>46411</v>
      </c>
      <c r="AF305" s="6">
        <f t="shared" si="326"/>
        <v>46411</v>
      </c>
      <c r="AG305" s="6">
        <f t="shared" si="327"/>
        <v>127.15342465753425</v>
      </c>
      <c r="AH305" s="6">
        <v>41827</v>
      </c>
      <c r="AI305" s="6">
        <f t="shared" si="328"/>
        <v>41827</v>
      </c>
      <c r="AJ305" s="6">
        <f t="shared" si="329"/>
        <v>114.59452054794521</v>
      </c>
      <c r="AK305" s="6">
        <v>37762</v>
      </c>
      <c r="AL305" s="6">
        <f t="shared" si="330"/>
        <v>37762</v>
      </c>
      <c r="AM305" s="6">
        <f t="shared" si="331"/>
        <v>103.45753424657535</v>
      </c>
      <c r="AN305" s="6">
        <v>34414</v>
      </c>
      <c r="AO305" s="6">
        <f t="shared" si="332"/>
        <v>34414</v>
      </c>
      <c r="AP305" s="6">
        <f t="shared" si="333"/>
        <v>94.284931506849318</v>
      </c>
      <c r="AQ305" s="6">
        <v>0</v>
      </c>
      <c r="AR305" s="6">
        <f t="shared" si="334"/>
        <v>0</v>
      </c>
      <c r="AS305" s="6">
        <f t="shared" si="335"/>
        <v>0</v>
      </c>
      <c r="AT305" s="6">
        <v>0</v>
      </c>
      <c r="AU305" s="6">
        <f t="shared" si="336"/>
        <v>0</v>
      </c>
      <c r="AV305" s="6">
        <f t="shared" si="337"/>
        <v>0</v>
      </c>
      <c r="AW305" s="6">
        <v>0</v>
      </c>
      <c r="AX305" s="6">
        <f t="shared" si="338"/>
        <v>0</v>
      </c>
      <c r="AY305" s="6">
        <f t="shared" si="339"/>
        <v>0</v>
      </c>
      <c r="AZ305" s="6">
        <v>0</v>
      </c>
      <c r="BA305" s="6">
        <f t="shared" si="340"/>
        <v>0</v>
      </c>
      <c r="BB305" s="6">
        <f t="shared" si="341"/>
        <v>0</v>
      </c>
      <c r="BC305" s="6">
        <v>0</v>
      </c>
      <c r="BD305" s="6">
        <f t="shared" si="342"/>
        <v>0</v>
      </c>
      <c r="BE305" s="6">
        <f t="shared" si="343"/>
        <v>0</v>
      </c>
      <c r="BF305" s="6">
        <v>0</v>
      </c>
      <c r="BG305" s="6">
        <f t="shared" si="344"/>
        <v>0</v>
      </c>
      <c r="BH305" s="6">
        <f t="shared" si="345"/>
        <v>0</v>
      </c>
      <c r="BI305" s="6">
        <v>0</v>
      </c>
      <c r="BJ305" s="6">
        <f t="shared" si="346"/>
        <v>0</v>
      </c>
      <c r="BK305" s="6">
        <f t="shared" si="347"/>
        <v>0</v>
      </c>
      <c r="BL305" s="6">
        <v>0</v>
      </c>
      <c r="BM305" s="6">
        <f t="shared" si="348"/>
        <v>0</v>
      </c>
      <c r="BN305" s="6">
        <f t="shared" si="349"/>
        <v>0</v>
      </c>
      <c r="BO305" s="6">
        <v>0</v>
      </c>
      <c r="BP305" s="6">
        <f t="shared" si="350"/>
        <v>0</v>
      </c>
      <c r="BQ305" s="6">
        <f t="shared" si="351"/>
        <v>0</v>
      </c>
      <c r="BR305" s="6">
        <v>0</v>
      </c>
      <c r="BS305" s="6">
        <f t="shared" si="352"/>
        <v>0</v>
      </c>
      <c r="BT305" s="6">
        <f t="shared" si="353"/>
        <v>0</v>
      </c>
      <c r="BU305" s="6">
        <v>0</v>
      </c>
      <c r="BV305" s="6">
        <f t="shared" si="354"/>
        <v>0</v>
      </c>
      <c r="BW305" s="6">
        <f t="shared" si="355"/>
        <v>0</v>
      </c>
      <c r="BX305" s="6">
        <v>0</v>
      </c>
      <c r="BY305" s="6">
        <f t="shared" si="356"/>
        <v>0</v>
      </c>
      <c r="BZ305" s="6">
        <f t="shared" si="357"/>
        <v>0</v>
      </c>
      <c r="CA305" s="6">
        <v>0</v>
      </c>
      <c r="CB305" s="6">
        <f t="shared" si="358"/>
        <v>0</v>
      </c>
      <c r="CC305" s="6">
        <f t="shared" si="359"/>
        <v>0</v>
      </c>
      <c r="CD305" s="6">
        <v>0</v>
      </c>
      <c r="CE305" s="6">
        <f t="shared" si="360"/>
        <v>0</v>
      </c>
      <c r="CF305" s="6">
        <f t="shared" si="361"/>
        <v>0</v>
      </c>
      <c r="CG305" s="6">
        <v>0</v>
      </c>
      <c r="CH305" s="6">
        <f t="shared" si="362"/>
        <v>0</v>
      </c>
      <c r="CI305" s="6">
        <f t="shared" si="363"/>
        <v>0</v>
      </c>
      <c r="CJ305" s="6">
        <v>0</v>
      </c>
      <c r="CK305" s="6">
        <f t="shared" si="364"/>
        <v>0</v>
      </c>
      <c r="CL305" s="6">
        <f t="shared" si="365"/>
        <v>0</v>
      </c>
      <c r="CM305" s="6">
        <v>0</v>
      </c>
      <c r="CN305" s="6">
        <f t="shared" si="366"/>
        <v>0</v>
      </c>
      <c r="CO305" s="6">
        <f t="shared" si="367"/>
        <v>0</v>
      </c>
      <c r="CP305" s="6">
        <v>0</v>
      </c>
      <c r="CQ305" s="6">
        <f t="shared" si="368"/>
        <v>0</v>
      </c>
      <c r="CR305" s="6">
        <f t="shared" si="369"/>
        <v>0</v>
      </c>
      <c r="CS305" s="6">
        <v>0</v>
      </c>
      <c r="CT305" s="6">
        <f t="shared" si="370"/>
        <v>0</v>
      </c>
      <c r="CU305" s="6">
        <f t="shared" si="371"/>
        <v>0</v>
      </c>
      <c r="CV305" s="6">
        <v>0</v>
      </c>
      <c r="CW305" s="6">
        <f t="shared" si="372"/>
        <v>0</v>
      </c>
      <c r="CX305" s="6">
        <f t="shared" si="373"/>
        <v>0</v>
      </c>
      <c r="CY305" s="6">
        <v>0</v>
      </c>
      <c r="CZ305" s="6">
        <f t="shared" si="374"/>
        <v>0</v>
      </c>
      <c r="DA305" s="6">
        <f t="shared" si="375"/>
        <v>0</v>
      </c>
      <c r="DB305" s="6">
        <v>0</v>
      </c>
      <c r="DC305" s="6">
        <f t="shared" si="376"/>
        <v>0</v>
      </c>
      <c r="DD305" s="6">
        <f t="shared" si="377"/>
        <v>0</v>
      </c>
      <c r="DE305" s="6">
        <v>0</v>
      </c>
      <c r="DF305" s="6">
        <f t="shared" si="378"/>
        <v>0</v>
      </c>
      <c r="DG305" s="6">
        <f t="shared" si="379"/>
        <v>0</v>
      </c>
      <c r="DH305" s="6">
        <v>0</v>
      </c>
      <c r="DI305" s="6">
        <f t="shared" si="380"/>
        <v>0</v>
      </c>
      <c r="DJ305" s="6">
        <f t="shared" si="381"/>
        <v>0</v>
      </c>
      <c r="DK305" s="6">
        <v>0</v>
      </c>
      <c r="DL305" s="6">
        <f t="shared" si="382"/>
        <v>0</v>
      </c>
      <c r="DM305" s="6">
        <f t="shared" si="383"/>
        <v>0</v>
      </c>
      <c r="DN305" s="6">
        <v>0</v>
      </c>
      <c r="DO305" s="6">
        <f t="shared" si="384"/>
        <v>0</v>
      </c>
      <c r="DP305" s="6">
        <f t="shared" si="385"/>
        <v>0</v>
      </c>
    </row>
    <row r="306" spans="1:120" x14ac:dyDescent="0.2">
      <c r="A306" s="21">
        <v>15</v>
      </c>
      <c r="B306" s="21" t="s">
        <v>660</v>
      </c>
      <c r="C306" s="21">
        <v>15572</v>
      </c>
      <c r="D306" s="21" t="s">
        <v>661</v>
      </c>
      <c r="E306" s="21" t="s">
        <v>522</v>
      </c>
      <c r="F306" s="22" t="s">
        <v>662</v>
      </c>
      <c r="G306" s="4" t="s">
        <v>418</v>
      </c>
      <c r="H306" s="6">
        <v>477640.67</v>
      </c>
      <c r="I306" s="6">
        <f t="shared" si="389"/>
        <v>1308.6045753424658</v>
      </c>
      <c r="J306" s="6">
        <v>448360</v>
      </c>
      <c r="K306" s="6">
        <v>508876.09</v>
      </c>
      <c r="L306" s="6">
        <f t="shared" si="391"/>
        <v>1390.3718306010931</v>
      </c>
      <c r="M306" s="6">
        <v>373445</v>
      </c>
      <c r="N306" s="6">
        <v>303041.06</v>
      </c>
      <c r="O306" s="6">
        <f t="shared" si="394"/>
        <v>830.24947945205474</v>
      </c>
      <c r="P306" s="6">
        <v>312541</v>
      </c>
      <c r="Q306" s="6"/>
      <c r="R306" s="6"/>
      <c r="S306" s="6">
        <v>261850</v>
      </c>
      <c r="T306" s="6">
        <f t="shared" si="318"/>
        <v>261850</v>
      </c>
      <c r="U306" s="6">
        <f t="shared" si="319"/>
        <v>717.39726027397262</v>
      </c>
      <c r="V306" s="6">
        <v>217281</v>
      </c>
      <c r="W306" s="6">
        <f t="shared" si="320"/>
        <v>217281</v>
      </c>
      <c r="X306" s="6">
        <f t="shared" si="321"/>
        <v>595.29041095890409</v>
      </c>
      <c r="Y306" s="6">
        <v>0</v>
      </c>
      <c r="Z306" s="6">
        <f t="shared" si="322"/>
        <v>0</v>
      </c>
      <c r="AA306" s="6">
        <f t="shared" si="323"/>
        <v>0</v>
      </c>
      <c r="AB306" s="6">
        <v>0</v>
      </c>
      <c r="AC306" s="6">
        <f t="shared" si="324"/>
        <v>0</v>
      </c>
      <c r="AD306" s="6">
        <f t="shared" si="325"/>
        <v>0</v>
      </c>
      <c r="AE306" s="6">
        <v>0</v>
      </c>
      <c r="AF306" s="6">
        <f t="shared" si="326"/>
        <v>0</v>
      </c>
      <c r="AG306" s="6">
        <f t="shared" si="327"/>
        <v>0</v>
      </c>
      <c r="AH306" s="6">
        <v>0</v>
      </c>
      <c r="AI306" s="6">
        <f t="shared" si="328"/>
        <v>0</v>
      </c>
      <c r="AJ306" s="6">
        <f t="shared" si="329"/>
        <v>0</v>
      </c>
      <c r="AK306" s="6">
        <v>0</v>
      </c>
      <c r="AL306" s="6">
        <f t="shared" si="330"/>
        <v>0</v>
      </c>
      <c r="AM306" s="6">
        <f t="shared" si="331"/>
        <v>0</v>
      </c>
      <c r="AN306" s="6">
        <v>0</v>
      </c>
      <c r="AO306" s="6">
        <f t="shared" si="332"/>
        <v>0</v>
      </c>
      <c r="AP306" s="6">
        <f t="shared" si="333"/>
        <v>0</v>
      </c>
      <c r="AQ306" s="6">
        <v>0</v>
      </c>
      <c r="AR306" s="6">
        <f t="shared" si="334"/>
        <v>0</v>
      </c>
      <c r="AS306" s="6">
        <f t="shared" si="335"/>
        <v>0</v>
      </c>
      <c r="AT306" s="6">
        <v>0</v>
      </c>
      <c r="AU306" s="6">
        <f t="shared" si="336"/>
        <v>0</v>
      </c>
      <c r="AV306" s="6">
        <f t="shared" si="337"/>
        <v>0</v>
      </c>
      <c r="AW306" s="6">
        <v>0</v>
      </c>
      <c r="AX306" s="6">
        <f t="shared" si="338"/>
        <v>0</v>
      </c>
      <c r="AY306" s="6">
        <f t="shared" si="339"/>
        <v>0</v>
      </c>
      <c r="AZ306" s="6">
        <v>0</v>
      </c>
      <c r="BA306" s="6">
        <f t="shared" si="340"/>
        <v>0</v>
      </c>
      <c r="BB306" s="6">
        <f t="shared" si="341"/>
        <v>0</v>
      </c>
      <c r="BC306" s="6">
        <v>0</v>
      </c>
      <c r="BD306" s="6">
        <f t="shared" si="342"/>
        <v>0</v>
      </c>
      <c r="BE306" s="6">
        <f t="shared" si="343"/>
        <v>0</v>
      </c>
      <c r="BF306" s="6">
        <v>0</v>
      </c>
      <c r="BG306" s="6">
        <f t="shared" si="344"/>
        <v>0</v>
      </c>
      <c r="BH306" s="6">
        <f t="shared" si="345"/>
        <v>0</v>
      </c>
      <c r="BI306" s="6">
        <v>0</v>
      </c>
      <c r="BJ306" s="6">
        <f t="shared" si="346"/>
        <v>0</v>
      </c>
      <c r="BK306" s="6">
        <f t="shared" si="347"/>
        <v>0</v>
      </c>
      <c r="BL306" s="6">
        <v>0</v>
      </c>
      <c r="BM306" s="6">
        <f t="shared" si="348"/>
        <v>0</v>
      </c>
      <c r="BN306" s="6">
        <f t="shared" si="349"/>
        <v>0</v>
      </c>
      <c r="BO306" s="6">
        <v>0</v>
      </c>
      <c r="BP306" s="6">
        <f t="shared" si="350"/>
        <v>0</v>
      </c>
      <c r="BQ306" s="6">
        <f t="shared" si="351"/>
        <v>0</v>
      </c>
      <c r="BR306" s="6">
        <v>0</v>
      </c>
      <c r="BS306" s="6">
        <f t="shared" si="352"/>
        <v>0</v>
      </c>
      <c r="BT306" s="6">
        <f t="shared" si="353"/>
        <v>0</v>
      </c>
      <c r="BU306" s="6">
        <v>0</v>
      </c>
      <c r="BV306" s="6">
        <f t="shared" si="354"/>
        <v>0</v>
      </c>
      <c r="BW306" s="6">
        <f t="shared" si="355"/>
        <v>0</v>
      </c>
      <c r="BX306" s="6">
        <v>0</v>
      </c>
      <c r="BY306" s="6">
        <f t="shared" si="356"/>
        <v>0</v>
      </c>
      <c r="BZ306" s="6">
        <f t="shared" si="357"/>
        <v>0</v>
      </c>
      <c r="CA306" s="6">
        <v>0</v>
      </c>
      <c r="CB306" s="6">
        <f t="shared" si="358"/>
        <v>0</v>
      </c>
      <c r="CC306" s="6">
        <f t="shared" si="359"/>
        <v>0</v>
      </c>
      <c r="CD306" s="6">
        <v>0</v>
      </c>
      <c r="CE306" s="6">
        <f t="shared" si="360"/>
        <v>0</v>
      </c>
      <c r="CF306" s="6">
        <f t="shared" si="361"/>
        <v>0</v>
      </c>
      <c r="CG306" s="6">
        <v>0</v>
      </c>
      <c r="CH306" s="6">
        <f t="shared" si="362"/>
        <v>0</v>
      </c>
      <c r="CI306" s="6">
        <f t="shared" si="363"/>
        <v>0</v>
      </c>
      <c r="CJ306" s="6">
        <v>0</v>
      </c>
      <c r="CK306" s="6">
        <f t="shared" si="364"/>
        <v>0</v>
      </c>
      <c r="CL306" s="6">
        <f t="shared" si="365"/>
        <v>0</v>
      </c>
      <c r="CM306" s="6">
        <v>0</v>
      </c>
      <c r="CN306" s="6">
        <f t="shared" si="366"/>
        <v>0</v>
      </c>
      <c r="CO306" s="6">
        <f t="shared" si="367"/>
        <v>0</v>
      </c>
      <c r="CP306" s="6">
        <v>0</v>
      </c>
      <c r="CQ306" s="6">
        <f t="shared" si="368"/>
        <v>0</v>
      </c>
      <c r="CR306" s="6">
        <f t="shared" si="369"/>
        <v>0</v>
      </c>
      <c r="CS306" s="6">
        <v>0</v>
      </c>
      <c r="CT306" s="6">
        <f t="shared" si="370"/>
        <v>0</v>
      </c>
      <c r="CU306" s="6">
        <f t="shared" si="371"/>
        <v>0</v>
      </c>
      <c r="CV306" s="6">
        <v>0</v>
      </c>
      <c r="CW306" s="6">
        <f t="shared" si="372"/>
        <v>0</v>
      </c>
      <c r="CX306" s="6">
        <f t="shared" si="373"/>
        <v>0</v>
      </c>
      <c r="CY306" s="6">
        <v>0</v>
      </c>
      <c r="CZ306" s="6">
        <f t="shared" si="374"/>
        <v>0</v>
      </c>
      <c r="DA306" s="6">
        <f t="shared" si="375"/>
        <v>0</v>
      </c>
      <c r="DB306" s="6">
        <v>0</v>
      </c>
      <c r="DC306" s="6">
        <f t="shared" si="376"/>
        <v>0</v>
      </c>
      <c r="DD306" s="6">
        <f t="shared" si="377"/>
        <v>0</v>
      </c>
      <c r="DE306" s="6">
        <v>0</v>
      </c>
      <c r="DF306" s="6">
        <f t="shared" si="378"/>
        <v>0</v>
      </c>
      <c r="DG306" s="6">
        <f t="shared" si="379"/>
        <v>0</v>
      </c>
      <c r="DH306" s="6">
        <v>0</v>
      </c>
      <c r="DI306" s="6">
        <f t="shared" si="380"/>
        <v>0</v>
      </c>
      <c r="DJ306" s="6">
        <f t="shared" si="381"/>
        <v>0</v>
      </c>
      <c r="DK306" s="6">
        <v>0</v>
      </c>
      <c r="DL306" s="6">
        <f t="shared" si="382"/>
        <v>0</v>
      </c>
      <c r="DM306" s="6">
        <f t="shared" si="383"/>
        <v>0</v>
      </c>
      <c r="DN306" s="6">
        <v>0</v>
      </c>
      <c r="DO306" s="6">
        <f t="shared" si="384"/>
        <v>0</v>
      </c>
      <c r="DP306" s="6">
        <f t="shared" si="385"/>
        <v>0</v>
      </c>
    </row>
    <row r="307" spans="1:120" x14ac:dyDescent="0.2">
      <c r="A307" s="21">
        <v>50</v>
      </c>
      <c r="B307" s="21" t="s">
        <v>675</v>
      </c>
      <c r="C307" s="21">
        <v>50568</v>
      </c>
      <c r="D307" s="21" t="s">
        <v>700</v>
      </c>
      <c r="E307" s="21" t="s">
        <v>699</v>
      </c>
      <c r="F307" s="22" t="s">
        <v>659</v>
      </c>
      <c r="G307" s="4" t="s">
        <v>419</v>
      </c>
      <c r="H307" s="6">
        <v>11194.06</v>
      </c>
      <c r="I307" s="6">
        <f t="shared" si="389"/>
        <v>30.668657534246574</v>
      </c>
      <c r="J307" s="6">
        <v>10267.6054</v>
      </c>
      <c r="K307" s="6">
        <v>3827.82</v>
      </c>
      <c r="L307" s="6">
        <f t="shared" si="391"/>
        <v>10.458524590163934</v>
      </c>
      <c r="M307" s="6">
        <v>8963.0488999999998</v>
      </c>
      <c r="N307" s="6">
        <v>7514.98</v>
      </c>
      <c r="O307" s="6">
        <f t="shared" si="394"/>
        <v>20.588986301369861</v>
      </c>
      <c r="P307" s="6">
        <v>7874.2498999999998</v>
      </c>
      <c r="Q307" s="6">
        <v>2565.3000000000002</v>
      </c>
      <c r="R307" s="6">
        <f t="shared" ref="R307:R341" si="395">Q307/181</f>
        <v>14.172928176795581</v>
      </c>
      <c r="S307" s="6">
        <v>4716.0043999999998</v>
      </c>
      <c r="T307" s="6">
        <f t="shared" si="318"/>
        <v>4716.0043999999998</v>
      </c>
      <c r="U307" s="6">
        <f t="shared" si="319"/>
        <v>12.92056</v>
      </c>
      <c r="V307" s="6">
        <v>0</v>
      </c>
      <c r="W307" s="6">
        <f t="shared" si="320"/>
        <v>0</v>
      </c>
      <c r="X307" s="6">
        <f t="shared" si="321"/>
        <v>0</v>
      </c>
      <c r="Y307" s="6">
        <v>0</v>
      </c>
      <c r="Z307" s="6">
        <f t="shared" si="322"/>
        <v>0</v>
      </c>
      <c r="AA307" s="6">
        <f t="shared" si="323"/>
        <v>0</v>
      </c>
      <c r="AB307" s="6">
        <v>0</v>
      </c>
      <c r="AC307" s="6">
        <f t="shared" si="324"/>
        <v>0</v>
      </c>
      <c r="AD307" s="6">
        <f t="shared" si="325"/>
        <v>0</v>
      </c>
      <c r="AE307" s="6">
        <v>0</v>
      </c>
      <c r="AF307" s="6">
        <f t="shared" si="326"/>
        <v>0</v>
      </c>
      <c r="AG307" s="6">
        <f t="shared" si="327"/>
        <v>0</v>
      </c>
      <c r="AH307" s="6">
        <v>0</v>
      </c>
      <c r="AI307" s="6">
        <f t="shared" si="328"/>
        <v>0</v>
      </c>
      <c r="AJ307" s="6">
        <f t="shared" si="329"/>
        <v>0</v>
      </c>
      <c r="AK307" s="6">
        <v>0</v>
      </c>
      <c r="AL307" s="6">
        <f t="shared" si="330"/>
        <v>0</v>
      </c>
      <c r="AM307" s="6">
        <f t="shared" si="331"/>
        <v>0</v>
      </c>
      <c r="AN307" s="6">
        <v>0</v>
      </c>
      <c r="AO307" s="6">
        <f t="shared" si="332"/>
        <v>0</v>
      </c>
      <c r="AP307" s="6">
        <f t="shared" si="333"/>
        <v>0</v>
      </c>
      <c r="AQ307" s="6">
        <v>0</v>
      </c>
      <c r="AR307" s="6">
        <f t="shared" si="334"/>
        <v>0</v>
      </c>
      <c r="AS307" s="6">
        <f t="shared" si="335"/>
        <v>0</v>
      </c>
      <c r="AT307" s="6">
        <v>0</v>
      </c>
      <c r="AU307" s="6">
        <f t="shared" si="336"/>
        <v>0</v>
      </c>
      <c r="AV307" s="6">
        <f t="shared" si="337"/>
        <v>0</v>
      </c>
      <c r="AW307" s="6">
        <v>0</v>
      </c>
      <c r="AX307" s="6">
        <f t="shared" si="338"/>
        <v>0</v>
      </c>
      <c r="AY307" s="6">
        <f t="shared" si="339"/>
        <v>0</v>
      </c>
      <c r="AZ307" s="6">
        <v>0</v>
      </c>
      <c r="BA307" s="6">
        <f t="shared" si="340"/>
        <v>0</v>
      </c>
      <c r="BB307" s="6">
        <f t="shared" si="341"/>
        <v>0</v>
      </c>
      <c r="BC307" s="6">
        <v>0</v>
      </c>
      <c r="BD307" s="6">
        <f t="shared" si="342"/>
        <v>0</v>
      </c>
      <c r="BE307" s="6">
        <f t="shared" si="343"/>
        <v>0</v>
      </c>
      <c r="BF307" s="6">
        <v>0</v>
      </c>
      <c r="BG307" s="6">
        <f t="shared" si="344"/>
        <v>0</v>
      </c>
      <c r="BH307" s="6">
        <f t="shared" si="345"/>
        <v>0</v>
      </c>
      <c r="BI307" s="6">
        <v>0</v>
      </c>
      <c r="BJ307" s="6">
        <f t="shared" si="346"/>
        <v>0</v>
      </c>
      <c r="BK307" s="6">
        <f t="shared" si="347"/>
        <v>0</v>
      </c>
      <c r="BL307" s="6">
        <v>0</v>
      </c>
      <c r="BM307" s="6">
        <f t="shared" si="348"/>
        <v>0</v>
      </c>
      <c r="BN307" s="6">
        <f t="shared" si="349"/>
        <v>0</v>
      </c>
      <c r="BO307" s="6">
        <v>0</v>
      </c>
      <c r="BP307" s="6">
        <f t="shared" si="350"/>
        <v>0</v>
      </c>
      <c r="BQ307" s="6">
        <f t="shared" si="351"/>
        <v>0</v>
      </c>
      <c r="BR307" s="6">
        <v>0</v>
      </c>
      <c r="BS307" s="6">
        <f t="shared" si="352"/>
        <v>0</v>
      </c>
      <c r="BT307" s="6">
        <f t="shared" si="353"/>
        <v>0</v>
      </c>
      <c r="BU307" s="6">
        <v>0</v>
      </c>
      <c r="BV307" s="6">
        <f t="shared" si="354"/>
        <v>0</v>
      </c>
      <c r="BW307" s="6">
        <f t="shared" si="355"/>
        <v>0</v>
      </c>
      <c r="BX307" s="6">
        <v>0</v>
      </c>
      <c r="BY307" s="6">
        <f t="shared" si="356"/>
        <v>0</v>
      </c>
      <c r="BZ307" s="6">
        <f t="shared" si="357"/>
        <v>0</v>
      </c>
      <c r="CA307" s="6">
        <v>0</v>
      </c>
      <c r="CB307" s="6">
        <f t="shared" si="358"/>
        <v>0</v>
      </c>
      <c r="CC307" s="6">
        <f t="shared" si="359"/>
        <v>0</v>
      </c>
      <c r="CD307" s="6">
        <v>0</v>
      </c>
      <c r="CE307" s="6">
        <f t="shared" si="360"/>
        <v>0</v>
      </c>
      <c r="CF307" s="6">
        <f t="shared" si="361"/>
        <v>0</v>
      </c>
      <c r="CG307" s="6">
        <v>0</v>
      </c>
      <c r="CH307" s="6">
        <f t="shared" si="362"/>
        <v>0</v>
      </c>
      <c r="CI307" s="6">
        <f t="shared" si="363"/>
        <v>0</v>
      </c>
      <c r="CJ307" s="6">
        <v>0</v>
      </c>
      <c r="CK307" s="6">
        <f t="shared" si="364"/>
        <v>0</v>
      </c>
      <c r="CL307" s="6">
        <f t="shared" si="365"/>
        <v>0</v>
      </c>
      <c r="CM307" s="6">
        <v>0</v>
      </c>
      <c r="CN307" s="6">
        <f t="shared" si="366"/>
        <v>0</v>
      </c>
      <c r="CO307" s="6">
        <f t="shared" si="367"/>
        <v>0</v>
      </c>
      <c r="CP307" s="6">
        <v>0</v>
      </c>
      <c r="CQ307" s="6">
        <f t="shared" si="368"/>
        <v>0</v>
      </c>
      <c r="CR307" s="6">
        <f t="shared" si="369"/>
        <v>0</v>
      </c>
      <c r="CS307" s="6">
        <v>0</v>
      </c>
      <c r="CT307" s="6">
        <f t="shared" si="370"/>
        <v>0</v>
      </c>
      <c r="CU307" s="6">
        <f t="shared" si="371"/>
        <v>0</v>
      </c>
      <c r="CV307" s="6">
        <v>0</v>
      </c>
      <c r="CW307" s="6">
        <f t="shared" si="372"/>
        <v>0</v>
      </c>
      <c r="CX307" s="6">
        <f t="shared" si="373"/>
        <v>0</v>
      </c>
      <c r="CY307" s="6">
        <v>0</v>
      </c>
      <c r="CZ307" s="6">
        <f t="shared" si="374"/>
        <v>0</v>
      </c>
      <c r="DA307" s="6">
        <f t="shared" si="375"/>
        <v>0</v>
      </c>
      <c r="DB307" s="6">
        <v>0</v>
      </c>
      <c r="DC307" s="6">
        <f t="shared" si="376"/>
        <v>0</v>
      </c>
      <c r="DD307" s="6">
        <f t="shared" si="377"/>
        <v>0</v>
      </c>
      <c r="DE307" s="6">
        <v>0</v>
      </c>
      <c r="DF307" s="6">
        <f t="shared" si="378"/>
        <v>0</v>
      </c>
      <c r="DG307" s="6">
        <f t="shared" si="379"/>
        <v>0</v>
      </c>
      <c r="DH307" s="6">
        <v>0</v>
      </c>
      <c r="DI307" s="6">
        <f t="shared" si="380"/>
        <v>0</v>
      </c>
      <c r="DJ307" s="6">
        <f t="shared" si="381"/>
        <v>0</v>
      </c>
      <c r="DK307" s="6">
        <v>0</v>
      </c>
      <c r="DL307" s="6">
        <f t="shared" si="382"/>
        <v>0</v>
      </c>
      <c r="DM307" s="6">
        <f t="shared" si="383"/>
        <v>0</v>
      </c>
      <c r="DN307" s="6">
        <v>0</v>
      </c>
      <c r="DO307" s="6">
        <f t="shared" si="384"/>
        <v>0</v>
      </c>
      <c r="DP307" s="6">
        <f t="shared" si="385"/>
        <v>0</v>
      </c>
    </row>
    <row r="308" spans="1:120" x14ac:dyDescent="0.2">
      <c r="A308" s="21">
        <v>50</v>
      </c>
      <c r="B308" s="21" t="s">
        <v>675</v>
      </c>
      <c r="C308" s="21">
        <v>50573</v>
      </c>
      <c r="D308" s="21" t="s">
        <v>723</v>
      </c>
      <c r="E308" s="21" t="s">
        <v>588</v>
      </c>
      <c r="F308" s="22" t="s">
        <v>666</v>
      </c>
      <c r="G308" s="4" t="s">
        <v>420</v>
      </c>
      <c r="H308" s="6">
        <v>183064.86</v>
      </c>
      <c r="I308" s="6">
        <f t="shared" si="389"/>
        <v>501.54756164383559</v>
      </c>
      <c r="J308" s="6">
        <v>183669.32430000001</v>
      </c>
      <c r="K308" s="6">
        <v>179117.55</v>
      </c>
      <c r="L308" s="6">
        <f t="shared" si="391"/>
        <v>489.39221311475404</v>
      </c>
      <c r="M308" s="6">
        <v>173481.95879999999</v>
      </c>
      <c r="N308" s="6">
        <v>169761.07</v>
      </c>
      <c r="O308" s="6">
        <f t="shared" si="394"/>
        <v>465.09882191780827</v>
      </c>
      <c r="P308" s="6">
        <v>162961.0582</v>
      </c>
      <c r="Q308" s="6">
        <v>80558.59</v>
      </c>
      <c r="R308" s="6">
        <f t="shared" si="395"/>
        <v>445.07508287292814</v>
      </c>
      <c r="S308" s="6">
        <v>153512.2157</v>
      </c>
      <c r="T308" s="6">
        <f t="shared" si="318"/>
        <v>153512.2157</v>
      </c>
      <c r="U308" s="6">
        <f t="shared" si="319"/>
        <v>420.58141287671231</v>
      </c>
      <c r="V308" s="6">
        <v>145002.67540000001</v>
      </c>
      <c r="W308" s="6">
        <f t="shared" si="320"/>
        <v>145002.67540000001</v>
      </c>
      <c r="X308" s="6">
        <f t="shared" si="321"/>
        <v>397.26760383561646</v>
      </c>
      <c r="Y308" s="6">
        <v>136226.10329999999</v>
      </c>
      <c r="Z308" s="6">
        <f t="shared" si="322"/>
        <v>136226.10329999999</v>
      </c>
      <c r="AA308" s="6">
        <f t="shared" si="323"/>
        <v>373.2222008219178</v>
      </c>
      <c r="AB308" s="6">
        <v>128345.2392</v>
      </c>
      <c r="AC308" s="6">
        <f t="shared" si="324"/>
        <v>128345.2392</v>
      </c>
      <c r="AD308" s="6">
        <f t="shared" si="325"/>
        <v>351.63079232876709</v>
      </c>
      <c r="AE308" s="6">
        <v>120931.34600000001</v>
      </c>
      <c r="AF308" s="6">
        <f t="shared" si="326"/>
        <v>120931.34600000001</v>
      </c>
      <c r="AG308" s="6">
        <f t="shared" si="327"/>
        <v>331.31875616438356</v>
      </c>
      <c r="AH308" s="6">
        <v>114253.6471</v>
      </c>
      <c r="AI308" s="6">
        <f t="shared" si="328"/>
        <v>114253.6471</v>
      </c>
      <c r="AJ308" s="6">
        <f t="shared" si="329"/>
        <v>313.02369068493152</v>
      </c>
      <c r="AK308" s="6">
        <v>107359.8933</v>
      </c>
      <c r="AL308" s="6">
        <f t="shared" si="330"/>
        <v>107359.8933</v>
      </c>
      <c r="AM308" s="6">
        <f t="shared" si="331"/>
        <v>294.13669397260276</v>
      </c>
      <c r="AN308" s="6">
        <v>101176.6388</v>
      </c>
      <c r="AO308" s="6">
        <f t="shared" si="332"/>
        <v>101176.6388</v>
      </c>
      <c r="AP308" s="6">
        <f t="shared" si="333"/>
        <v>277.19627068493151</v>
      </c>
      <c r="AQ308" s="6">
        <v>95354.796600000001</v>
      </c>
      <c r="AR308" s="6">
        <f t="shared" si="334"/>
        <v>95354.796600000001</v>
      </c>
      <c r="AS308" s="6">
        <f t="shared" si="335"/>
        <v>261.24601808219177</v>
      </c>
      <c r="AT308" s="6">
        <v>90112.406300000002</v>
      </c>
      <c r="AU308" s="6">
        <f t="shared" si="336"/>
        <v>90112.406300000002</v>
      </c>
      <c r="AV308" s="6">
        <f t="shared" si="337"/>
        <v>246.88330493150684</v>
      </c>
      <c r="AW308" s="6">
        <v>84699.766199999998</v>
      </c>
      <c r="AX308" s="6">
        <f t="shared" si="338"/>
        <v>84699.766199999998</v>
      </c>
      <c r="AY308" s="6">
        <f t="shared" si="339"/>
        <v>232.05415397260273</v>
      </c>
      <c r="AZ308" s="6">
        <v>79842.252500000002</v>
      </c>
      <c r="BA308" s="6">
        <f t="shared" si="340"/>
        <v>79842.252500000002</v>
      </c>
      <c r="BB308" s="6">
        <f t="shared" si="341"/>
        <v>218.74589726027398</v>
      </c>
      <c r="BC308" s="6">
        <v>75269.863299999997</v>
      </c>
      <c r="BD308" s="6">
        <f t="shared" si="342"/>
        <v>75269.863299999997</v>
      </c>
      <c r="BE308" s="6">
        <f t="shared" si="343"/>
        <v>206.21880356164382</v>
      </c>
      <c r="BF308" s="6">
        <v>71152.710600000006</v>
      </c>
      <c r="BG308" s="6">
        <f t="shared" si="344"/>
        <v>71152.710600000006</v>
      </c>
      <c r="BH308" s="6">
        <f t="shared" si="345"/>
        <v>194.93893315068496</v>
      </c>
      <c r="BI308" s="6">
        <v>66898.152900000001</v>
      </c>
      <c r="BJ308" s="6">
        <f t="shared" si="346"/>
        <v>66898.152900000001</v>
      </c>
      <c r="BK308" s="6">
        <f t="shared" si="347"/>
        <v>183.28261068493151</v>
      </c>
      <c r="BL308" s="6">
        <v>63080.681299999997</v>
      </c>
      <c r="BM308" s="6">
        <f t="shared" si="348"/>
        <v>63080.681299999997</v>
      </c>
      <c r="BN308" s="6">
        <f t="shared" si="349"/>
        <v>172.82378438356164</v>
      </c>
      <c r="BO308" s="6">
        <v>59485.786399999997</v>
      </c>
      <c r="BP308" s="6">
        <f t="shared" si="350"/>
        <v>59485.786399999997</v>
      </c>
      <c r="BQ308" s="6">
        <f t="shared" si="351"/>
        <v>162.97475726027398</v>
      </c>
      <c r="BR308" s="6">
        <v>56248.644500000002</v>
      </c>
      <c r="BS308" s="6">
        <f t="shared" si="352"/>
        <v>56248.644500000002</v>
      </c>
      <c r="BT308" s="6">
        <f t="shared" si="353"/>
        <v>154.10587534246577</v>
      </c>
      <c r="BU308" s="6">
        <v>52902.010999999999</v>
      </c>
      <c r="BV308" s="6">
        <f t="shared" si="354"/>
        <v>52902.010999999999</v>
      </c>
      <c r="BW308" s="6">
        <f t="shared" si="355"/>
        <v>144.93701643835615</v>
      </c>
      <c r="BX308" s="6">
        <v>49898.783600000002</v>
      </c>
      <c r="BY308" s="6">
        <f t="shared" si="356"/>
        <v>49898.783600000002</v>
      </c>
      <c r="BZ308" s="6">
        <f t="shared" si="357"/>
        <v>136.70899616438356</v>
      </c>
      <c r="CA308" s="6">
        <v>47069.327499999999</v>
      </c>
      <c r="CB308" s="6">
        <f t="shared" si="358"/>
        <v>47069.327499999999</v>
      </c>
      <c r="CC308" s="6">
        <f t="shared" si="359"/>
        <v>128.9570616438356</v>
      </c>
      <c r="CD308" s="6">
        <v>44522.1708</v>
      </c>
      <c r="CE308" s="6">
        <f t="shared" si="360"/>
        <v>44522.1708</v>
      </c>
      <c r="CF308" s="6">
        <f t="shared" si="361"/>
        <v>121.9785501369863</v>
      </c>
      <c r="CG308" s="6">
        <v>40992.565999999999</v>
      </c>
      <c r="CH308" s="6">
        <f t="shared" si="362"/>
        <v>40992.565999999999</v>
      </c>
      <c r="CI308" s="6">
        <f t="shared" si="363"/>
        <v>112.30839999999999</v>
      </c>
      <c r="CJ308" s="6">
        <v>38654.847300000001</v>
      </c>
      <c r="CK308" s="6">
        <f t="shared" si="364"/>
        <v>38654.847300000001</v>
      </c>
      <c r="CL308" s="6">
        <f t="shared" si="365"/>
        <v>105.90369123287671</v>
      </c>
      <c r="CM308" s="6">
        <v>0</v>
      </c>
      <c r="CN308" s="6">
        <f t="shared" si="366"/>
        <v>0</v>
      </c>
      <c r="CO308" s="6">
        <f t="shared" si="367"/>
        <v>0</v>
      </c>
      <c r="CP308" s="6">
        <v>0</v>
      </c>
      <c r="CQ308" s="6">
        <f t="shared" si="368"/>
        <v>0</v>
      </c>
      <c r="CR308" s="6">
        <f t="shared" si="369"/>
        <v>0</v>
      </c>
      <c r="CS308" s="6">
        <v>0</v>
      </c>
      <c r="CT308" s="6">
        <f t="shared" si="370"/>
        <v>0</v>
      </c>
      <c r="CU308" s="6">
        <f t="shared" si="371"/>
        <v>0</v>
      </c>
      <c r="CV308" s="6">
        <v>0</v>
      </c>
      <c r="CW308" s="6">
        <f t="shared" si="372"/>
        <v>0</v>
      </c>
      <c r="CX308" s="6">
        <f t="shared" si="373"/>
        <v>0</v>
      </c>
      <c r="CY308" s="6">
        <v>0</v>
      </c>
      <c r="CZ308" s="6">
        <f t="shared" si="374"/>
        <v>0</v>
      </c>
      <c r="DA308" s="6">
        <f t="shared" si="375"/>
        <v>0</v>
      </c>
      <c r="DB308" s="6">
        <v>0</v>
      </c>
      <c r="DC308" s="6">
        <f t="shared" si="376"/>
        <v>0</v>
      </c>
      <c r="DD308" s="6">
        <f t="shared" si="377"/>
        <v>0</v>
      </c>
      <c r="DE308" s="6">
        <v>0</v>
      </c>
      <c r="DF308" s="6">
        <f t="shared" si="378"/>
        <v>0</v>
      </c>
      <c r="DG308" s="6">
        <f t="shared" si="379"/>
        <v>0</v>
      </c>
      <c r="DH308" s="6">
        <v>0</v>
      </c>
      <c r="DI308" s="6">
        <f t="shared" si="380"/>
        <v>0</v>
      </c>
      <c r="DJ308" s="6">
        <f t="shared" si="381"/>
        <v>0</v>
      </c>
      <c r="DK308" s="6">
        <v>0</v>
      </c>
      <c r="DL308" s="6">
        <f t="shared" si="382"/>
        <v>0</v>
      </c>
      <c r="DM308" s="6">
        <f t="shared" si="383"/>
        <v>0</v>
      </c>
      <c r="DN308" s="6">
        <v>0</v>
      </c>
      <c r="DO308" s="6">
        <f t="shared" si="384"/>
        <v>0</v>
      </c>
      <c r="DP308" s="6">
        <f t="shared" si="385"/>
        <v>0</v>
      </c>
    </row>
    <row r="309" spans="1:120" x14ac:dyDescent="0.2">
      <c r="A309" s="21">
        <v>15</v>
      </c>
      <c r="B309" s="21" t="s">
        <v>660</v>
      </c>
      <c r="C309" s="21">
        <v>15572</v>
      </c>
      <c r="D309" s="21" t="s">
        <v>661</v>
      </c>
      <c r="E309" s="21" t="s">
        <v>597</v>
      </c>
      <c r="F309" s="22" t="s">
        <v>750</v>
      </c>
      <c r="G309" s="4" t="s">
        <v>421</v>
      </c>
      <c r="H309" s="6">
        <v>1110680.6100000001</v>
      </c>
      <c r="I309" s="6">
        <f t="shared" si="389"/>
        <v>3042.9605753424662</v>
      </c>
      <c r="J309" s="6">
        <v>1394765.459</v>
      </c>
      <c r="K309" s="6">
        <v>1445262.66</v>
      </c>
      <c r="L309" s="6">
        <f t="shared" si="391"/>
        <v>3948.805081967213</v>
      </c>
      <c r="M309" s="6">
        <v>1616803.6279</v>
      </c>
      <c r="N309" s="6">
        <v>1737437.21</v>
      </c>
      <c r="O309" s="6">
        <f t="shared" si="394"/>
        <v>4760.1019452054798</v>
      </c>
      <c r="P309" s="6">
        <v>1622983.3511999999</v>
      </c>
      <c r="Q309" s="6">
        <v>828930.76</v>
      </c>
      <c r="R309" s="6">
        <f t="shared" si="395"/>
        <v>4579.7279558011051</v>
      </c>
      <c r="S309" s="6">
        <v>1411704.9036000001</v>
      </c>
      <c r="T309" s="6">
        <f t="shared" si="318"/>
        <v>1411704.9036000001</v>
      </c>
      <c r="U309" s="6">
        <f t="shared" si="319"/>
        <v>3867.6846673972605</v>
      </c>
      <c r="V309" s="6">
        <v>1230735.6122000001</v>
      </c>
      <c r="W309" s="6">
        <f t="shared" si="320"/>
        <v>1230735.6122000001</v>
      </c>
      <c r="X309" s="6">
        <f t="shared" si="321"/>
        <v>3371.8783895890415</v>
      </c>
      <c r="Y309" s="6">
        <v>1068396.4569000001</v>
      </c>
      <c r="Z309" s="6">
        <f t="shared" si="322"/>
        <v>1068396.4569000001</v>
      </c>
      <c r="AA309" s="6">
        <f t="shared" si="323"/>
        <v>2927.1135805479453</v>
      </c>
      <c r="AB309" s="6">
        <v>927156.8578</v>
      </c>
      <c r="AC309" s="6">
        <f t="shared" si="324"/>
        <v>927156.8578</v>
      </c>
      <c r="AD309" s="6">
        <f t="shared" si="325"/>
        <v>2540.1557747945208</v>
      </c>
      <c r="AE309" s="6">
        <v>808195.70250000001</v>
      </c>
      <c r="AF309" s="6">
        <f t="shared" si="326"/>
        <v>808195.70250000001</v>
      </c>
      <c r="AG309" s="6">
        <f t="shared" si="327"/>
        <v>2214.2348013698629</v>
      </c>
      <c r="AH309" s="6">
        <v>709158.48759999999</v>
      </c>
      <c r="AI309" s="6">
        <f t="shared" si="328"/>
        <v>709158.48759999999</v>
      </c>
      <c r="AJ309" s="6">
        <f t="shared" si="329"/>
        <v>1942.8999660273973</v>
      </c>
      <c r="AK309" s="6">
        <v>613416.49459999998</v>
      </c>
      <c r="AL309" s="6">
        <f t="shared" si="330"/>
        <v>613416.49459999998</v>
      </c>
      <c r="AM309" s="6">
        <f t="shared" si="331"/>
        <v>1680.5931358904108</v>
      </c>
      <c r="AN309" s="6">
        <v>530622.60979999998</v>
      </c>
      <c r="AO309" s="6">
        <f t="shared" si="332"/>
        <v>530622.60979999998</v>
      </c>
      <c r="AP309" s="6">
        <f t="shared" si="333"/>
        <v>1453.7605747945204</v>
      </c>
      <c r="AQ309" s="6">
        <v>463702.64880000002</v>
      </c>
      <c r="AR309" s="6">
        <f t="shared" si="334"/>
        <v>463702.64880000002</v>
      </c>
      <c r="AS309" s="6">
        <f t="shared" si="335"/>
        <v>1270.4182158904109</v>
      </c>
      <c r="AT309" s="6">
        <v>407249.65120000002</v>
      </c>
      <c r="AU309" s="6">
        <f t="shared" si="336"/>
        <v>407249.65120000002</v>
      </c>
      <c r="AV309" s="6">
        <f t="shared" si="337"/>
        <v>1115.752469041096</v>
      </c>
      <c r="AW309" s="6">
        <v>352579.6594</v>
      </c>
      <c r="AX309" s="6">
        <f t="shared" si="338"/>
        <v>352579.6594</v>
      </c>
      <c r="AY309" s="6">
        <f t="shared" si="339"/>
        <v>965.97166958904108</v>
      </c>
      <c r="AZ309" s="6">
        <v>297558.25689999998</v>
      </c>
      <c r="BA309" s="6">
        <f t="shared" si="340"/>
        <v>297558.25689999998</v>
      </c>
      <c r="BB309" s="6">
        <f t="shared" si="341"/>
        <v>815.22810109589034</v>
      </c>
      <c r="BC309" s="6">
        <v>254574.06659999999</v>
      </c>
      <c r="BD309" s="6">
        <f t="shared" si="342"/>
        <v>254574.06659999999</v>
      </c>
      <c r="BE309" s="6">
        <f t="shared" si="343"/>
        <v>697.46319616438359</v>
      </c>
      <c r="BF309" s="6">
        <v>223006.83549999999</v>
      </c>
      <c r="BG309" s="6">
        <f t="shared" si="344"/>
        <v>223006.83549999999</v>
      </c>
      <c r="BH309" s="6">
        <f t="shared" si="345"/>
        <v>610.97763150684932</v>
      </c>
      <c r="BI309" s="6">
        <v>193174.73860000001</v>
      </c>
      <c r="BJ309" s="6">
        <f t="shared" si="346"/>
        <v>193174.73860000001</v>
      </c>
      <c r="BK309" s="6">
        <f t="shared" si="347"/>
        <v>529.24585917808224</v>
      </c>
      <c r="BL309" s="6">
        <v>164972.75039999999</v>
      </c>
      <c r="BM309" s="6">
        <f t="shared" si="348"/>
        <v>164972.75039999999</v>
      </c>
      <c r="BN309" s="6">
        <f t="shared" si="349"/>
        <v>451.98013808219173</v>
      </c>
      <c r="BO309" s="6">
        <v>91757.7111</v>
      </c>
      <c r="BP309" s="6">
        <f t="shared" si="350"/>
        <v>91757.7111</v>
      </c>
      <c r="BQ309" s="6">
        <f t="shared" si="351"/>
        <v>251.39098931506848</v>
      </c>
      <c r="BR309" s="6">
        <v>0</v>
      </c>
      <c r="BS309" s="6">
        <f t="shared" si="352"/>
        <v>0</v>
      </c>
      <c r="BT309" s="6">
        <f t="shared" si="353"/>
        <v>0</v>
      </c>
      <c r="BU309" s="6">
        <v>0</v>
      </c>
      <c r="BV309" s="6">
        <f t="shared" si="354"/>
        <v>0</v>
      </c>
      <c r="BW309" s="6">
        <f t="shared" si="355"/>
        <v>0</v>
      </c>
      <c r="BX309" s="6">
        <v>0</v>
      </c>
      <c r="BY309" s="6">
        <f t="shared" si="356"/>
        <v>0</v>
      </c>
      <c r="BZ309" s="6">
        <f t="shared" si="357"/>
        <v>0</v>
      </c>
      <c r="CA309" s="6">
        <v>0</v>
      </c>
      <c r="CB309" s="6">
        <f t="shared" si="358"/>
        <v>0</v>
      </c>
      <c r="CC309" s="6">
        <f t="shared" si="359"/>
        <v>0</v>
      </c>
      <c r="CD309" s="6">
        <v>0</v>
      </c>
      <c r="CE309" s="6">
        <f t="shared" si="360"/>
        <v>0</v>
      </c>
      <c r="CF309" s="6">
        <f t="shared" si="361"/>
        <v>0</v>
      </c>
      <c r="CG309" s="6">
        <v>0</v>
      </c>
      <c r="CH309" s="6">
        <f t="shared" si="362"/>
        <v>0</v>
      </c>
      <c r="CI309" s="6">
        <f t="shared" si="363"/>
        <v>0</v>
      </c>
      <c r="CJ309" s="6">
        <v>0</v>
      </c>
      <c r="CK309" s="6">
        <f t="shared" si="364"/>
        <v>0</v>
      </c>
      <c r="CL309" s="6">
        <f t="shared" si="365"/>
        <v>0</v>
      </c>
      <c r="CM309" s="6">
        <v>0</v>
      </c>
      <c r="CN309" s="6">
        <f t="shared" si="366"/>
        <v>0</v>
      </c>
      <c r="CO309" s="6">
        <f t="shared" si="367"/>
        <v>0</v>
      </c>
      <c r="CP309" s="6">
        <v>0</v>
      </c>
      <c r="CQ309" s="6">
        <f t="shared" si="368"/>
        <v>0</v>
      </c>
      <c r="CR309" s="6">
        <f t="shared" si="369"/>
        <v>0</v>
      </c>
      <c r="CS309" s="6">
        <v>0</v>
      </c>
      <c r="CT309" s="6">
        <f t="shared" si="370"/>
        <v>0</v>
      </c>
      <c r="CU309" s="6">
        <f t="shared" si="371"/>
        <v>0</v>
      </c>
      <c r="CV309" s="6">
        <v>0</v>
      </c>
      <c r="CW309" s="6">
        <f t="shared" si="372"/>
        <v>0</v>
      </c>
      <c r="CX309" s="6">
        <f t="shared" si="373"/>
        <v>0</v>
      </c>
      <c r="CY309" s="6">
        <v>0</v>
      </c>
      <c r="CZ309" s="6">
        <f t="shared" si="374"/>
        <v>0</v>
      </c>
      <c r="DA309" s="6">
        <f t="shared" si="375"/>
        <v>0</v>
      </c>
      <c r="DB309" s="6">
        <v>0</v>
      </c>
      <c r="DC309" s="6">
        <f t="shared" si="376"/>
        <v>0</v>
      </c>
      <c r="DD309" s="6">
        <f t="shared" si="377"/>
        <v>0</v>
      </c>
      <c r="DE309" s="6">
        <v>0</v>
      </c>
      <c r="DF309" s="6">
        <f t="shared" si="378"/>
        <v>0</v>
      </c>
      <c r="DG309" s="6">
        <f t="shared" si="379"/>
        <v>0</v>
      </c>
      <c r="DH309" s="6">
        <v>0</v>
      </c>
      <c r="DI309" s="6">
        <f t="shared" si="380"/>
        <v>0</v>
      </c>
      <c r="DJ309" s="6">
        <f t="shared" si="381"/>
        <v>0</v>
      </c>
      <c r="DK309" s="6">
        <v>0</v>
      </c>
      <c r="DL309" s="6">
        <f t="shared" si="382"/>
        <v>0</v>
      </c>
      <c r="DM309" s="6">
        <f t="shared" si="383"/>
        <v>0</v>
      </c>
      <c r="DN309" s="6">
        <v>0</v>
      </c>
      <c r="DO309" s="6">
        <f t="shared" si="384"/>
        <v>0</v>
      </c>
      <c r="DP309" s="6">
        <f t="shared" si="385"/>
        <v>0</v>
      </c>
    </row>
    <row r="310" spans="1:120" x14ac:dyDescent="0.2">
      <c r="A310" s="21">
        <v>50</v>
      </c>
      <c r="B310" s="21" t="s">
        <v>675</v>
      </c>
      <c r="C310" s="21">
        <v>50689</v>
      </c>
      <c r="D310" s="21" t="s">
        <v>668</v>
      </c>
      <c r="E310" s="21" t="s">
        <v>586</v>
      </c>
      <c r="F310" s="22" t="s">
        <v>669</v>
      </c>
      <c r="G310" s="4" t="s">
        <v>422</v>
      </c>
      <c r="H310" s="6">
        <v>190745.32</v>
      </c>
      <c r="I310" s="6">
        <f t="shared" si="389"/>
        <v>522.58991780821918</v>
      </c>
      <c r="J310" s="6">
        <v>299476.4852</v>
      </c>
      <c r="K310" s="6">
        <v>144288.99</v>
      </c>
      <c r="L310" s="6">
        <f t="shared" si="391"/>
        <v>394.23221311475407</v>
      </c>
      <c r="M310" s="6">
        <v>160321.80239999999</v>
      </c>
      <c r="N310" s="6">
        <v>98457.75</v>
      </c>
      <c r="O310" s="6">
        <f t="shared" si="394"/>
        <v>269.74726027397259</v>
      </c>
      <c r="P310" s="6">
        <v>117402.9519</v>
      </c>
      <c r="Q310" s="6">
        <v>74778.91</v>
      </c>
      <c r="R310" s="6">
        <f t="shared" si="395"/>
        <v>413.14314917127075</v>
      </c>
      <c r="S310" s="6">
        <v>77507.825100000002</v>
      </c>
      <c r="T310" s="6">
        <f t="shared" si="318"/>
        <v>77507.825100000002</v>
      </c>
      <c r="U310" s="6">
        <f t="shared" si="319"/>
        <v>212.35020575342466</v>
      </c>
      <c r="V310" s="6">
        <v>33112.390899999999</v>
      </c>
      <c r="W310" s="6">
        <f t="shared" si="320"/>
        <v>33112.390899999999</v>
      </c>
      <c r="X310" s="6">
        <f t="shared" si="321"/>
        <v>90.71887917808219</v>
      </c>
      <c r="Y310" s="6">
        <v>17452.335800000001</v>
      </c>
      <c r="Z310" s="6">
        <f t="shared" si="322"/>
        <v>17452.335800000001</v>
      </c>
      <c r="AA310" s="6">
        <f t="shared" si="323"/>
        <v>47.814618630136991</v>
      </c>
      <c r="AB310" s="6">
        <v>0</v>
      </c>
      <c r="AC310" s="6">
        <f t="shared" si="324"/>
        <v>0</v>
      </c>
      <c r="AD310" s="6">
        <f t="shared" si="325"/>
        <v>0</v>
      </c>
      <c r="AE310" s="6">
        <v>0</v>
      </c>
      <c r="AF310" s="6">
        <f t="shared" si="326"/>
        <v>0</v>
      </c>
      <c r="AG310" s="6">
        <f t="shared" si="327"/>
        <v>0</v>
      </c>
      <c r="AH310" s="6">
        <v>0</v>
      </c>
      <c r="AI310" s="6">
        <f t="shared" si="328"/>
        <v>0</v>
      </c>
      <c r="AJ310" s="6">
        <f t="shared" si="329"/>
        <v>0</v>
      </c>
      <c r="AK310" s="6">
        <v>0</v>
      </c>
      <c r="AL310" s="6">
        <f t="shared" si="330"/>
        <v>0</v>
      </c>
      <c r="AM310" s="6">
        <f t="shared" si="331"/>
        <v>0</v>
      </c>
      <c r="AN310" s="6">
        <v>0</v>
      </c>
      <c r="AO310" s="6">
        <f t="shared" si="332"/>
        <v>0</v>
      </c>
      <c r="AP310" s="6">
        <f t="shared" si="333"/>
        <v>0</v>
      </c>
      <c r="AQ310" s="6">
        <v>0</v>
      </c>
      <c r="AR310" s="6">
        <f t="shared" si="334"/>
        <v>0</v>
      </c>
      <c r="AS310" s="6">
        <f t="shared" si="335"/>
        <v>0</v>
      </c>
      <c r="AT310" s="6">
        <v>0</v>
      </c>
      <c r="AU310" s="6">
        <f t="shared" si="336"/>
        <v>0</v>
      </c>
      <c r="AV310" s="6">
        <f t="shared" si="337"/>
        <v>0</v>
      </c>
      <c r="AW310" s="6">
        <v>0</v>
      </c>
      <c r="AX310" s="6">
        <f t="shared" si="338"/>
        <v>0</v>
      </c>
      <c r="AY310" s="6">
        <f t="shared" si="339"/>
        <v>0</v>
      </c>
      <c r="AZ310" s="6">
        <v>0</v>
      </c>
      <c r="BA310" s="6">
        <f t="shared" si="340"/>
        <v>0</v>
      </c>
      <c r="BB310" s="6">
        <f t="shared" si="341"/>
        <v>0</v>
      </c>
      <c r="BC310" s="6">
        <v>0</v>
      </c>
      <c r="BD310" s="6">
        <f t="shared" si="342"/>
        <v>0</v>
      </c>
      <c r="BE310" s="6">
        <f t="shared" si="343"/>
        <v>0</v>
      </c>
      <c r="BF310" s="6">
        <v>0</v>
      </c>
      <c r="BG310" s="6">
        <f t="shared" si="344"/>
        <v>0</v>
      </c>
      <c r="BH310" s="6">
        <f t="shared" si="345"/>
        <v>0</v>
      </c>
      <c r="BI310" s="6">
        <v>0</v>
      </c>
      <c r="BJ310" s="6">
        <f t="shared" si="346"/>
        <v>0</v>
      </c>
      <c r="BK310" s="6">
        <f t="shared" si="347"/>
        <v>0</v>
      </c>
      <c r="BL310" s="6">
        <v>0</v>
      </c>
      <c r="BM310" s="6">
        <f t="shared" si="348"/>
        <v>0</v>
      </c>
      <c r="BN310" s="6">
        <f t="shared" si="349"/>
        <v>0</v>
      </c>
      <c r="BO310" s="6">
        <v>0</v>
      </c>
      <c r="BP310" s="6">
        <f t="shared" si="350"/>
        <v>0</v>
      </c>
      <c r="BQ310" s="6">
        <f t="shared" si="351"/>
        <v>0</v>
      </c>
      <c r="BR310" s="6">
        <v>0</v>
      </c>
      <c r="BS310" s="6">
        <f t="shared" si="352"/>
        <v>0</v>
      </c>
      <c r="BT310" s="6">
        <f t="shared" si="353"/>
        <v>0</v>
      </c>
      <c r="BU310" s="6">
        <v>0</v>
      </c>
      <c r="BV310" s="6">
        <f t="shared" si="354"/>
        <v>0</v>
      </c>
      <c r="BW310" s="6">
        <f t="shared" si="355"/>
        <v>0</v>
      </c>
      <c r="BX310" s="6">
        <v>0</v>
      </c>
      <c r="BY310" s="6">
        <f t="shared" si="356"/>
        <v>0</v>
      </c>
      <c r="BZ310" s="6">
        <f t="shared" si="357"/>
        <v>0</v>
      </c>
      <c r="CA310" s="6">
        <v>0</v>
      </c>
      <c r="CB310" s="6">
        <f t="shared" si="358"/>
        <v>0</v>
      </c>
      <c r="CC310" s="6">
        <f t="shared" si="359"/>
        <v>0</v>
      </c>
      <c r="CD310" s="6">
        <v>0</v>
      </c>
      <c r="CE310" s="6">
        <f t="shared" si="360"/>
        <v>0</v>
      </c>
      <c r="CF310" s="6">
        <f t="shared" si="361"/>
        <v>0</v>
      </c>
      <c r="CG310" s="6">
        <v>0</v>
      </c>
      <c r="CH310" s="6">
        <f t="shared" si="362"/>
        <v>0</v>
      </c>
      <c r="CI310" s="6">
        <f t="shared" si="363"/>
        <v>0</v>
      </c>
      <c r="CJ310" s="6">
        <v>0</v>
      </c>
      <c r="CK310" s="6">
        <f t="shared" si="364"/>
        <v>0</v>
      </c>
      <c r="CL310" s="6">
        <f t="shared" si="365"/>
        <v>0</v>
      </c>
      <c r="CM310" s="6">
        <v>0</v>
      </c>
      <c r="CN310" s="6">
        <f t="shared" si="366"/>
        <v>0</v>
      </c>
      <c r="CO310" s="6">
        <f t="shared" si="367"/>
        <v>0</v>
      </c>
      <c r="CP310" s="6">
        <v>0</v>
      </c>
      <c r="CQ310" s="6">
        <f t="shared" si="368"/>
        <v>0</v>
      </c>
      <c r="CR310" s="6">
        <f t="shared" si="369"/>
        <v>0</v>
      </c>
      <c r="CS310" s="6">
        <v>0</v>
      </c>
      <c r="CT310" s="6">
        <f t="shared" si="370"/>
        <v>0</v>
      </c>
      <c r="CU310" s="6">
        <f t="shared" si="371"/>
        <v>0</v>
      </c>
      <c r="CV310" s="6">
        <v>0</v>
      </c>
      <c r="CW310" s="6">
        <f t="shared" si="372"/>
        <v>0</v>
      </c>
      <c r="CX310" s="6">
        <f t="shared" si="373"/>
        <v>0</v>
      </c>
      <c r="CY310" s="6">
        <v>0</v>
      </c>
      <c r="CZ310" s="6">
        <f t="shared" si="374"/>
        <v>0</v>
      </c>
      <c r="DA310" s="6">
        <f t="shared" si="375"/>
        <v>0</v>
      </c>
      <c r="DB310" s="6">
        <v>0</v>
      </c>
      <c r="DC310" s="6">
        <f t="shared" si="376"/>
        <v>0</v>
      </c>
      <c r="DD310" s="6">
        <f t="shared" si="377"/>
        <v>0</v>
      </c>
      <c r="DE310" s="6">
        <v>0</v>
      </c>
      <c r="DF310" s="6">
        <f t="shared" si="378"/>
        <v>0</v>
      </c>
      <c r="DG310" s="6">
        <f t="shared" si="379"/>
        <v>0</v>
      </c>
      <c r="DH310" s="6">
        <v>0</v>
      </c>
      <c r="DI310" s="6">
        <f t="shared" si="380"/>
        <v>0</v>
      </c>
      <c r="DJ310" s="6">
        <f t="shared" si="381"/>
        <v>0</v>
      </c>
      <c r="DK310" s="6">
        <v>0</v>
      </c>
      <c r="DL310" s="6">
        <f t="shared" si="382"/>
        <v>0</v>
      </c>
      <c r="DM310" s="6">
        <f t="shared" si="383"/>
        <v>0</v>
      </c>
      <c r="DN310" s="6">
        <v>0</v>
      </c>
      <c r="DO310" s="6">
        <f t="shared" si="384"/>
        <v>0</v>
      </c>
      <c r="DP310" s="6">
        <f t="shared" si="385"/>
        <v>0</v>
      </c>
    </row>
    <row r="311" spans="1:120" x14ac:dyDescent="0.2">
      <c r="A311" s="21">
        <v>85</v>
      </c>
      <c r="B311" s="21" t="s">
        <v>612</v>
      </c>
      <c r="C311" s="21">
        <v>85001</v>
      </c>
      <c r="D311" s="21" t="s">
        <v>698</v>
      </c>
      <c r="E311" s="21" t="s">
        <v>551</v>
      </c>
      <c r="F311" s="22" t="s">
        <v>662</v>
      </c>
      <c r="G311" s="4" t="s">
        <v>423</v>
      </c>
      <c r="H311" s="6">
        <v>136556</v>
      </c>
      <c r="I311" s="6">
        <f t="shared" si="389"/>
        <v>374.12602739726026</v>
      </c>
      <c r="J311" s="6">
        <v>245790.34080000001</v>
      </c>
      <c r="K311" s="6">
        <v>95722.09</v>
      </c>
      <c r="L311" s="6">
        <f t="shared" si="391"/>
        <v>261.53576502732238</v>
      </c>
      <c r="M311" s="6">
        <v>335637.4473</v>
      </c>
      <c r="N311" s="6">
        <v>92416.17</v>
      </c>
      <c r="O311" s="6">
        <f t="shared" si="394"/>
        <v>253.19498630136985</v>
      </c>
      <c r="P311" s="6">
        <v>270015.77399999998</v>
      </c>
      <c r="Q311" s="6">
        <v>36493.360000000001</v>
      </c>
      <c r="R311" s="6">
        <f t="shared" si="395"/>
        <v>201.62077348066299</v>
      </c>
      <c r="S311" s="6">
        <v>85822.681299999997</v>
      </c>
      <c r="T311" s="6">
        <f t="shared" si="318"/>
        <v>85822.681299999997</v>
      </c>
      <c r="U311" s="6">
        <f t="shared" si="319"/>
        <v>235.13063369863013</v>
      </c>
      <c r="V311" s="6">
        <v>0</v>
      </c>
      <c r="W311" s="6">
        <f t="shared" si="320"/>
        <v>0</v>
      </c>
      <c r="X311" s="6">
        <f t="shared" si="321"/>
        <v>0</v>
      </c>
      <c r="Y311" s="6">
        <v>0</v>
      </c>
      <c r="Z311" s="6">
        <f t="shared" si="322"/>
        <v>0</v>
      </c>
      <c r="AA311" s="6">
        <f t="shared" si="323"/>
        <v>0</v>
      </c>
      <c r="AB311" s="6">
        <v>0</v>
      </c>
      <c r="AC311" s="6">
        <f t="shared" si="324"/>
        <v>0</v>
      </c>
      <c r="AD311" s="6">
        <f t="shared" si="325"/>
        <v>0</v>
      </c>
      <c r="AE311" s="6">
        <v>0</v>
      </c>
      <c r="AF311" s="6">
        <f t="shared" si="326"/>
        <v>0</v>
      </c>
      <c r="AG311" s="6">
        <f t="shared" si="327"/>
        <v>0</v>
      </c>
      <c r="AH311" s="6">
        <v>0</v>
      </c>
      <c r="AI311" s="6">
        <f t="shared" si="328"/>
        <v>0</v>
      </c>
      <c r="AJ311" s="6">
        <f t="shared" si="329"/>
        <v>0</v>
      </c>
      <c r="AK311" s="6">
        <v>0</v>
      </c>
      <c r="AL311" s="6">
        <f t="shared" si="330"/>
        <v>0</v>
      </c>
      <c r="AM311" s="6">
        <f t="shared" si="331"/>
        <v>0</v>
      </c>
      <c r="AN311" s="6">
        <v>0</v>
      </c>
      <c r="AO311" s="6">
        <f t="shared" si="332"/>
        <v>0</v>
      </c>
      <c r="AP311" s="6">
        <f t="shared" si="333"/>
        <v>0</v>
      </c>
      <c r="AQ311" s="6">
        <v>0</v>
      </c>
      <c r="AR311" s="6">
        <f t="shared" si="334"/>
        <v>0</v>
      </c>
      <c r="AS311" s="6">
        <f t="shared" si="335"/>
        <v>0</v>
      </c>
      <c r="AT311" s="6">
        <v>0</v>
      </c>
      <c r="AU311" s="6">
        <f t="shared" si="336"/>
        <v>0</v>
      </c>
      <c r="AV311" s="6">
        <f t="shared" si="337"/>
        <v>0</v>
      </c>
      <c r="AW311" s="6">
        <v>0</v>
      </c>
      <c r="AX311" s="6">
        <f t="shared" si="338"/>
        <v>0</v>
      </c>
      <c r="AY311" s="6">
        <f t="shared" si="339"/>
        <v>0</v>
      </c>
      <c r="AZ311" s="6">
        <v>0</v>
      </c>
      <c r="BA311" s="6">
        <f t="shared" si="340"/>
        <v>0</v>
      </c>
      <c r="BB311" s="6">
        <f t="shared" si="341"/>
        <v>0</v>
      </c>
      <c r="BC311" s="6">
        <v>0</v>
      </c>
      <c r="BD311" s="6">
        <f t="shared" si="342"/>
        <v>0</v>
      </c>
      <c r="BE311" s="6">
        <f t="shared" si="343"/>
        <v>0</v>
      </c>
      <c r="BF311" s="6">
        <v>0</v>
      </c>
      <c r="BG311" s="6">
        <f t="shared" si="344"/>
        <v>0</v>
      </c>
      <c r="BH311" s="6">
        <f t="shared" si="345"/>
        <v>0</v>
      </c>
      <c r="BI311" s="6">
        <v>0</v>
      </c>
      <c r="BJ311" s="6">
        <f t="shared" si="346"/>
        <v>0</v>
      </c>
      <c r="BK311" s="6">
        <f t="shared" si="347"/>
        <v>0</v>
      </c>
      <c r="BL311" s="6">
        <v>0</v>
      </c>
      <c r="BM311" s="6">
        <f t="shared" si="348"/>
        <v>0</v>
      </c>
      <c r="BN311" s="6">
        <f t="shared" si="349"/>
        <v>0</v>
      </c>
      <c r="BO311" s="6">
        <v>0</v>
      </c>
      <c r="BP311" s="6">
        <f t="shared" si="350"/>
        <v>0</v>
      </c>
      <c r="BQ311" s="6">
        <f t="shared" si="351"/>
        <v>0</v>
      </c>
      <c r="BR311" s="6">
        <v>0</v>
      </c>
      <c r="BS311" s="6">
        <f t="shared" si="352"/>
        <v>0</v>
      </c>
      <c r="BT311" s="6">
        <f t="shared" si="353"/>
        <v>0</v>
      </c>
      <c r="BU311" s="6">
        <v>0</v>
      </c>
      <c r="BV311" s="6">
        <f t="shared" si="354"/>
        <v>0</v>
      </c>
      <c r="BW311" s="6">
        <f t="shared" si="355"/>
        <v>0</v>
      </c>
      <c r="BX311" s="6">
        <v>0</v>
      </c>
      <c r="BY311" s="6">
        <f t="shared" si="356"/>
        <v>0</v>
      </c>
      <c r="BZ311" s="6">
        <f t="shared" si="357"/>
        <v>0</v>
      </c>
      <c r="CA311" s="6">
        <v>0</v>
      </c>
      <c r="CB311" s="6">
        <f t="shared" si="358"/>
        <v>0</v>
      </c>
      <c r="CC311" s="6">
        <f t="shared" si="359"/>
        <v>0</v>
      </c>
      <c r="CD311" s="6">
        <v>0</v>
      </c>
      <c r="CE311" s="6">
        <f t="shared" si="360"/>
        <v>0</v>
      </c>
      <c r="CF311" s="6">
        <f t="shared" si="361"/>
        <v>0</v>
      </c>
      <c r="CG311" s="6">
        <v>0</v>
      </c>
      <c r="CH311" s="6">
        <f t="shared" si="362"/>
        <v>0</v>
      </c>
      <c r="CI311" s="6">
        <f t="shared" si="363"/>
        <v>0</v>
      </c>
      <c r="CJ311" s="6">
        <v>0</v>
      </c>
      <c r="CK311" s="6">
        <f t="shared" si="364"/>
        <v>0</v>
      </c>
      <c r="CL311" s="6">
        <f t="shared" si="365"/>
        <v>0</v>
      </c>
      <c r="CM311" s="6">
        <v>0</v>
      </c>
      <c r="CN311" s="6">
        <f t="shared" si="366"/>
        <v>0</v>
      </c>
      <c r="CO311" s="6">
        <f t="shared" si="367"/>
        <v>0</v>
      </c>
      <c r="CP311" s="6">
        <v>0</v>
      </c>
      <c r="CQ311" s="6">
        <f t="shared" si="368"/>
        <v>0</v>
      </c>
      <c r="CR311" s="6">
        <f t="shared" si="369"/>
        <v>0</v>
      </c>
      <c r="CS311" s="6">
        <v>0</v>
      </c>
      <c r="CT311" s="6">
        <f t="shared" si="370"/>
        <v>0</v>
      </c>
      <c r="CU311" s="6">
        <f t="shared" si="371"/>
        <v>0</v>
      </c>
      <c r="CV311" s="6">
        <v>0</v>
      </c>
      <c r="CW311" s="6">
        <f t="shared" si="372"/>
        <v>0</v>
      </c>
      <c r="CX311" s="6">
        <f t="shared" si="373"/>
        <v>0</v>
      </c>
      <c r="CY311" s="6">
        <v>0</v>
      </c>
      <c r="CZ311" s="6">
        <f t="shared" si="374"/>
        <v>0</v>
      </c>
      <c r="DA311" s="6">
        <f t="shared" si="375"/>
        <v>0</v>
      </c>
      <c r="DB311" s="6">
        <v>0</v>
      </c>
      <c r="DC311" s="6">
        <f t="shared" si="376"/>
        <v>0</v>
      </c>
      <c r="DD311" s="6">
        <f t="shared" si="377"/>
        <v>0</v>
      </c>
      <c r="DE311" s="6">
        <v>0</v>
      </c>
      <c r="DF311" s="6">
        <f t="shared" si="378"/>
        <v>0</v>
      </c>
      <c r="DG311" s="6">
        <f t="shared" si="379"/>
        <v>0</v>
      </c>
      <c r="DH311" s="6">
        <v>0</v>
      </c>
      <c r="DI311" s="6">
        <f t="shared" si="380"/>
        <v>0</v>
      </c>
      <c r="DJ311" s="6">
        <f t="shared" si="381"/>
        <v>0</v>
      </c>
      <c r="DK311" s="6">
        <v>0</v>
      </c>
      <c r="DL311" s="6">
        <f t="shared" si="382"/>
        <v>0</v>
      </c>
      <c r="DM311" s="6">
        <f t="shared" si="383"/>
        <v>0</v>
      </c>
      <c r="DN311" s="6">
        <v>0</v>
      </c>
      <c r="DO311" s="6">
        <f t="shared" si="384"/>
        <v>0</v>
      </c>
      <c r="DP311" s="6">
        <f t="shared" si="385"/>
        <v>0</v>
      </c>
    </row>
    <row r="312" spans="1:120" x14ac:dyDescent="0.2">
      <c r="A312" s="21">
        <v>85</v>
      </c>
      <c r="B312" s="21" t="s">
        <v>612</v>
      </c>
      <c r="C312" s="21">
        <v>85139</v>
      </c>
      <c r="D312" s="21" t="s">
        <v>702</v>
      </c>
      <c r="E312" s="21" t="s">
        <v>551</v>
      </c>
      <c r="F312" s="22" t="s">
        <v>662</v>
      </c>
      <c r="G312" s="4" t="s">
        <v>424</v>
      </c>
      <c r="H312" s="6">
        <v>562881.49</v>
      </c>
      <c r="I312" s="6">
        <f t="shared" si="389"/>
        <v>1542.1410684931507</v>
      </c>
      <c r="J312" s="6">
        <v>698214.95970000001</v>
      </c>
      <c r="K312" s="6">
        <v>407737.2</v>
      </c>
      <c r="L312" s="6">
        <f t="shared" si="391"/>
        <v>1114.0360655737704</v>
      </c>
      <c r="M312" s="6">
        <v>1016203.3949</v>
      </c>
      <c r="N312" s="6">
        <v>241797.73</v>
      </c>
      <c r="O312" s="6">
        <f t="shared" si="394"/>
        <v>662.45953424657534</v>
      </c>
      <c r="P312" s="6">
        <v>678456.6189</v>
      </c>
      <c r="Q312" s="6">
        <v>130215.56</v>
      </c>
      <c r="R312" s="6">
        <f t="shared" si="395"/>
        <v>719.42298342541437</v>
      </c>
      <c r="S312" s="6">
        <v>204874.0203</v>
      </c>
      <c r="T312" s="6">
        <f t="shared" si="318"/>
        <v>204874.0203</v>
      </c>
      <c r="U312" s="6">
        <f t="shared" si="319"/>
        <v>561.29868575342471</v>
      </c>
      <c r="V312" s="6">
        <v>0</v>
      </c>
      <c r="W312" s="6">
        <f t="shared" si="320"/>
        <v>0</v>
      </c>
      <c r="X312" s="6">
        <f t="shared" si="321"/>
        <v>0</v>
      </c>
      <c r="Y312" s="6">
        <v>0</v>
      </c>
      <c r="Z312" s="6">
        <f t="shared" si="322"/>
        <v>0</v>
      </c>
      <c r="AA312" s="6">
        <f t="shared" si="323"/>
        <v>0</v>
      </c>
      <c r="AB312" s="6">
        <v>0</v>
      </c>
      <c r="AC312" s="6">
        <f t="shared" si="324"/>
        <v>0</v>
      </c>
      <c r="AD312" s="6">
        <f t="shared" si="325"/>
        <v>0</v>
      </c>
      <c r="AE312" s="6">
        <v>0</v>
      </c>
      <c r="AF312" s="6">
        <f t="shared" si="326"/>
        <v>0</v>
      </c>
      <c r="AG312" s="6">
        <f t="shared" si="327"/>
        <v>0</v>
      </c>
      <c r="AH312" s="6">
        <v>0</v>
      </c>
      <c r="AI312" s="6">
        <f t="shared" si="328"/>
        <v>0</v>
      </c>
      <c r="AJ312" s="6">
        <f t="shared" si="329"/>
        <v>0</v>
      </c>
      <c r="AK312" s="6">
        <v>0</v>
      </c>
      <c r="AL312" s="6">
        <f t="shared" si="330"/>
        <v>0</v>
      </c>
      <c r="AM312" s="6">
        <f t="shared" si="331"/>
        <v>0</v>
      </c>
      <c r="AN312" s="6">
        <v>0</v>
      </c>
      <c r="AO312" s="6">
        <f t="shared" si="332"/>
        <v>0</v>
      </c>
      <c r="AP312" s="6">
        <f t="shared" si="333"/>
        <v>0</v>
      </c>
      <c r="AQ312" s="6">
        <v>0</v>
      </c>
      <c r="AR312" s="6">
        <f t="shared" si="334"/>
        <v>0</v>
      </c>
      <c r="AS312" s="6">
        <f t="shared" si="335"/>
        <v>0</v>
      </c>
      <c r="AT312" s="6">
        <v>0</v>
      </c>
      <c r="AU312" s="6">
        <f t="shared" si="336"/>
        <v>0</v>
      </c>
      <c r="AV312" s="6">
        <f t="shared" si="337"/>
        <v>0</v>
      </c>
      <c r="AW312" s="6">
        <v>0</v>
      </c>
      <c r="AX312" s="6">
        <f t="shared" si="338"/>
        <v>0</v>
      </c>
      <c r="AY312" s="6">
        <f t="shared" si="339"/>
        <v>0</v>
      </c>
      <c r="AZ312" s="6">
        <v>0</v>
      </c>
      <c r="BA312" s="6">
        <f t="shared" si="340"/>
        <v>0</v>
      </c>
      <c r="BB312" s="6">
        <f t="shared" si="341"/>
        <v>0</v>
      </c>
      <c r="BC312" s="6">
        <v>0</v>
      </c>
      <c r="BD312" s="6">
        <f t="shared" si="342"/>
        <v>0</v>
      </c>
      <c r="BE312" s="6">
        <f t="shared" si="343"/>
        <v>0</v>
      </c>
      <c r="BF312" s="6">
        <v>0</v>
      </c>
      <c r="BG312" s="6">
        <f t="shared" si="344"/>
        <v>0</v>
      </c>
      <c r="BH312" s="6">
        <f t="shared" si="345"/>
        <v>0</v>
      </c>
      <c r="BI312" s="6">
        <v>0</v>
      </c>
      <c r="BJ312" s="6">
        <f t="shared" si="346"/>
        <v>0</v>
      </c>
      <c r="BK312" s="6">
        <f t="shared" si="347"/>
        <v>0</v>
      </c>
      <c r="BL312" s="6">
        <v>0</v>
      </c>
      <c r="BM312" s="6">
        <f t="shared" si="348"/>
        <v>0</v>
      </c>
      <c r="BN312" s="6">
        <f t="shared" si="349"/>
        <v>0</v>
      </c>
      <c r="BO312" s="6">
        <v>0</v>
      </c>
      <c r="BP312" s="6">
        <f t="shared" si="350"/>
        <v>0</v>
      </c>
      <c r="BQ312" s="6">
        <f t="shared" si="351"/>
        <v>0</v>
      </c>
      <c r="BR312" s="6">
        <v>0</v>
      </c>
      <c r="BS312" s="6">
        <f t="shared" si="352"/>
        <v>0</v>
      </c>
      <c r="BT312" s="6">
        <f t="shared" si="353"/>
        <v>0</v>
      </c>
      <c r="BU312" s="6">
        <v>0</v>
      </c>
      <c r="BV312" s="6">
        <f t="shared" si="354"/>
        <v>0</v>
      </c>
      <c r="BW312" s="6">
        <f t="shared" si="355"/>
        <v>0</v>
      </c>
      <c r="BX312" s="6">
        <v>0</v>
      </c>
      <c r="BY312" s="6">
        <f t="shared" si="356"/>
        <v>0</v>
      </c>
      <c r="BZ312" s="6">
        <f t="shared" si="357"/>
        <v>0</v>
      </c>
      <c r="CA312" s="6">
        <v>0</v>
      </c>
      <c r="CB312" s="6">
        <f t="shared" si="358"/>
        <v>0</v>
      </c>
      <c r="CC312" s="6">
        <f t="shared" si="359"/>
        <v>0</v>
      </c>
      <c r="CD312" s="6">
        <v>0</v>
      </c>
      <c r="CE312" s="6">
        <f t="shared" si="360"/>
        <v>0</v>
      </c>
      <c r="CF312" s="6">
        <f t="shared" si="361"/>
        <v>0</v>
      </c>
      <c r="CG312" s="6">
        <v>0</v>
      </c>
      <c r="CH312" s="6">
        <f t="shared" si="362"/>
        <v>0</v>
      </c>
      <c r="CI312" s="6">
        <f t="shared" si="363"/>
        <v>0</v>
      </c>
      <c r="CJ312" s="6">
        <v>0</v>
      </c>
      <c r="CK312" s="6">
        <f t="shared" si="364"/>
        <v>0</v>
      </c>
      <c r="CL312" s="6">
        <f t="shared" si="365"/>
        <v>0</v>
      </c>
      <c r="CM312" s="6">
        <v>0</v>
      </c>
      <c r="CN312" s="6">
        <f t="shared" si="366"/>
        <v>0</v>
      </c>
      <c r="CO312" s="6">
        <f t="shared" si="367"/>
        <v>0</v>
      </c>
      <c r="CP312" s="6">
        <v>0</v>
      </c>
      <c r="CQ312" s="6">
        <f t="shared" si="368"/>
        <v>0</v>
      </c>
      <c r="CR312" s="6">
        <f t="shared" si="369"/>
        <v>0</v>
      </c>
      <c r="CS312" s="6">
        <v>0</v>
      </c>
      <c r="CT312" s="6">
        <f t="shared" si="370"/>
        <v>0</v>
      </c>
      <c r="CU312" s="6">
        <f t="shared" si="371"/>
        <v>0</v>
      </c>
      <c r="CV312" s="6">
        <v>0</v>
      </c>
      <c r="CW312" s="6">
        <f t="shared" si="372"/>
        <v>0</v>
      </c>
      <c r="CX312" s="6">
        <f t="shared" si="373"/>
        <v>0</v>
      </c>
      <c r="CY312" s="6">
        <v>0</v>
      </c>
      <c r="CZ312" s="6">
        <f t="shared" si="374"/>
        <v>0</v>
      </c>
      <c r="DA312" s="6">
        <f t="shared" si="375"/>
        <v>0</v>
      </c>
      <c r="DB312" s="6">
        <v>0</v>
      </c>
      <c r="DC312" s="6">
        <f t="shared" si="376"/>
        <v>0</v>
      </c>
      <c r="DD312" s="6">
        <f t="shared" si="377"/>
        <v>0</v>
      </c>
      <c r="DE312" s="6">
        <v>0</v>
      </c>
      <c r="DF312" s="6">
        <f t="shared" si="378"/>
        <v>0</v>
      </c>
      <c r="DG312" s="6">
        <f t="shared" si="379"/>
        <v>0</v>
      </c>
      <c r="DH312" s="6">
        <v>0</v>
      </c>
      <c r="DI312" s="6">
        <f t="shared" si="380"/>
        <v>0</v>
      </c>
      <c r="DJ312" s="6">
        <f t="shared" si="381"/>
        <v>0</v>
      </c>
      <c r="DK312" s="6">
        <v>0</v>
      </c>
      <c r="DL312" s="6">
        <f t="shared" si="382"/>
        <v>0</v>
      </c>
      <c r="DM312" s="6">
        <f t="shared" si="383"/>
        <v>0</v>
      </c>
      <c r="DN312" s="6">
        <v>0</v>
      </c>
      <c r="DO312" s="6">
        <f t="shared" si="384"/>
        <v>0</v>
      </c>
      <c r="DP312" s="6">
        <f t="shared" si="385"/>
        <v>0</v>
      </c>
    </row>
    <row r="313" spans="1:120" x14ac:dyDescent="0.2">
      <c r="A313" s="21">
        <v>85</v>
      </c>
      <c r="B313" s="21" t="s">
        <v>612</v>
      </c>
      <c r="C313" s="21">
        <v>85230</v>
      </c>
      <c r="D313" s="21" t="s">
        <v>614</v>
      </c>
      <c r="E313" s="21" t="s">
        <v>679</v>
      </c>
      <c r="F313" s="22" t="s">
        <v>669</v>
      </c>
      <c r="G313" s="4" t="s">
        <v>425</v>
      </c>
      <c r="H313" s="6">
        <v>46527.78</v>
      </c>
      <c r="I313" s="6">
        <f t="shared" si="389"/>
        <v>127.4733698630137</v>
      </c>
      <c r="J313" s="6">
        <v>41145.24</v>
      </c>
      <c r="K313" s="6">
        <v>41289.599999999999</v>
      </c>
      <c r="L313" s="6">
        <f t="shared" si="391"/>
        <v>112.81311475409835</v>
      </c>
      <c r="M313" s="6">
        <v>35966.03</v>
      </c>
      <c r="N313" s="6">
        <v>46942.67</v>
      </c>
      <c r="O313" s="6">
        <f t="shared" si="394"/>
        <v>128.61005479452055</v>
      </c>
      <c r="P313" s="6">
        <v>31530.71</v>
      </c>
      <c r="Q313" s="6">
        <v>19474.71</v>
      </c>
      <c r="R313" s="6">
        <f t="shared" si="395"/>
        <v>107.59508287292817</v>
      </c>
      <c r="S313" s="6">
        <v>27642.34</v>
      </c>
      <c r="T313" s="6">
        <f t="shared" si="318"/>
        <v>27642.34</v>
      </c>
      <c r="U313" s="6">
        <f t="shared" si="319"/>
        <v>75.73243835616438</v>
      </c>
      <c r="V313" s="6">
        <v>0</v>
      </c>
      <c r="W313" s="6">
        <f t="shared" si="320"/>
        <v>0</v>
      </c>
      <c r="X313" s="6">
        <f t="shared" si="321"/>
        <v>0</v>
      </c>
      <c r="Y313" s="6">
        <v>0</v>
      </c>
      <c r="Z313" s="6">
        <f t="shared" si="322"/>
        <v>0</v>
      </c>
      <c r="AA313" s="6">
        <f t="shared" si="323"/>
        <v>0</v>
      </c>
      <c r="AB313" s="6">
        <v>0</v>
      </c>
      <c r="AC313" s="6">
        <f t="shared" si="324"/>
        <v>0</v>
      </c>
      <c r="AD313" s="6">
        <f t="shared" si="325"/>
        <v>0</v>
      </c>
      <c r="AE313" s="6">
        <v>0</v>
      </c>
      <c r="AF313" s="6">
        <f t="shared" si="326"/>
        <v>0</v>
      </c>
      <c r="AG313" s="6">
        <f t="shared" si="327"/>
        <v>0</v>
      </c>
      <c r="AH313" s="6">
        <v>0</v>
      </c>
      <c r="AI313" s="6">
        <f t="shared" si="328"/>
        <v>0</v>
      </c>
      <c r="AJ313" s="6">
        <f t="shared" si="329"/>
        <v>0</v>
      </c>
      <c r="AK313" s="6">
        <v>0</v>
      </c>
      <c r="AL313" s="6">
        <f t="shared" si="330"/>
        <v>0</v>
      </c>
      <c r="AM313" s="6">
        <f t="shared" si="331"/>
        <v>0</v>
      </c>
      <c r="AN313" s="6">
        <v>0</v>
      </c>
      <c r="AO313" s="6">
        <f t="shared" si="332"/>
        <v>0</v>
      </c>
      <c r="AP313" s="6">
        <f t="shared" si="333"/>
        <v>0</v>
      </c>
      <c r="AQ313" s="6">
        <v>0</v>
      </c>
      <c r="AR313" s="6">
        <f t="shared" si="334"/>
        <v>0</v>
      </c>
      <c r="AS313" s="6">
        <f t="shared" si="335"/>
        <v>0</v>
      </c>
      <c r="AT313" s="6">
        <v>0</v>
      </c>
      <c r="AU313" s="6">
        <f t="shared" si="336"/>
        <v>0</v>
      </c>
      <c r="AV313" s="6">
        <f t="shared" si="337"/>
        <v>0</v>
      </c>
      <c r="AW313" s="6">
        <v>0</v>
      </c>
      <c r="AX313" s="6">
        <f t="shared" si="338"/>
        <v>0</v>
      </c>
      <c r="AY313" s="6">
        <f t="shared" si="339"/>
        <v>0</v>
      </c>
      <c r="AZ313" s="6">
        <v>0</v>
      </c>
      <c r="BA313" s="6">
        <f t="shared" si="340"/>
        <v>0</v>
      </c>
      <c r="BB313" s="6">
        <f t="shared" si="341"/>
        <v>0</v>
      </c>
      <c r="BC313" s="6">
        <v>0</v>
      </c>
      <c r="BD313" s="6">
        <f t="shared" si="342"/>
        <v>0</v>
      </c>
      <c r="BE313" s="6">
        <f t="shared" si="343"/>
        <v>0</v>
      </c>
      <c r="BF313" s="6">
        <v>0</v>
      </c>
      <c r="BG313" s="6">
        <f t="shared" si="344"/>
        <v>0</v>
      </c>
      <c r="BH313" s="6">
        <f t="shared" si="345"/>
        <v>0</v>
      </c>
      <c r="BI313" s="6">
        <v>0</v>
      </c>
      <c r="BJ313" s="6">
        <f t="shared" si="346"/>
        <v>0</v>
      </c>
      <c r="BK313" s="6">
        <f t="shared" si="347"/>
        <v>0</v>
      </c>
      <c r="BL313" s="6">
        <v>0</v>
      </c>
      <c r="BM313" s="6">
        <f t="shared" si="348"/>
        <v>0</v>
      </c>
      <c r="BN313" s="6">
        <f t="shared" si="349"/>
        <v>0</v>
      </c>
      <c r="BO313" s="6">
        <v>0</v>
      </c>
      <c r="BP313" s="6">
        <f t="shared" si="350"/>
        <v>0</v>
      </c>
      <c r="BQ313" s="6">
        <f t="shared" si="351"/>
        <v>0</v>
      </c>
      <c r="BR313" s="6">
        <v>0</v>
      </c>
      <c r="BS313" s="6">
        <f t="shared" si="352"/>
        <v>0</v>
      </c>
      <c r="BT313" s="6">
        <f t="shared" si="353"/>
        <v>0</v>
      </c>
      <c r="BU313" s="6">
        <v>0</v>
      </c>
      <c r="BV313" s="6">
        <f t="shared" si="354"/>
        <v>0</v>
      </c>
      <c r="BW313" s="6">
        <f t="shared" si="355"/>
        <v>0</v>
      </c>
      <c r="BX313" s="6">
        <v>0</v>
      </c>
      <c r="BY313" s="6">
        <f t="shared" si="356"/>
        <v>0</v>
      </c>
      <c r="BZ313" s="6">
        <f t="shared" si="357"/>
        <v>0</v>
      </c>
      <c r="CA313" s="6">
        <v>0</v>
      </c>
      <c r="CB313" s="6">
        <f t="shared" si="358"/>
        <v>0</v>
      </c>
      <c r="CC313" s="6">
        <f t="shared" si="359"/>
        <v>0</v>
      </c>
      <c r="CD313" s="6">
        <v>0</v>
      </c>
      <c r="CE313" s="6">
        <f t="shared" si="360"/>
        <v>0</v>
      </c>
      <c r="CF313" s="6">
        <f t="shared" si="361"/>
        <v>0</v>
      </c>
      <c r="CG313" s="6">
        <v>0</v>
      </c>
      <c r="CH313" s="6">
        <f t="shared" si="362"/>
        <v>0</v>
      </c>
      <c r="CI313" s="6">
        <f t="shared" si="363"/>
        <v>0</v>
      </c>
      <c r="CJ313" s="6">
        <v>0</v>
      </c>
      <c r="CK313" s="6">
        <f t="shared" si="364"/>
        <v>0</v>
      </c>
      <c r="CL313" s="6">
        <f t="shared" si="365"/>
        <v>0</v>
      </c>
      <c r="CM313" s="6">
        <v>0</v>
      </c>
      <c r="CN313" s="6">
        <f t="shared" si="366"/>
        <v>0</v>
      </c>
      <c r="CO313" s="6">
        <f t="shared" si="367"/>
        <v>0</v>
      </c>
      <c r="CP313" s="6">
        <v>0</v>
      </c>
      <c r="CQ313" s="6">
        <f t="shared" si="368"/>
        <v>0</v>
      </c>
      <c r="CR313" s="6">
        <f t="shared" si="369"/>
        <v>0</v>
      </c>
      <c r="CS313" s="6">
        <v>0</v>
      </c>
      <c r="CT313" s="6">
        <f t="shared" si="370"/>
        <v>0</v>
      </c>
      <c r="CU313" s="6">
        <f t="shared" si="371"/>
        <v>0</v>
      </c>
      <c r="CV313" s="6">
        <v>0</v>
      </c>
      <c r="CW313" s="6">
        <f t="shared" si="372"/>
        <v>0</v>
      </c>
      <c r="CX313" s="6">
        <f t="shared" si="373"/>
        <v>0</v>
      </c>
      <c r="CY313" s="6">
        <v>0</v>
      </c>
      <c r="CZ313" s="6">
        <f t="shared" si="374"/>
        <v>0</v>
      </c>
      <c r="DA313" s="6">
        <f t="shared" si="375"/>
        <v>0</v>
      </c>
      <c r="DB313" s="6">
        <v>0</v>
      </c>
      <c r="DC313" s="6">
        <f t="shared" si="376"/>
        <v>0</v>
      </c>
      <c r="DD313" s="6">
        <f t="shared" si="377"/>
        <v>0</v>
      </c>
      <c r="DE313" s="6">
        <v>0</v>
      </c>
      <c r="DF313" s="6">
        <f t="shared" si="378"/>
        <v>0</v>
      </c>
      <c r="DG313" s="6">
        <f t="shared" si="379"/>
        <v>0</v>
      </c>
      <c r="DH313" s="6">
        <v>0</v>
      </c>
      <c r="DI313" s="6">
        <f t="shared" si="380"/>
        <v>0</v>
      </c>
      <c r="DJ313" s="6">
        <f t="shared" si="381"/>
        <v>0</v>
      </c>
      <c r="DK313" s="6">
        <v>0</v>
      </c>
      <c r="DL313" s="6">
        <f t="shared" si="382"/>
        <v>0</v>
      </c>
      <c r="DM313" s="6">
        <f t="shared" si="383"/>
        <v>0</v>
      </c>
      <c r="DN313" s="6">
        <v>0</v>
      </c>
      <c r="DO313" s="6">
        <f t="shared" si="384"/>
        <v>0</v>
      </c>
      <c r="DP313" s="6">
        <f t="shared" si="385"/>
        <v>0</v>
      </c>
    </row>
    <row r="314" spans="1:120" x14ac:dyDescent="0.2">
      <c r="A314" s="21">
        <v>85</v>
      </c>
      <c r="B314" s="21" t="s">
        <v>612</v>
      </c>
      <c r="C314" s="21">
        <v>85325</v>
      </c>
      <c r="D314" s="21" t="s">
        <v>670</v>
      </c>
      <c r="E314" s="21" t="s">
        <v>611</v>
      </c>
      <c r="F314" s="22" t="s">
        <v>693</v>
      </c>
      <c r="G314" s="4" t="s">
        <v>426</v>
      </c>
      <c r="H314" s="6">
        <v>42217.919999999998</v>
      </c>
      <c r="I314" s="6">
        <f t="shared" si="389"/>
        <v>115.66553424657533</v>
      </c>
      <c r="J314" s="6">
        <v>37184.407899999998</v>
      </c>
      <c r="K314" s="6">
        <v>38723.56</v>
      </c>
      <c r="L314" s="6">
        <f t="shared" si="391"/>
        <v>105.80207650273223</v>
      </c>
      <c r="M314" s="6">
        <v>33614.499199999998</v>
      </c>
      <c r="N314" s="6">
        <v>33187.19</v>
      </c>
      <c r="O314" s="6">
        <f t="shared" si="394"/>
        <v>90.923808219178085</v>
      </c>
      <c r="P314" s="6">
        <v>29231.4421</v>
      </c>
      <c r="Q314" s="6">
        <v>13698.15</v>
      </c>
      <c r="R314" s="6">
        <f t="shared" si="395"/>
        <v>75.680386740331485</v>
      </c>
      <c r="S314" s="6">
        <v>27124.953399999999</v>
      </c>
      <c r="T314" s="6">
        <f t="shared" si="318"/>
        <v>27124.953399999999</v>
      </c>
      <c r="U314" s="6">
        <f t="shared" si="319"/>
        <v>74.314940821917801</v>
      </c>
      <c r="V314" s="6">
        <v>25295.195800000001</v>
      </c>
      <c r="W314" s="6">
        <f t="shared" si="320"/>
        <v>25295.195800000001</v>
      </c>
      <c r="X314" s="6">
        <f t="shared" si="321"/>
        <v>69.301906301369868</v>
      </c>
      <c r="Y314" s="6">
        <v>23659.6577</v>
      </c>
      <c r="Z314" s="6">
        <f t="shared" si="322"/>
        <v>23659.6577</v>
      </c>
      <c r="AA314" s="6">
        <f t="shared" si="323"/>
        <v>64.820980000000006</v>
      </c>
      <c r="AB314" s="6">
        <v>22181.312300000001</v>
      </c>
      <c r="AC314" s="6">
        <f t="shared" si="324"/>
        <v>22181.312300000001</v>
      </c>
      <c r="AD314" s="6">
        <f t="shared" si="325"/>
        <v>60.77071863013699</v>
      </c>
      <c r="AE314" s="6">
        <v>20835.387699999999</v>
      </c>
      <c r="AF314" s="6">
        <f t="shared" si="326"/>
        <v>20835.387699999999</v>
      </c>
      <c r="AG314" s="6">
        <f t="shared" si="327"/>
        <v>57.083253972602741</v>
      </c>
      <c r="AH314" s="6">
        <v>19585.045399999999</v>
      </c>
      <c r="AI314" s="6">
        <f t="shared" si="328"/>
        <v>19585.045399999999</v>
      </c>
      <c r="AJ314" s="6">
        <f t="shared" si="329"/>
        <v>53.657658630136986</v>
      </c>
      <c r="AK314" s="6">
        <v>18409.9427</v>
      </c>
      <c r="AL314" s="6">
        <f t="shared" si="330"/>
        <v>18409.9427</v>
      </c>
      <c r="AM314" s="6">
        <f t="shared" si="331"/>
        <v>50.438199178082193</v>
      </c>
      <c r="AN314" s="6">
        <v>17305.346099999999</v>
      </c>
      <c r="AO314" s="6">
        <f t="shared" si="332"/>
        <v>17305.346099999999</v>
      </c>
      <c r="AP314" s="6">
        <f t="shared" si="333"/>
        <v>47.411907123287669</v>
      </c>
      <c r="AQ314" s="6">
        <v>16267.025299999999</v>
      </c>
      <c r="AR314" s="6">
        <f t="shared" si="334"/>
        <v>16267.025299999999</v>
      </c>
      <c r="AS314" s="6">
        <f t="shared" si="335"/>
        <v>44.567192602739723</v>
      </c>
      <c r="AT314" s="6">
        <v>15291.0038</v>
      </c>
      <c r="AU314" s="6">
        <f t="shared" si="336"/>
        <v>15291.0038</v>
      </c>
      <c r="AV314" s="6">
        <f t="shared" si="337"/>
        <v>41.893161095890413</v>
      </c>
      <c r="AW314" s="6">
        <v>14373.543600000001</v>
      </c>
      <c r="AX314" s="6">
        <f t="shared" si="338"/>
        <v>14373.543600000001</v>
      </c>
      <c r="AY314" s="6">
        <f t="shared" si="339"/>
        <v>39.379571506849317</v>
      </c>
      <c r="AZ314" s="6">
        <v>13511.130999999999</v>
      </c>
      <c r="BA314" s="6">
        <f t="shared" si="340"/>
        <v>13511.130999999999</v>
      </c>
      <c r="BB314" s="6">
        <f t="shared" si="341"/>
        <v>37.016797260273968</v>
      </c>
      <c r="BC314" s="6">
        <v>12700.463100000001</v>
      </c>
      <c r="BD314" s="6">
        <f t="shared" si="342"/>
        <v>12700.463100000001</v>
      </c>
      <c r="BE314" s="6">
        <f t="shared" si="343"/>
        <v>34.795789315068497</v>
      </c>
      <c r="BF314" s="6">
        <v>11938.435299999999</v>
      </c>
      <c r="BG314" s="6">
        <f t="shared" si="344"/>
        <v>11938.435299999999</v>
      </c>
      <c r="BH314" s="6">
        <f t="shared" si="345"/>
        <v>32.708041917808217</v>
      </c>
      <c r="BI314" s="6">
        <v>11222.129199999999</v>
      </c>
      <c r="BJ314" s="6">
        <f t="shared" si="346"/>
        <v>11222.129199999999</v>
      </c>
      <c r="BK314" s="6">
        <f t="shared" si="347"/>
        <v>30.745559452054792</v>
      </c>
      <c r="BL314" s="6">
        <v>7972.4736000000003</v>
      </c>
      <c r="BM314" s="6">
        <f t="shared" si="348"/>
        <v>7972.4736000000003</v>
      </c>
      <c r="BN314" s="6">
        <f t="shared" si="349"/>
        <v>21.842393424657534</v>
      </c>
      <c r="BO314" s="6">
        <v>0</v>
      </c>
      <c r="BP314" s="6">
        <f t="shared" si="350"/>
        <v>0</v>
      </c>
      <c r="BQ314" s="6">
        <f t="shared" si="351"/>
        <v>0</v>
      </c>
      <c r="BR314" s="6">
        <v>0</v>
      </c>
      <c r="BS314" s="6">
        <f t="shared" si="352"/>
        <v>0</v>
      </c>
      <c r="BT314" s="6">
        <f t="shared" si="353"/>
        <v>0</v>
      </c>
      <c r="BU314" s="6">
        <v>0</v>
      </c>
      <c r="BV314" s="6">
        <f t="shared" si="354"/>
        <v>0</v>
      </c>
      <c r="BW314" s="6">
        <f t="shared" si="355"/>
        <v>0</v>
      </c>
      <c r="BX314" s="6">
        <v>0</v>
      </c>
      <c r="BY314" s="6">
        <f t="shared" si="356"/>
        <v>0</v>
      </c>
      <c r="BZ314" s="6">
        <f t="shared" si="357"/>
        <v>0</v>
      </c>
      <c r="CA314" s="6">
        <v>0</v>
      </c>
      <c r="CB314" s="6">
        <f t="shared" si="358"/>
        <v>0</v>
      </c>
      <c r="CC314" s="6">
        <f t="shared" si="359"/>
        <v>0</v>
      </c>
      <c r="CD314" s="6">
        <v>0</v>
      </c>
      <c r="CE314" s="6">
        <f t="shared" si="360"/>
        <v>0</v>
      </c>
      <c r="CF314" s="6">
        <f t="shared" si="361"/>
        <v>0</v>
      </c>
      <c r="CG314" s="6">
        <v>0</v>
      </c>
      <c r="CH314" s="6">
        <f t="shared" si="362"/>
        <v>0</v>
      </c>
      <c r="CI314" s="6">
        <f t="shared" si="363"/>
        <v>0</v>
      </c>
      <c r="CJ314" s="6">
        <v>0</v>
      </c>
      <c r="CK314" s="6">
        <f t="shared" si="364"/>
        <v>0</v>
      </c>
      <c r="CL314" s="6">
        <f t="shared" si="365"/>
        <v>0</v>
      </c>
      <c r="CM314" s="6">
        <v>0</v>
      </c>
      <c r="CN314" s="6">
        <f t="shared" si="366"/>
        <v>0</v>
      </c>
      <c r="CO314" s="6">
        <f t="shared" si="367"/>
        <v>0</v>
      </c>
      <c r="CP314" s="6">
        <v>0</v>
      </c>
      <c r="CQ314" s="6">
        <f t="shared" si="368"/>
        <v>0</v>
      </c>
      <c r="CR314" s="6">
        <f t="shared" si="369"/>
        <v>0</v>
      </c>
      <c r="CS314" s="6">
        <v>0</v>
      </c>
      <c r="CT314" s="6">
        <f t="shared" si="370"/>
        <v>0</v>
      </c>
      <c r="CU314" s="6">
        <f t="shared" si="371"/>
        <v>0</v>
      </c>
      <c r="CV314" s="6">
        <v>0</v>
      </c>
      <c r="CW314" s="6">
        <f t="shared" si="372"/>
        <v>0</v>
      </c>
      <c r="CX314" s="6">
        <f t="shared" si="373"/>
        <v>0</v>
      </c>
      <c r="CY314" s="6">
        <v>0</v>
      </c>
      <c r="CZ314" s="6">
        <f t="shared" si="374"/>
        <v>0</v>
      </c>
      <c r="DA314" s="6">
        <f t="shared" si="375"/>
        <v>0</v>
      </c>
      <c r="DB314" s="6">
        <v>0</v>
      </c>
      <c r="DC314" s="6">
        <f t="shared" si="376"/>
        <v>0</v>
      </c>
      <c r="DD314" s="6">
        <f t="shared" si="377"/>
        <v>0</v>
      </c>
      <c r="DE314" s="6">
        <v>0</v>
      </c>
      <c r="DF314" s="6">
        <f t="shared" si="378"/>
        <v>0</v>
      </c>
      <c r="DG314" s="6">
        <f t="shared" si="379"/>
        <v>0</v>
      </c>
      <c r="DH314" s="6">
        <v>0</v>
      </c>
      <c r="DI314" s="6">
        <f t="shared" si="380"/>
        <v>0</v>
      </c>
      <c r="DJ314" s="6">
        <f t="shared" si="381"/>
        <v>0</v>
      </c>
      <c r="DK314" s="6">
        <v>0</v>
      </c>
      <c r="DL314" s="6">
        <f t="shared" si="382"/>
        <v>0</v>
      </c>
      <c r="DM314" s="6">
        <f t="shared" si="383"/>
        <v>0</v>
      </c>
      <c r="DN314" s="6">
        <v>0</v>
      </c>
      <c r="DO314" s="6">
        <f t="shared" si="384"/>
        <v>0</v>
      </c>
      <c r="DP314" s="6">
        <f t="shared" si="385"/>
        <v>0</v>
      </c>
    </row>
    <row r="315" spans="1:120" x14ac:dyDescent="0.2">
      <c r="A315" s="21">
        <v>41</v>
      </c>
      <c r="B315" s="21" t="s">
        <v>687</v>
      </c>
      <c r="C315" s="21">
        <v>41885</v>
      </c>
      <c r="D315" s="21" t="s">
        <v>427</v>
      </c>
      <c r="E315" s="21" t="s">
        <v>522</v>
      </c>
      <c r="F315" s="22" t="s">
        <v>666</v>
      </c>
      <c r="G315" s="4" t="s">
        <v>427</v>
      </c>
      <c r="H315" s="6">
        <v>563708.12</v>
      </c>
      <c r="I315" s="6">
        <f t="shared" si="389"/>
        <v>1544.405808219178</v>
      </c>
      <c r="J315" s="6">
        <v>558332</v>
      </c>
      <c r="K315" s="6">
        <v>506972.77</v>
      </c>
      <c r="L315" s="6">
        <f t="shared" si="391"/>
        <v>1385.1715027322405</v>
      </c>
      <c r="M315" s="6">
        <v>510744</v>
      </c>
      <c r="N315" s="6">
        <v>531659.18999999994</v>
      </c>
      <c r="O315" s="6">
        <f t="shared" si="394"/>
        <v>1456.6005205479451</v>
      </c>
      <c r="P315" s="6">
        <v>419739</v>
      </c>
      <c r="Q315" s="6">
        <v>211636.64</v>
      </c>
      <c r="R315" s="6">
        <f t="shared" si="395"/>
        <v>1169.2632044198897</v>
      </c>
      <c r="S315" s="6">
        <v>334789</v>
      </c>
      <c r="T315" s="6">
        <f t="shared" si="318"/>
        <v>334789</v>
      </c>
      <c r="U315" s="6">
        <f t="shared" si="319"/>
        <v>917.23013698630132</v>
      </c>
      <c r="V315" s="6">
        <v>268815</v>
      </c>
      <c r="W315" s="6">
        <f t="shared" si="320"/>
        <v>268815</v>
      </c>
      <c r="X315" s="6">
        <f t="shared" si="321"/>
        <v>736.47945205479448</v>
      </c>
      <c r="Y315" s="6">
        <v>218628</v>
      </c>
      <c r="Z315" s="6">
        <f t="shared" si="322"/>
        <v>218628</v>
      </c>
      <c r="AA315" s="6">
        <f t="shared" si="323"/>
        <v>598.98082191780827</v>
      </c>
      <c r="AB315" s="6">
        <v>179982</v>
      </c>
      <c r="AC315" s="6">
        <f t="shared" si="324"/>
        <v>179982</v>
      </c>
      <c r="AD315" s="6">
        <f t="shared" si="325"/>
        <v>493.1013698630137</v>
      </c>
      <c r="AE315" s="6">
        <v>151407</v>
      </c>
      <c r="AF315" s="6">
        <f t="shared" si="326"/>
        <v>151407</v>
      </c>
      <c r="AG315" s="6">
        <f t="shared" si="327"/>
        <v>414.81369863013697</v>
      </c>
      <c r="AH315" s="6">
        <v>0</v>
      </c>
      <c r="AI315" s="6">
        <f t="shared" si="328"/>
        <v>0</v>
      </c>
      <c r="AJ315" s="6">
        <f t="shared" si="329"/>
        <v>0</v>
      </c>
      <c r="AK315" s="6">
        <v>0</v>
      </c>
      <c r="AL315" s="6">
        <f t="shared" si="330"/>
        <v>0</v>
      </c>
      <c r="AM315" s="6">
        <f t="shared" si="331"/>
        <v>0</v>
      </c>
      <c r="AN315" s="6">
        <v>0</v>
      </c>
      <c r="AO315" s="6">
        <f t="shared" si="332"/>
        <v>0</v>
      </c>
      <c r="AP315" s="6">
        <f t="shared" si="333"/>
        <v>0</v>
      </c>
      <c r="AQ315" s="6">
        <v>0</v>
      </c>
      <c r="AR315" s="6">
        <f t="shared" si="334"/>
        <v>0</v>
      </c>
      <c r="AS315" s="6">
        <f t="shared" si="335"/>
        <v>0</v>
      </c>
      <c r="AT315" s="6">
        <v>0</v>
      </c>
      <c r="AU315" s="6">
        <f t="shared" si="336"/>
        <v>0</v>
      </c>
      <c r="AV315" s="6">
        <f t="shared" si="337"/>
        <v>0</v>
      </c>
      <c r="AW315" s="6">
        <v>0</v>
      </c>
      <c r="AX315" s="6">
        <f t="shared" si="338"/>
        <v>0</v>
      </c>
      <c r="AY315" s="6">
        <f t="shared" si="339"/>
        <v>0</v>
      </c>
      <c r="AZ315" s="6">
        <v>0</v>
      </c>
      <c r="BA315" s="6">
        <f t="shared" si="340"/>
        <v>0</v>
      </c>
      <c r="BB315" s="6">
        <f t="shared" si="341"/>
        <v>0</v>
      </c>
      <c r="BC315" s="6">
        <v>0</v>
      </c>
      <c r="BD315" s="6">
        <f t="shared" si="342"/>
        <v>0</v>
      </c>
      <c r="BE315" s="6">
        <f t="shared" si="343"/>
        <v>0</v>
      </c>
      <c r="BF315" s="6">
        <v>0</v>
      </c>
      <c r="BG315" s="6">
        <f t="shared" si="344"/>
        <v>0</v>
      </c>
      <c r="BH315" s="6">
        <f t="shared" si="345"/>
        <v>0</v>
      </c>
      <c r="BI315" s="6">
        <v>0</v>
      </c>
      <c r="BJ315" s="6">
        <f t="shared" si="346"/>
        <v>0</v>
      </c>
      <c r="BK315" s="6">
        <f t="shared" si="347"/>
        <v>0</v>
      </c>
      <c r="BL315" s="6">
        <v>0</v>
      </c>
      <c r="BM315" s="6">
        <f t="shared" si="348"/>
        <v>0</v>
      </c>
      <c r="BN315" s="6">
        <f t="shared" si="349"/>
        <v>0</v>
      </c>
      <c r="BO315" s="6">
        <v>0</v>
      </c>
      <c r="BP315" s="6">
        <f t="shared" si="350"/>
        <v>0</v>
      </c>
      <c r="BQ315" s="6">
        <f t="shared" si="351"/>
        <v>0</v>
      </c>
      <c r="BR315" s="6">
        <v>0</v>
      </c>
      <c r="BS315" s="6">
        <f t="shared" si="352"/>
        <v>0</v>
      </c>
      <c r="BT315" s="6">
        <f t="shared" si="353"/>
        <v>0</v>
      </c>
      <c r="BU315" s="6">
        <v>0</v>
      </c>
      <c r="BV315" s="6">
        <f t="shared" si="354"/>
        <v>0</v>
      </c>
      <c r="BW315" s="6">
        <f t="shared" si="355"/>
        <v>0</v>
      </c>
      <c r="BX315" s="6">
        <v>0</v>
      </c>
      <c r="BY315" s="6">
        <f t="shared" si="356"/>
        <v>0</v>
      </c>
      <c r="BZ315" s="6">
        <f t="shared" si="357"/>
        <v>0</v>
      </c>
      <c r="CA315" s="6">
        <v>0</v>
      </c>
      <c r="CB315" s="6">
        <f t="shared" si="358"/>
        <v>0</v>
      </c>
      <c r="CC315" s="6">
        <f t="shared" si="359"/>
        <v>0</v>
      </c>
      <c r="CD315" s="6">
        <v>0</v>
      </c>
      <c r="CE315" s="6">
        <f t="shared" si="360"/>
        <v>0</v>
      </c>
      <c r="CF315" s="6">
        <f t="shared" si="361"/>
        <v>0</v>
      </c>
      <c r="CG315" s="6">
        <v>0</v>
      </c>
      <c r="CH315" s="6">
        <f t="shared" si="362"/>
        <v>0</v>
      </c>
      <c r="CI315" s="6">
        <f t="shared" si="363"/>
        <v>0</v>
      </c>
      <c r="CJ315" s="6">
        <v>0</v>
      </c>
      <c r="CK315" s="6">
        <f t="shared" si="364"/>
        <v>0</v>
      </c>
      <c r="CL315" s="6">
        <f t="shared" si="365"/>
        <v>0</v>
      </c>
      <c r="CM315" s="6">
        <v>0</v>
      </c>
      <c r="CN315" s="6">
        <f t="shared" si="366"/>
        <v>0</v>
      </c>
      <c r="CO315" s="6">
        <f t="shared" si="367"/>
        <v>0</v>
      </c>
      <c r="CP315" s="6">
        <v>0</v>
      </c>
      <c r="CQ315" s="6">
        <f t="shared" si="368"/>
        <v>0</v>
      </c>
      <c r="CR315" s="6">
        <f t="shared" si="369"/>
        <v>0</v>
      </c>
      <c r="CS315" s="6">
        <v>0</v>
      </c>
      <c r="CT315" s="6">
        <f t="shared" si="370"/>
        <v>0</v>
      </c>
      <c r="CU315" s="6">
        <f t="shared" si="371"/>
        <v>0</v>
      </c>
      <c r="CV315" s="6">
        <v>0</v>
      </c>
      <c r="CW315" s="6">
        <f t="shared" si="372"/>
        <v>0</v>
      </c>
      <c r="CX315" s="6">
        <f t="shared" si="373"/>
        <v>0</v>
      </c>
      <c r="CY315" s="6">
        <v>0</v>
      </c>
      <c r="CZ315" s="6">
        <f t="shared" si="374"/>
        <v>0</v>
      </c>
      <c r="DA315" s="6">
        <f t="shared" si="375"/>
        <v>0</v>
      </c>
      <c r="DB315" s="6">
        <v>0</v>
      </c>
      <c r="DC315" s="6">
        <f t="shared" si="376"/>
        <v>0</v>
      </c>
      <c r="DD315" s="6">
        <f t="shared" si="377"/>
        <v>0</v>
      </c>
      <c r="DE315" s="6">
        <v>0</v>
      </c>
      <c r="DF315" s="6">
        <f t="shared" si="378"/>
        <v>0</v>
      </c>
      <c r="DG315" s="6">
        <f t="shared" si="379"/>
        <v>0</v>
      </c>
      <c r="DH315" s="6">
        <v>0</v>
      </c>
      <c r="DI315" s="6">
        <f t="shared" si="380"/>
        <v>0</v>
      </c>
      <c r="DJ315" s="6">
        <f t="shared" si="381"/>
        <v>0</v>
      </c>
      <c r="DK315" s="6">
        <v>0</v>
      </c>
      <c r="DL315" s="6">
        <f t="shared" si="382"/>
        <v>0</v>
      </c>
      <c r="DM315" s="6">
        <f t="shared" si="383"/>
        <v>0</v>
      </c>
      <c r="DN315" s="6">
        <v>0</v>
      </c>
      <c r="DO315" s="6">
        <f t="shared" si="384"/>
        <v>0</v>
      </c>
      <c r="DP315" s="6">
        <f t="shared" si="385"/>
        <v>0</v>
      </c>
    </row>
    <row r="316" spans="1:120" x14ac:dyDescent="0.2">
      <c r="A316" s="21">
        <v>85</v>
      </c>
      <c r="B316" s="21" t="s">
        <v>612</v>
      </c>
      <c r="C316" s="21">
        <v>85250</v>
      </c>
      <c r="D316" s="21" t="s">
        <v>663</v>
      </c>
      <c r="E316" s="21" t="s">
        <v>542</v>
      </c>
      <c r="F316" s="22" t="s">
        <v>669</v>
      </c>
      <c r="G316" s="4" t="s">
        <v>428</v>
      </c>
      <c r="H316" s="6">
        <v>156148.28</v>
      </c>
      <c r="I316" s="6">
        <f t="shared" si="389"/>
        <v>427.80350684931506</v>
      </c>
      <c r="J316" s="6">
        <v>191994</v>
      </c>
      <c r="K316" s="6">
        <v>161248.01</v>
      </c>
      <c r="L316" s="6">
        <f t="shared" si="391"/>
        <v>440.56833333333338</v>
      </c>
      <c r="M316" s="6">
        <v>185495</v>
      </c>
      <c r="N316" s="6">
        <v>134946.99</v>
      </c>
      <c r="O316" s="6">
        <f t="shared" si="394"/>
        <v>369.71778082191776</v>
      </c>
      <c r="P316" s="6">
        <v>176716</v>
      </c>
      <c r="Q316" s="6">
        <v>50533.34</v>
      </c>
      <c r="R316" s="6">
        <f t="shared" si="395"/>
        <v>279.18972375690606</v>
      </c>
      <c r="S316" s="6">
        <v>138620</v>
      </c>
      <c r="T316" s="6">
        <f t="shared" si="318"/>
        <v>138620</v>
      </c>
      <c r="U316" s="6">
        <f t="shared" si="319"/>
        <v>379.78082191780823</v>
      </c>
      <c r="V316" s="6">
        <v>109778</v>
      </c>
      <c r="W316" s="6">
        <f t="shared" si="320"/>
        <v>109778</v>
      </c>
      <c r="X316" s="6">
        <f t="shared" si="321"/>
        <v>300.76164383561644</v>
      </c>
      <c r="Y316" s="6">
        <v>85475</v>
      </c>
      <c r="Z316" s="6">
        <f t="shared" si="322"/>
        <v>85475</v>
      </c>
      <c r="AA316" s="6">
        <f t="shared" si="323"/>
        <v>234.17808219178082</v>
      </c>
      <c r="AB316" s="6">
        <v>67151</v>
      </c>
      <c r="AC316" s="6">
        <f t="shared" si="324"/>
        <v>67151</v>
      </c>
      <c r="AD316" s="6">
        <f t="shared" si="325"/>
        <v>183.97534246575341</v>
      </c>
      <c r="AE316" s="6">
        <v>53852</v>
      </c>
      <c r="AF316" s="6">
        <f t="shared" si="326"/>
        <v>53852</v>
      </c>
      <c r="AG316" s="6">
        <f t="shared" si="327"/>
        <v>147.53972602739725</v>
      </c>
      <c r="AH316" s="6">
        <v>42702</v>
      </c>
      <c r="AI316" s="6">
        <f t="shared" si="328"/>
        <v>42702</v>
      </c>
      <c r="AJ316" s="6">
        <f t="shared" si="329"/>
        <v>116.99178082191781</v>
      </c>
      <c r="AK316" s="6">
        <v>34688</v>
      </c>
      <c r="AL316" s="6">
        <f t="shared" si="330"/>
        <v>34688</v>
      </c>
      <c r="AM316" s="6">
        <f t="shared" si="331"/>
        <v>95.035616438356158</v>
      </c>
      <c r="AN316" s="6">
        <v>28091</v>
      </c>
      <c r="AO316" s="6">
        <f t="shared" si="332"/>
        <v>28091</v>
      </c>
      <c r="AP316" s="6">
        <f t="shared" si="333"/>
        <v>76.961643835616442</v>
      </c>
      <c r="AQ316" s="6">
        <v>0</v>
      </c>
      <c r="AR316" s="6">
        <f t="shared" si="334"/>
        <v>0</v>
      </c>
      <c r="AS316" s="6">
        <f t="shared" si="335"/>
        <v>0</v>
      </c>
      <c r="AT316" s="6">
        <v>0</v>
      </c>
      <c r="AU316" s="6">
        <f t="shared" si="336"/>
        <v>0</v>
      </c>
      <c r="AV316" s="6">
        <f t="shared" si="337"/>
        <v>0</v>
      </c>
      <c r="AW316" s="6">
        <v>0</v>
      </c>
      <c r="AX316" s="6">
        <f t="shared" si="338"/>
        <v>0</v>
      </c>
      <c r="AY316" s="6">
        <f t="shared" si="339"/>
        <v>0</v>
      </c>
      <c r="AZ316" s="6">
        <v>0</v>
      </c>
      <c r="BA316" s="6">
        <f t="shared" si="340"/>
        <v>0</v>
      </c>
      <c r="BB316" s="6">
        <f t="shared" si="341"/>
        <v>0</v>
      </c>
      <c r="BC316" s="6">
        <v>0</v>
      </c>
      <c r="BD316" s="6">
        <f t="shared" si="342"/>
        <v>0</v>
      </c>
      <c r="BE316" s="6">
        <f t="shared" si="343"/>
        <v>0</v>
      </c>
      <c r="BF316" s="6">
        <v>0</v>
      </c>
      <c r="BG316" s="6">
        <f t="shared" si="344"/>
        <v>0</v>
      </c>
      <c r="BH316" s="6">
        <f t="shared" si="345"/>
        <v>0</v>
      </c>
      <c r="BI316" s="6">
        <v>0</v>
      </c>
      <c r="BJ316" s="6">
        <f t="shared" si="346"/>
        <v>0</v>
      </c>
      <c r="BK316" s="6">
        <f t="shared" si="347"/>
        <v>0</v>
      </c>
      <c r="BL316" s="6">
        <v>0</v>
      </c>
      <c r="BM316" s="6">
        <f t="shared" si="348"/>
        <v>0</v>
      </c>
      <c r="BN316" s="6">
        <f t="shared" si="349"/>
        <v>0</v>
      </c>
      <c r="BO316" s="6">
        <v>0</v>
      </c>
      <c r="BP316" s="6">
        <f t="shared" si="350"/>
        <v>0</v>
      </c>
      <c r="BQ316" s="6">
        <f t="shared" si="351"/>
        <v>0</v>
      </c>
      <c r="BR316" s="6">
        <v>0</v>
      </c>
      <c r="BS316" s="6">
        <f t="shared" si="352"/>
        <v>0</v>
      </c>
      <c r="BT316" s="6">
        <f t="shared" si="353"/>
        <v>0</v>
      </c>
      <c r="BU316" s="6">
        <v>0</v>
      </c>
      <c r="BV316" s="6">
        <f t="shared" si="354"/>
        <v>0</v>
      </c>
      <c r="BW316" s="6">
        <f t="shared" si="355"/>
        <v>0</v>
      </c>
      <c r="BX316" s="6">
        <v>0</v>
      </c>
      <c r="BY316" s="6">
        <f t="shared" si="356"/>
        <v>0</v>
      </c>
      <c r="BZ316" s="6">
        <f t="shared" si="357"/>
        <v>0</v>
      </c>
      <c r="CA316" s="6">
        <v>0</v>
      </c>
      <c r="CB316" s="6">
        <f t="shared" si="358"/>
        <v>0</v>
      </c>
      <c r="CC316" s="6">
        <f t="shared" si="359"/>
        <v>0</v>
      </c>
      <c r="CD316" s="6">
        <v>0</v>
      </c>
      <c r="CE316" s="6">
        <f t="shared" si="360"/>
        <v>0</v>
      </c>
      <c r="CF316" s="6">
        <f t="shared" si="361"/>
        <v>0</v>
      </c>
      <c r="CG316" s="6">
        <v>0</v>
      </c>
      <c r="CH316" s="6">
        <f t="shared" si="362"/>
        <v>0</v>
      </c>
      <c r="CI316" s="6">
        <f t="shared" si="363"/>
        <v>0</v>
      </c>
      <c r="CJ316" s="6">
        <v>0</v>
      </c>
      <c r="CK316" s="6">
        <f t="shared" si="364"/>
        <v>0</v>
      </c>
      <c r="CL316" s="6">
        <f t="shared" si="365"/>
        <v>0</v>
      </c>
      <c r="CM316" s="6">
        <v>0</v>
      </c>
      <c r="CN316" s="6">
        <f t="shared" si="366"/>
        <v>0</v>
      </c>
      <c r="CO316" s="6">
        <f t="shared" si="367"/>
        <v>0</v>
      </c>
      <c r="CP316" s="6">
        <v>0</v>
      </c>
      <c r="CQ316" s="6">
        <f t="shared" si="368"/>
        <v>0</v>
      </c>
      <c r="CR316" s="6">
        <f t="shared" si="369"/>
        <v>0</v>
      </c>
      <c r="CS316" s="6">
        <v>0</v>
      </c>
      <c r="CT316" s="6">
        <f t="shared" si="370"/>
        <v>0</v>
      </c>
      <c r="CU316" s="6">
        <f t="shared" si="371"/>
        <v>0</v>
      </c>
      <c r="CV316" s="6">
        <v>0</v>
      </c>
      <c r="CW316" s="6">
        <f t="shared" si="372"/>
        <v>0</v>
      </c>
      <c r="CX316" s="6">
        <f t="shared" si="373"/>
        <v>0</v>
      </c>
      <c r="CY316" s="6">
        <v>0</v>
      </c>
      <c r="CZ316" s="6">
        <f t="shared" si="374"/>
        <v>0</v>
      </c>
      <c r="DA316" s="6">
        <f t="shared" si="375"/>
        <v>0</v>
      </c>
      <c r="DB316" s="6">
        <v>0</v>
      </c>
      <c r="DC316" s="6">
        <f t="shared" si="376"/>
        <v>0</v>
      </c>
      <c r="DD316" s="6">
        <f t="shared" si="377"/>
        <v>0</v>
      </c>
      <c r="DE316" s="6">
        <v>0</v>
      </c>
      <c r="DF316" s="6">
        <f t="shared" si="378"/>
        <v>0</v>
      </c>
      <c r="DG316" s="6">
        <f t="shared" si="379"/>
        <v>0</v>
      </c>
      <c r="DH316" s="6">
        <v>0</v>
      </c>
      <c r="DI316" s="6">
        <f t="shared" si="380"/>
        <v>0</v>
      </c>
      <c r="DJ316" s="6">
        <f t="shared" si="381"/>
        <v>0</v>
      </c>
      <c r="DK316" s="6">
        <v>0</v>
      </c>
      <c r="DL316" s="6">
        <f t="shared" si="382"/>
        <v>0</v>
      </c>
      <c r="DM316" s="6">
        <f t="shared" si="383"/>
        <v>0</v>
      </c>
      <c r="DN316" s="6">
        <v>0</v>
      </c>
      <c r="DO316" s="6">
        <f t="shared" si="384"/>
        <v>0</v>
      </c>
      <c r="DP316" s="6">
        <f t="shared" si="385"/>
        <v>0</v>
      </c>
    </row>
    <row r="317" spans="1:120" x14ac:dyDescent="0.2">
      <c r="A317" s="21">
        <v>85</v>
      </c>
      <c r="B317" s="21" t="s">
        <v>612</v>
      </c>
      <c r="C317" s="21">
        <v>85250</v>
      </c>
      <c r="D317" s="21" t="s">
        <v>663</v>
      </c>
      <c r="E317" s="21" t="s">
        <v>615</v>
      </c>
      <c r="F317" s="22" t="s">
        <v>693</v>
      </c>
      <c r="G317" s="4" t="s">
        <v>429</v>
      </c>
      <c r="H317" s="6">
        <v>15380.85</v>
      </c>
      <c r="I317" s="6">
        <f t="shared" si="389"/>
        <v>42.139315068493154</v>
      </c>
      <c r="J317" s="6">
        <v>15819.3475</v>
      </c>
      <c r="K317" s="6">
        <v>18934.400000000001</v>
      </c>
      <c r="L317" s="6">
        <f t="shared" si="391"/>
        <v>51.733333333333334</v>
      </c>
      <c r="M317" s="6">
        <v>14667.210999999999</v>
      </c>
      <c r="N317" s="6">
        <v>18885.080000000002</v>
      </c>
      <c r="O317" s="6">
        <f t="shared" si="394"/>
        <v>51.739945205479458</v>
      </c>
      <c r="P317" s="6">
        <v>13671.5638</v>
      </c>
      <c r="Q317" s="6">
        <v>5544.16</v>
      </c>
      <c r="R317" s="6">
        <f t="shared" si="395"/>
        <v>30.630718232044199</v>
      </c>
      <c r="S317" s="6">
        <v>12802.5363</v>
      </c>
      <c r="T317" s="6">
        <f t="shared" si="318"/>
        <v>12802.5363</v>
      </c>
      <c r="U317" s="6">
        <f t="shared" si="319"/>
        <v>35.07544191780822</v>
      </c>
      <c r="V317" s="6">
        <v>12028.156300000001</v>
      </c>
      <c r="W317" s="6">
        <f t="shared" si="320"/>
        <v>12028.156300000001</v>
      </c>
      <c r="X317" s="6">
        <f t="shared" si="321"/>
        <v>32.953852876712332</v>
      </c>
      <c r="Y317" s="6">
        <v>11306.466899999999</v>
      </c>
      <c r="Z317" s="6">
        <f t="shared" si="322"/>
        <v>11306.466899999999</v>
      </c>
      <c r="AA317" s="6">
        <f t="shared" si="323"/>
        <v>30.976621643835614</v>
      </c>
      <c r="AB317" s="6">
        <v>10628.0789</v>
      </c>
      <c r="AC317" s="6">
        <f t="shared" si="324"/>
        <v>10628.0789</v>
      </c>
      <c r="AD317" s="6">
        <f t="shared" si="325"/>
        <v>29.118024383561647</v>
      </c>
      <c r="AE317" s="6">
        <v>9990.3942000000006</v>
      </c>
      <c r="AF317" s="6">
        <f t="shared" si="326"/>
        <v>9990.3942000000006</v>
      </c>
      <c r="AG317" s="6">
        <f t="shared" si="327"/>
        <v>27.370943013698632</v>
      </c>
      <c r="AH317" s="6">
        <v>9390.9704999999994</v>
      </c>
      <c r="AI317" s="6">
        <f t="shared" si="328"/>
        <v>9390.9704999999994</v>
      </c>
      <c r="AJ317" s="6">
        <f t="shared" si="329"/>
        <v>25.728686301369862</v>
      </c>
      <c r="AK317" s="6">
        <v>8827.5123000000003</v>
      </c>
      <c r="AL317" s="6">
        <f t="shared" si="330"/>
        <v>8827.5123000000003</v>
      </c>
      <c r="AM317" s="6">
        <f t="shared" si="331"/>
        <v>24.184965205479454</v>
      </c>
      <c r="AN317" s="6">
        <v>6972.5420999999997</v>
      </c>
      <c r="AO317" s="6">
        <f t="shared" si="332"/>
        <v>6972.5420999999997</v>
      </c>
      <c r="AP317" s="6">
        <f t="shared" si="333"/>
        <v>19.102855068493149</v>
      </c>
      <c r="AQ317" s="6">
        <v>0</v>
      </c>
      <c r="AR317" s="6">
        <f t="shared" si="334"/>
        <v>0</v>
      </c>
      <c r="AS317" s="6">
        <f t="shared" si="335"/>
        <v>0</v>
      </c>
      <c r="AT317" s="6">
        <v>0</v>
      </c>
      <c r="AU317" s="6">
        <f t="shared" si="336"/>
        <v>0</v>
      </c>
      <c r="AV317" s="6">
        <f t="shared" si="337"/>
        <v>0</v>
      </c>
      <c r="AW317" s="6">
        <v>0</v>
      </c>
      <c r="AX317" s="6">
        <f t="shared" si="338"/>
        <v>0</v>
      </c>
      <c r="AY317" s="6">
        <f t="shared" si="339"/>
        <v>0</v>
      </c>
      <c r="AZ317" s="6">
        <v>0</v>
      </c>
      <c r="BA317" s="6">
        <f t="shared" si="340"/>
        <v>0</v>
      </c>
      <c r="BB317" s="6">
        <f t="shared" si="341"/>
        <v>0</v>
      </c>
      <c r="BC317" s="6">
        <v>0</v>
      </c>
      <c r="BD317" s="6">
        <f t="shared" si="342"/>
        <v>0</v>
      </c>
      <c r="BE317" s="6">
        <f t="shared" si="343"/>
        <v>0</v>
      </c>
      <c r="BF317" s="6">
        <v>0</v>
      </c>
      <c r="BG317" s="6">
        <f t="shared" si="344"/>
        <v>0</v>
      </c>
      <c r="BH317" s="6">
        <f t="shared" si="345"/>
        <v>0</v>
      </c>
      <c r="BI317" s="6">
        <v>0</v>
      </c>
      <c r="BJ317" s="6">
        <f t="shared" si="346"/>
        <v>0</v>
      </c>
      <c r="BK317" s="6">
        <f t="shared" si="347"/>
        <v>0</v>
      </c>
      <c r="BL317" s="6">
        <v>0</v>
      </c>
      <c r="BM317" s="6">
        <f t="shared" si="348"/>
        <v>0</v>
      </c>
      <c r="BN317" s="6">
        <f t="shared" si="349"/>
        <v>0</v>
      </c>
      <c r="BO317" s="6">
        <v>0</v>
      </c>
      <c r="BP317" s="6">
        <f t="shared" si="350"/>
        <v>0</v>
      </c>
      <c r="BQ317" s="6">
        <f t="shared" si="351"/>
        <v>0</v>
      </c>
      <c r="BR317" s="6">
        <v>0</v>
      </c>
      <c r="BS317" s="6">
        <f t="shared" si="352"/>
        <v>0</v>
      </c>
      <c r="BT317" s="6">
        <f t="shared" si="353"/>
        <v>0</v>
      </c>
      <c r="BU317" s="6">
        <v>0</v>
      </c>
      <c r="BV317" s="6">
        <f t="shared" si="354"/>
        <v>0</v>
      </c>
      <c r="BW317" s="6">
        <f t="shared" si="355"/>
        <v>0</v>
      </c>
      <c r="BX317" s="6">
        <v>0</v>
      </c>
      <c r="BY317" s="6">
        <f t="shared" si="356"/>
        <v>0</v>
      </c>
      <c r="BZ317" s="6">
        <f t="shared" si="357"/>
        <v>0</v>
      </c>
      <c r="CA317" s="6">
        <v>0</v>
      </c>
      <c r="CB317" s="6">
        <f t="shared" si="358"/>
        <v>0</v>
      </c>
      <c r="CC317" s="6">
        <f t="shared" si="359"/>
        <v>0</v>
      </c>
      <c r="CD317" s="6">
        <v>0</v>
      </c>
      <c r="CE317" s="6">
        <f t="shared" si="360"/>
        <v>0</v>
      </c>
      <c r="CF317" s="6">
        <f t="shared" si="361"/>
        <v>0</v>
      </c>
      <c r="CG317" s="6">
        <v>0</v>
      </c>
      <c r="CH317" s="6">
        <f t="shared" si="362"/>
        <v>0</v>
      </c>
      <c r="CI317" s="6">
        <f t="shared" si="363"/>
        <v>0</v>
      </c>
      <c r="CJ317" s="6">
        <v>0</v>
      </c>
      <c r="CK317" s="6">
        <f t="shared" si="364"/>
        <v>0</v>
      </c>
      <c r="CL317" s="6">
        <f t="shared" si="365"/>
        <v>0</v>
      </c>
      <c r="CM317" s="6">
        <v>0</v>
      </c>
      <c r="CN317" s="6">
        <f t="shared" si="366"/>
        <v>0</v>
      </c>
      <c r="CO317" s="6">
        <f t="shared" si="367"/>
        <v>0</v>
      </c>
      <c r="CP317" s="6">
        <v>0</v>
      </c>
      <c r="CQ317" s="6">
        <f t="shared" si="368"/>
        <v>0</v>
      </c>
      <c r="CR317" s="6">
        <f t="shared" si="369"/>
        <v>0</v>
      </c>
      <c r="CS317" s="6">
        <v>0</v>
      </c>
      <c r="CT317" s="6">
        <f t="shared" si="370"/>
        <v>0</v>
      </c>
      <c r="CU317" s="6">
        <f t="shared" si="371"/>
        <v>0</v>
      </c>
      <c r="CV317" s="6">
        <v>0</v>
      </c>
      <c r="CW317" s="6">
        <f t="shared" si="372"/>
        <v>0</v>
      </c>
      <c r="CX317" s="6">
        <f t="shared" si="373"/>
        <v>0</v>
      </c>
      <c r="CY317" s="6">
        <v>0</v>
      </c>
      <c r="CZ317" s="6">
        <f t="shared" si="374"/>
        <v>0</v>
      </c>
      <c r="DA317" s="6">
        <f t="shared" si="375"/>
        <v>0</v>
      </c>
      <c r="DB317" s="6">
        <v>0</v>
      </c>
      <c r="DC317" s="6">
        <f t="shared" si="376"/>
        <v>0</v>
      </c>
      <c r="DD317" s="6">
        <f t="shared" si="377"/>
        <v>0</v>
      </c>
      <c r="DE317" s="6">
        <v>0</v>
      </c>
      <c r="DF317" s="6">
        <f t="shared" si="378"/>
        <v>0</v>
      </c>
      <c r="DG317" s="6">
        <f t="shared" si="379"/>
        <v>0</v>
      </c>
      <c r="DH317" s="6">
        <v>0</v>
      </c>
      <c r="DI317" s="6">
        <f t="shared" si="380"/>
        <v>0</v>
      </c>
      <c r="DJ317" s="6">
        <f t="shared" si="381"/>
        <v>0</v>
      </c>
      <c r="DK317" s="6">
        <v>0</v>
      </c>
      <c r="DL317" s="6">
        <f t="shared" si="382"/>
        <v>0</v>
      </c>
      <c r="DM317" s="6">
        <f t="shared" si="383"/>
        <v>0</v>
      </c>
      <c r="DN317" s="6">
        <v>0</v>
      </c>
      <c r="DO317" s="6">
        <f t="shared" si="384"/>
        <v>0</v>
      </c>
      <c r="DP317" s="6">
        <f t="shared" si="385"/>
        <v>0</v>
      </c>
    </row>
    <row r="318" spans="1:120" x14ac:dyDescent="0.2">
      <c r="A318" s="21">
        <v>13</v>
      </c>
      <c r="B318" s="21" t="s">
        <v>145</v>
      </c>
      <c r="C318" s="21">
        <v>13160</v>
      </c>
      <c r="D318" s="21" t="s">
        <v>751</v>
      </c>
      <c r="E318" s="21" t="s">
        <v>522</v>
      </c>
      <c r="F318" s="22" t="s">
        <v>666</v>
      </c>
      <c r="G318" s="4" t="s">
        <v>430</v>
      </c>
      <c r="H318" s="6">
        <v>5398927.8600000003</v>
      </c>
      <c r="I318" s="6">
        <f t="shared" si="389"/>
        <v>14791.583178082192</v>
      </c>
      <c r="J318" s="6">
        <v>5591374</v>
      </c>
      <c r="K318" s="6">
        <v>4953562.63</v>
      </c>
      <c r="L318" s="6">
        <f t="shared" si="391"/>
        <v>13534.324125683061</v>
      </c>
      <c r="M318" s="6">
        <v>4932538</v>
      </c>
      <c r="N318" s="6">
        <v>4692221.3899999997</v>
      </c>
      <c r="O318" s="6">
        <f t="shared" si="394"/>
        <v>12855.401068493149</v>
      </c>
      <c r="P318" s="6">
        <v>4246239</v>
      </c>
      <c r="Q318" s="6">
        <v>2316615</v>
      </c>
      <c r="R318" s="6">
        <f t="shared" si="395"/>
        <v>12798.977900552487</v>
      </c>
      <c r="S318" s="6">
        <v>3602450</v>
      </c>
      <c r="T318" s="6">
        <f t="shared" si="318"/>
        <v>3602450</v>
      </c>
      <c r="U318" s="6">
        <f t="shared" si="319"/>
        <v>9869.7260273972606</v>
      </c>
      <c r="V318" s="6">
        <v>3081951</v>
      </c>
      <c r="W318" s="6">
        <f t="shared" si="320"/>
        <v>3081951</v>
      </c>
      <c r="X318" s="6">
        <f t="shared" si="321"/>
        <v>8443.7013698630144</v>
      </c>
      <c r="Y318" s="6">
        <v>2638958</v>
      </c>
      <c r="Z318" s="6">
        <f t="shared" si="322"/>
        <v>2638958</v>
      </c>
      <c r="AA318" s="6">
        <f t="shared" si="323"/>
        <v>7230.0219178082189</v>
      </c>
      <c r="AB318" s="6">
        <v>2273625</v>
      </c>
      <c r="AC318" s="6">
        <f t="shared" si="324"/>
        <v>2273625</v>
      </c>
      <c r="AD318" s="6">
        <f t="shared" si="325"/>
        <v>6229.1095890410961</v>
      </c>
      <c r="AE318" s="6">
        <v>1958570</v>
      </c>
      <c r="AF318" s="6">
        <f t="shared" si="326"/>
        <v>1958570</v>
      </c>
      <c r="AG318" s="6">
        <f t="shared" si="327"/>
        <v>5365.9452054794519</v>
      </c>
      <c r="AH318" s="6">
        <v>1695578</v>
      </c>
      <c r="AI318" s="6">
        <f t="shared" si="328"/>
        <v>1695578</v>
      </c>
      <c r="AJ318" s="6">
        <f t="shared" si="329"/>
        <v>4645.419178082192</v>
      </c>
      <c r="AK318" s="6">
        <v>1475444</v>
      </c>
      <c r="AL318" s="6">
        <f t="shared" si="330"/>
        <v>1475444</v>
      </c>
      <c r="AM318" s="6">
        <f t="shared" si="331"/>
        <v>4042.3123287671233</v>
      </c>
      <c r="AN318" s="6">
        <v>1279602</v>
      </c>
      <c r="AO318" s="6">
        <f t="shared" si="332"/>
        <v>1279602</v>
      </c>
      <c r="AP318" s="6">
        <f t="shared" si="333"/>
        <v>3505.7589041095889</v>
      </c>
      <c r="AQ318" s="6">
        <v>1115514</v>
      </c>
      <c r="AR318" s="6">
        <f t="shared" si="334"/>
        <v>1115514</v>
      </c>
      <c r="AS318" s="6">
        <f t="shared" si="335"/>
        <v>3056.2027397260272</v>
      </c>
      <c r="AT318" s="6">
        <v>978428</v>
      </c>
      <c r="AU318" s="6">
        <f t="shared" si="336"/>
        <v>978428</v>
      </c>
      <c r="AV318" s="6">
        <f t="shared" si="337"/>
        <v>2680.6246575342466</v>
      </c>
      <c r="AW318" s="6">
        <v>851413</v>
      </c>
      <c r="AX318" s="6">
        <f t="shared" si="338"/>
        <v>851413</v>
      </c>
      <c r="AY318" s="6">
        <f t="shared" si="339"/>
        <v>2332.6383561643834</v>
      </c>
      <c r="AZ318" s="6">
        <v>746452</v>
      </c>
      <c r="BA318" s="6">
        <f t="shared" si="340"/>
        <v>746452</v>
      </c>
      <c r="BB318" s="6">
        <f t="shared" si="341"/>
        <v>2045.0739726027398</v>
      </c>
      <c r="BC318" s="6">
        <v>649657</v>
      </c>
      <c r="BD318" s="6">
        <f t="shared" si="342"/>
        <v>649657</v>
      </c>
      <c r="BE318" s="6">
        <f t="shared" si="343"/>
        <v>1779.8821917808218</v>
      </c>
      <c r="BF318" s="6">
        <v>0</v>
      </c>
      <c r="BG318" s="6">
        <f t="shared" si="344"/>
        <v>0</v>
      </c>
      <c r="BH318" s="6">
        <f t="shared" si="345"/>
        <v>0</v>
      </c>
      <c r="BI318" s="6">
        <v>0</v>
      </c>
      <c r="BJ318" s="6">
        <f t="shared" si="346"/>
        <v>0</v>
      </c>
      <c r="BK318" s="6">
        <f t="shared" si="347"/>
        <v>0</v>
      </c>
      <c r="BL318" s="6">
        <v>0</v>
      </c>
      <c r="BM318" s="6">
        <f t="shared" si="348"/>
        <v>0</v>
      </c>
      <c r="BN318" s="6">
        <f t="shared" si="349"/>
        <v>0</v>
      </c>
      <c r="BO318" s="6">
        <v>0</v>
      </c>
      <c r="BP318" s="6">
        <f t="shared" si="350"/>
        <v>0</v>
      </c>
      <c r="BQ318" s="6">
        <f t="shared" si="351"/>
        <v>0</v>
      </c>
      <c r="BR318" s="6">
        <v>0</v>
      </c>
      <c r="BS318" s="6">
        <f t="shared" si="352"/>
        <v>0</v>
      </c>
      <c r="BT318" s="6">
        <f t="shared" si="353"/>
        <v>0</v>
      </c>
      <c r="BU318" s="6">
        <v>0</v>
      </c>
      <c r="BV318" s="6">
        <f t="shared" si="354"/>
        <v>0</v>
      </c>
      <c r="BW318" s="6">
        <f t="shared" si="355"/>
        <v>0</v>
      </c>
      <c r="BX318" s="6">
        <v>0</v>
      </c>
      <c r="BY318" s="6">
        <f t="shared" si="356"/>
        <v>0</v>
      </c>
      <c r="BZ318" s="6">
        <f t="shared" si="357"/>
        <v>0</v>
      </c>
      <c r="CA318" s="6">
        <v>0</v>
      </c>
      <c r="CB318" s="6">
        <f t="shared" si="358"/>
        <v>0</v>
      </c>
      <c r="CC318" s="6">
        <f t="shared" si="359"/>
        <v>0</v>
      </c>
      <c r="CD318" s="6">
        <v>0</v>
      </c>
      <c r="CE318" s="6">
        <f t="shared" si="360"/>
        <v>0</v>
      </c>
      <c r="CF318" s="6">
        <f t="shared" si="361"/>
        <v>0</v>
      </c>
      <c r="CG318" s="6">
        <v>0</v>
      </c>
      <c r="CH318" s="6">
        <f t="shared" si="362"/>
        <v>0</v>
      </c>
      <c r="CI318" s="6">
        <f t="shared" si="363"/>
        <v>0</v>
      </c>
      <c r="CJ318" s="6">
        <v>0</v>
      </c>
      <c r="CK318" s="6">
        <f t="shared" si="364"/>
        <v>0</v>
      </c>
      <c r="CL318" s="6">
        <f t="shared" si="365"/>
        <v>0</v>
      </c>
      <c r="CM318" s="6">
        <v>0</v>
      </c>
      <c r="CN318" s="6">
        <f t="shared" si="366"/>
        <v>0</v>
      </c>
      <c r="CO318" s="6">
        <f t="shared" si="367"/>
        <v>0</v>
      </c>
      <c r="CP318" s="6">
        <v>0</v>
      </c>
      <c r="CQ318" s="6">
        <f t="shared" si="368"/>
        <v>0</v>
      </c>
      <c r="CR318" s="6">
        <f t="shared" si="369"/>
        <v>0</v>
      </c>
      <c r="CS318" s="6">
        <v>0</v>
      </c>
      <c r="CT318" s="6">
        <f t="shared" si="370"/>
        <v>0</v>
      </c>
      <c r="CU318" s="6">
        <f t="shared" si="371"/>
        <v>0</v>
      </c>
      <c r="CV318" s="6">
        <v>0</v>
      </c>
      <c r="CW318" s="6">
        <f t="shared" si="372"/>
        <v>0</v>
      </c>
      <c r="CX318" s="6">
        <f t="shared" si="373"/>
        <v>0</v>
      </c>
      <c r="CY318" s="6">
        <v>0</v>
      </c>
      <c r="CZ318" s="6">
        <f t="shared" si="374"/>
        <v>0</v>
      </c>
      <c r="DA318" s="6">
        <f t="shared" si="375"/>
        <v>0</v>
      </c>
      <c r="DB318" s="6">
        <v>0</v>
      </c>
      <c r="DC318" s="6">
        <f t="shared" si="376"/>
        <v>0</v>
      </c>
      <c r="DD318" s="6">
        <f t="shared" si="377"/>
        <v>0</v>
      </c>
      <c r="DE318" s="6">
        <v>0</v>
      </c>
      <c r="DF318" s="6">
        <f t="shared" si="378"/>
        <v>0</v>
      </c>
      <c r="DG318" s="6">
        <f t="shared" si="379"/>
        <v>0</v>
      </c>
      <c r="DH318" s="6">
        <v>0</v>
      </c>
      <c r="DI318" s="6">
        <f t="shared" si="380"/>
        <v>0</v>
      </c>
      <c r="DJ318" s="6">
        <f t="shared" si="381"/>
        <v>0</v>
      </c>
      <c r="DK318" s="6">
        <v>0</v>
      </c>
      <c r="DL318" s="6">
        <f t="shared" si="382"/>
        <v>0</v>
      </c>
      <c r="DM318" s="6">
        <f t="shared" si="383"/>
        <v>0</v>
      </c>
      <c r="DN318" s="6">
        <v>0</v>
      </c>
      <c r="DO318" s="6">
        <f t="shared" si="384"/>
        <v>0</v>
      </c>
      <c r="DP318" s="6">
        <f t="shared" si="385"/>
        <v>0</v>
      </c>
    </row>
    <row r="319" spans="1:120" x14ac:dyDescent="0.2">
      <c r="A319" s="21">
        <v>50</v>
      </c>
      <c r="B319" s="21" t="s">
        <v>675</v>
      </c>
      <c r="C319" s="21">
        <v>50124</v>
      </c>
      <c r="D319" s="21" t="s">
        <v>704</v>
      </c>
      <c r="E319" s="21" t="s">
        <v>542</v>
      </c>
      <c r="F319" s="22" t="s">
        <v>669</v>
      </c>
      <c r="G319" s="4" t="s">
        <v>431</v>
      </c>
      <c r="H319" s="6">
        <v>1097459.5</v>
      </c>
      <c r="I319" s="6">
        <f t="shared" si="389"/>
        <v>3006.7383561643837</v>
      </c>
      <c r="J319" s="6">
        <v>796148</v>
      </c>
      <c r="K319" s="6">
        <v>868190.06</v>
      </c>
      <c r="L319" s="6">
        <f t="shared" si="391"/>
        <v>2372.1039890710385</v>
      </c>
      <c r="M319" s="6">
        <v>531380</v>
      </c>
      <c r="N319" s="6">
        <v>752479.51</v>
      </c>
      <c r="O319" s="6">
        <f t="shared" si="394"/>
        <v>2061.5876986301369</v>
      </c>
      <c r="P319" s="6">
        <v>360611</v>
      </c>
      <c r="Q319" s="6">
        <v>388924.94</v>
      </c>
      <c r="R319" s="6">
        <f t="shared" si="395"/>
        <v>2148.7565745856355</v>
      </c>
      <c r="S319" s="6">
        <v>247530</v>
      </c>
      <c r="T319" s="6">
        <f t="shared" si="318"/>
        <v>247530</v>
      </c>
      <c r="U319" s="6">
        <f t="shared" si="319"/>
        <v>678.16438356164383</v>
      </c>
      <c r="V319" s="6">
        <v>166854</v>
      </c>
      <c r="W319" s="6">
        <f t="shared" si="320"/>
        <v>166854</v>
      </c>
      <c r="X319" s="6">
        <f t="shared" si="321"/>
        <v>457.13424657534244</v>
      </c>
      <c r="Y319" s="6">
        <v>116966</v>
      </c>
      <c r="Z319" s="6">
        <f t="shared" si="322"/>
        <v>116966</v>
      </c>
      <c r="AA319" s="6">
        <f t="shared" si="323"/>
        <v>320.45479452054792</v>
      </c>
      <c r="AB319" s="6">
        <v>77134</v>
      </c>
      <c r="AC319" s="6">
        <f t="shared" si="324"/>
        <v>77134</v>
      </c>
      <c r="AD319" s="6">
        <f t="shared" si="325"/>
        <v>211.32602739726028</v>
      </c>
      <c r="AE319" s="6">
        <v>52420</v>
      </c>
      <c r="AF319" s="6">
        <f t="shared" si="326"/>
        <v>52420</v>
      </c>
      <c r="AG319" s="6">
        <f t="shared" si="327"/>
        <v>143.61643835616439</v>
      </c>
      <c r="AH319" s="6">
        <v>36716</v>
      </c>
      <c r="AI319" s="6">
        <f t="shared" si="328"/>
        <v>36716</v>
      </c>
      <c r="AJ319" s="6">
        <f t="shared" si="329"/>
        <v>100.59178082191781</v>
      </c>
      <c r="AK319" s="6">
        <v>0</v>
      </c>
      <c r="AL319" s="6">
        <f t="shared" si="330"/>
        <v>0</v>
      </c>
      <c r="AM319" s="6">
        <f t="shared" si="331"/>
        <v>0</v>
      </c>
      <c r="AN319" s="6">
        <v>0</v>
      </c>
      <c r="AO319" s="6">
        <f t="shared" si="332"/>
        <v>0</v>
      </c>
      <c r="AP319" s="6">
        <f t="shared" si="333"/>
        <v>0</v>
      </c>
      <c r="AQ319" s="6">
        <v>0</v>
      </c>
      <c r="AR319" s="6">
        <f t="shared" si="334"/>
        <v>0</v>
      </c>
      <c r="AS319" s="6">
        <f t="shared" si="335"/>
        <v>0</v>
      </c>
      <c r="AT319" s="6">
        <v>0</v>
      </c>
      <c r="AU319" s="6">
        <f t="shared" si="336"/>
        <v>0</v>
      </c>
      <c r="AV319" s="6">
        <f t="shared" si="337"/>
        <v>0</v>
      </c>
      <c r="AW319" s="6">
        <v>0</v>
      </c>
      <c r="AX319" s="6">
        <f t="shared" si="338"/>
        <v>0</v>
      </c>
      <c r="AY319" s="6">
        <f t="shared" si="339"/>
        <v>0</v>
      </c>
      <c r="AZ319" s="6">
        <v>0</v>
      </c>
      <c r="BA319" s="6">
        <f t="shared" si="340"/>
        <v>0</v>
      </c>
      <c r="BB319" s="6">
        <f t="shared" si="341"/>
        <v>0</v>
      </c>
      <c r="BC319" s="6">
        <v>0</v>
      </c>
      <c r="BD319" s="6">
        <f t="shared" si="342"/>
        <v>0</v>
      </c>
      <c r="BE319" s="6">
        <f t="shared" si="343"/>
        <v>0</v>
      </c>
      <c r="BF319" s="6">
        <v>0</v>
      </c>
      <c r="BG319" s="6">
        <f t="shared" si="344"/>
        <v>0</v>
      </c>
      <c r="BH319" s="6">
        <f t="shared" si="345"/>
        <v>0</v>
      </c>
      <c r="BI319" s="6">
        <v>0</v>
      </c>
      <c r="BJ319" s="6">
        <f t="shared" si="346"/>
        <v>0</v>
      </c>
      <c r="BK319" s="6">
        <f t="shared" si="347"/>
        <v>0</v>
      </c>
      <c r="BL319" s="6">
        <v>0</v>
      </c>
      <c r="BM319" s="6">
        <f t="shared" si="348"/>
        <v>0</v>
      </c>
      <c r="BN319" s="6">
        <f t="shared" si="349"/>
        <v>0</v>
      </c>
      <c r="BO319" s="6">
        <v>0</v>
      </c>
      <c r="BP319" s="6">
        <f t="shared" si="350"/>
        <v>0</v>
      </c>
      <c r="BQ319" s="6">
        <f t="shared" si="351"/>
        <v>0</v>
      </c>
      <c r="BR319" s="6">
        <v>0</v>
      </c>
      <c r="BS319" s="6">
        <f t="shared" si="352"/>
        <v>0</v>
      </c>
      <c r="BT319" s="6">
        <f t="shared" si="353"/>
        <v>0</v>
      </c>
      <c r="BU319" s="6">
        <v>0</v>
      </c>
      <c r="BV319" s="6">
        <f t="shared" si="354"/>
        <v>0</v>
      </c>
      <c r="BW319" s="6">
        <f t="shared" si="355"/>
        <v>0</v>
      </c>
      <c r="BX319" s="6">
        <v>0</v>
      </c>
      <c r="BY319" s="6">
        <f t="shared" si="356"/>
        <v>0</v>
      </c>
      <c r="BZ319" s="6">
        <f t="shared" si="357"/>
        <v>0</v>
      </c>
      <c r="CA319" s="6">
        <v>0</v>
      </c>
      <c r="CB319" s="6">
        <f t="shared" si="358"/>
        <v>0</v>
      </c>
      <c r="CC319" s="6">
        <f t="shared" si="359"/>
        <v>0</v>
      </c>
      <c r="CD319" s="6">
        <v>0</v>
      </c>
      <c r="CE319" s="6">
        <f t="shared" si="360"/>
        <v>0</v>
      </c>
      <c r="CF319" s="6">
        <f t="shared" si="361"/>
        <v>0</v>
      </c>
      <c r="CG319" s="6">
        <v>0</v>
      </c>
      <c r="CH319" s="6">
        <f t="shared" si="362"/>
        <v>0</v>
      </c>
      <c r="CI319" s="6">
        <f t="shared" si="363"/>
        <v>0</v>
      </c>
      <c r="CJ319" s="6">
        <v>0</v>
      </c>
      <c r="CK319" s="6">
        <f t="shared" si="364"/>
        <v>0</v>
      </c>
      <c r="CL319" s="6">
        <f t="shared" si="365"/>
        <v>0</v>
      </c>
      <c r="CM319" s="6">
        <v>0</v>
      </c>
      <c r="CN319" s="6">
        <f t="shared" si="366"/>
        <v>0</v>
      </c>
      <c r="CO319" s="6">
        <f t="shared" si="367"/>
        <v>0</v>
      </c>
      <c r="CP319" s="6">
        <v>0</v>
      </c>
      <c r="CQ319" s="6">
        <f t="shared" si="368"/>
        <v>0</v>
      </c>
      <c r="CR319" s="6">
        <f t="shared" si="369"/>
        <v>0</v>
      </c>
      <c r="CS319" s="6">
        <v>0</v>
      </c>
      <c r="CT319" s="6">
        <f t="shared" si="370"/>
        <v>0</v>
      </c>
      <c r="CU319" s="6">
        <f t="shared" si="371"/>
        <v>0</v>
      </c>
      <c r="CV319" s="6">
        <v>0</v>
      </c>
      <c r="CW319" s="6">
        <f t="shared" si="372"/>
        <v>0</v>
      </c>
      <c r="CX319" s="6">
        <f t="shared" si="373"/>
        <v>0</v>
      </c>
      <c r="CY319" s="6">
        <v>0</v>
      </c>
      <c r="CZ319" s="6">
        <f t="shared" si="374"/>
        <v>0</v>
      </c>
      <c r="DA319" s="6">
        <f t="shared" si="375"/>
        <v>0</v>
      </c>
      <c r="DB319" s="6">
        <v>0</v>
      </c>
      <c r="DC319" s="6">
        <f t="shared" si="376"/>
        <v>0</v>
      </c>
      <c r="DD319" s="6">
        <f t="shared" si="377"/>
        <v>0</v>
      </c>
      <c r="DE319" s="6">
        <v>0</v>
      </c>
      <c r="DF319" s="6">
        <f t="shared" si="378"/>
        <v>0</v>
      </c>
      <c r="DG319" s="6">
        <f t="shared" si="379"/>
        <v>0</v>
      </c>
      <c r="DH319" s="6">
        <v>0</v>
      </c>
      <c r="DI319" s="6">
        <f t="shared" si="380"/>
        <v>0</v>
      </c>
      <c r="DJ319" s="6">
        <f t="shared" si="381"/>
        <v>0</v>
      </c>
      <c r="DK319" s="6">
        <v>0</v>
      </c>
      <c r="DL319" s="6">
        <f t="shared" si="382"/>
        <v>0</v>
      </c>
      <c r="DM319" s="6">
        <f t="shared" si="383"/>
        <v>0</v>
      </c>
      <c r="DN319" s="6">
        <v>0</v>
      </c>
      <c r="DO319" s="6">
        <f t="shared" si="384"/>
        <v>0</v>
      </c>
      <c r="DP319" s="6">
        <f t="shared" si="385"/>
        <v>0</v>
      </c>
    </row>
    <row r="320" spans="1:120" x14ac:dyDescent="0.2">
      <c r="A320" s="21">
        <v>85</v>
      </c>
      <c r="B320" s="21" t="s">
        <v>612</v>
      </c>
      <c r="C320" s="21">
        <v>85139</v>
      </c>
      <c r="D320" s="21" t="s">
        <v>702</v>
      </c>
      <c r="E320" s="21" t="s">
        <v>542</v>
      </c>
      <c r="F320" s="22" t="s">
        <v>669</v>
      </c>
      <c r="G320" s="4" t="s">
        <v>432</v>
      </c>
      <c r="H320" s="6">
        <v>134504.98000000001</v>
      </c>
      <c r="I320" s="6">
        <f t="shared" si="389"/>
        <v>368.506794520548</v>
      </c>
      <c r="J320" s="6">
        <v>99212</v>
      </c>
      <c r="K320" s="6">
        <v>127419.47</v>
      </c>
      <c r="L320" s="6">
        <f t="shared" si="391"/>
        <v>348.14062841530057</v>
      </c>
      <c r="M320" s="6">
        <v>93612</v>
      </c>
      <c r="N320" s="6">
        <v>101774.86</v>
      </c>
      <c r="O320" s="6">
        <f t="shared" si="394"/>
        <v>278.83523287671233</v>
      </c>
      <c r="P320" s="6">
        <v>91509</v>
      </c>
      <c r="Q320" s="6">
        <v>37293.33</v>
      </c>
      <c r="R320" s="6">
        <f t="shared" si="395"/>
        <v>206.04049723756907</v>
      </c>
      <c r="S320" s="6">
        <v>72226</v>
      </c>
      <c r="T320" s="6">
        <f t="shared" si="318"/>
        <v>72226</v>
      </c>
      <c r="U320" s="6">
        <f t="shared" si="319"/>
        <v>197.87945205479451</v>
      </c>
      <c r="V320" s="6">
        <v>56358</v>
      </c>
      <c r="W320" s="6">
        <f t="shared" si="320"/>
        <v>56358</v>
      </c>
      <c r="X320" s="6">
        <f t="shared" si="321"/>
        <v>154.40547945205481</v>
      </c>
      <c r="Y320" s="6">
        <v>43825</v>
      </c>
      <c r="Z320" s="6">
        <f t="shared" si="322"/>
        <v>43825</v>
      </c>
      <c r="AA320" s="6">
        <f t="shared" si="323"/>
        <v>120.06849315068493</v>
      </c>
      <c r="AB320" s="6">
        <v>34258</v>
      </c>
      <c r="AC320" s="6">
        <f t="shared" si="324"/>
        <v>34258</v>
      </c>
      <c r="AD320" s="6">
        <f t="shared" si="325"/>
        <v>93.857534246575341</v>
      </c>
      <c r="AE320" s="6">
        <v>25539</v>
      </c>
      <c r="AF320" s="6">
        <f t="shared" si="326"/>
        <v>25539</v>
      </c>
      <c r="AG320" s="6">
        <f t="shared" si="327"/>
        <v>69.969863013698628</v>
      </c>
      <c r="AH320" s="6">
        <v>0</v>
      </c>
      <c r="AI320" s="6">
        <f t="shared" si="328"/>
        <v>0</v>
      </c>
      <c r="AJ320" s="6">
        <f t="shared" si="329"/>
        <v>0</v>
      </c>
      <c r="AK320" s="6">
        <v>0</v>
      </c>
      <c r="AL320" s="6">
        <f t="shared" si="330"/>
        <v>0</v>
      </c>
      <c r="AM320" s="6">
        <f t="shared" si="331"/>
        <v>0</v>
      </c>
      <c r="AN320" s="6">
        <v>0</v>
      </c>
      <c r="AO320" s="6">
        <f t="shared" si="332"/>
        <v>0</v>
      </c>
      <c r="AP320" s="6">
        <f t="shared" si="333"/>
        <v>0</v>
      </c>
      <c r="AQ320" s="6">
        <v>0</v>
      </c>
      <c r="AR320" s="6">
        <f t="shared" si="334"/>
        <v>0</v>
      </c>
      <c r="AS320" s="6">
        <f t="shared" si="335"/>
        <v>0</v>
      </c>
      <c r="AT320" s="6">
        <v>0</v>
      </c>
      <c r="AU320" s="6">
        <f t="shared" si="336"/>
        <v>0</v>
      </c>
      <c r="AV320" s="6">
        <f t="shared" si="337"/>
        <v>0</v>
      </c>
      <c r="AW320" s="6">
        <v>0</v>
      </c>
      <c r="AX320" s="6">
        <f t="shared" si="338"/>
        <v>0</v>
      </c>
      <c r="AY320" s="6">
        <f t="shared" si="339"/>
        <v>0</v>
      </c>
      <c r="AZ320" s="6">
        <v>0</v>
      </c>
      <c r="BA320" s="6">
        <f t="shared" si="340"/>
        <v>0</v>
      </c>
      <c r="BB320" s="6">
        <f t="shared" si="341"/>
        <v>0</v>
      </c>
      <c r="BC320" s="6">
        <v>0</v>
      </c>
      <c r="BD320" s="6">
        <f t="shared" si="342"/>
        <v>0</v>
      </c>
      <c r="BE320" s="6">
        <f t="shared" si="343"/>
        <v>0</v>
      </c>
      <c r="BF320" s="6">
        <v>0</v>
      </c>
      <c r="BG320" s="6">
        <f t="shared" si="344"/>
        <v>0</v>
      </c>
      <c r="BH320" s="6">
        <f t="shared" si="345"/>
        <v>0</v>
      </c>
      <c r="BI320" s="6">
        <v>0</v>
      </c>
      <c r="BJ320" s="6">
        <f t="shared" si="346"/>
        <v>0</v>
      </c>
      <c r="BK320" s="6">
        <f t="shared" si="347"/>
        <v>0</v>
      </c>
      <c r="BL320" s="6">
        <v>0</v>
      </c>
      <c r="BM320" s="6">
        <f t="shared" si="348"/>
        <v>0</v>
      </c>
      <c r="BN320" s="6">
        <f t="shared" si="349"/>
        <v>0</v>
      </c>
      <c r="BO320" s="6">
        <v>0</v>
      </c>
      <c r="BP320" s="6">
        <f t="shared" si="350"/>
        <v>0</v>
      </c>
      <c r="BQ320" s="6">
        <f t="shared" si="351"/>
        <v>0</v>
      </c>
      <c r="BR320" s="6">
        <v>0</v>
      </c>
      <c r="BS320" s="6">
        <f t="shared" si="352"/>
        <v>0</v>
      </c>
      <c r="BT320" s="6">
        <f t="shared" si="353"/>
        <v>0</v>
      </c>
      <c r="BU320" s="6">
        <v>0</v>
      </c>
      <c r="BV320" s="6">
        <f t="shared" si="354"/>
        <v>0</v>
      </c>
      <c r="BW320" s="6">
        <f t="shared" si="355"/>
        <v>0</v>
      </c>
      <c r="BX320" s="6">
        <v>0</v>
      </c>
      <c r="BY320" s="6">
        <f t="shared" si="356"/>
        <v>0</v>
      </c>
      <c r="BZ320" s="6">
        <f t="shared" si="357"/>
        <v>0</v>
      </c>
      <c r="CA320" s="6">
        <v>0</v>
      </c>
      <c r="CB320" s="6">
        <f t="shared" si="358"/>
        <v>0</v>
      </c>
      <c r="CC320" s="6">
        <f t="shared" si="359"/>
        <v>0</v>
      </c>
      <c r="CD320" s="6">
        <v>0</v>
      </c>
      <c r="CE320" s="6">
        <f t="shared" si="360"/>
        <v>0</v>
      </c>
      <c r="CF320" s="6">
        <f t="shared" si="361"/>
        <v>0</v>
      </c>
      <c r="CG320" s="6">
        <v>0</v>
      </c>
      <c r="CH320" s="6">
        <f t="shared" si="362"/>
        <v>0</v>
      </c>
      <c r="CI320" s="6">
        <f t="shared" si="363"/>
        <v>0</v>
      </c>
      <c r="CJ320" s="6">
        <v>0</v>
      </c>
      <c r="CK320" s="6">
        <f t="shared" si="364"/>
        <v>0</v>
      </c>
      <c r="CL320" s="6">
        <f t="shared" si="365"/>
        <v>0</v>
      </c>
      <c r="CM320" s="6">
        <v>0</v>
      </c>
      <c r="CN320" s="6">
        <f t="shared" si="366"/>
        <v>0</v>
      </c>
      <c r="CO320" s="6">
        <f t="shared" si="367"/>
        <v>0</v>
      </c>
      <c r="CP320" s="6">
        <v>0</v>
      </c>
      <c r="CQ320" s="6">
        <f t="shared" si="368"/>
        <v>0</v>
      </c>
      <c r="CR320" s="6">
        <f t="shared" si="369"/>
        <v>0</v>
      </c>
      <c r="CS320" s="6">
        <v>0</v>
      </c>
      <c r="CT320" s="6">
        <f t="shared" si="370"/>
        <v>0</v>
      </c>
      <c r="CU320" s="6">
        <f t="shared" si="371"/>
        <v>0</v>
      </c>
      <c r="CV320" s="6">
        <v>0</v>
      </c>
      <c r="CW320" s="6">
        <f t="shared" si="372"/>
        <v>0</v>
      </c>
      <c r="CX320" s="6">
        <f t="shared" si="373"/>
        <v>0</v>
      </c>
      <c r="CY320" s="6">
        <v>0</v>
      </c>
      <c r="CZ320" s="6">
        <f t="shared" si="374"/>
        <v>0</v>
      </c>
      <c r="DA320" s="6">
        <f t="shared" si="375"/>
        <v>0</v>
      </c>
      <c r="DB320" s="6">
        <v>0</v>
      </c>
      <c r="DC320" s="6">
        <f t="shared" si="376"/>
        <v>0</v>
      </c>
      <c r="DD320" s="6">
        <f t="shared" si="377"/>
        <v>0</v>
      </c>
      <c r="DE320" s="6">
        <v>0</v>
      </c>
      <c r="DF320" s="6">
        <f t="shared" si="378"/>
        <v>0</v>
      </c>
      <c r="DG320" s="6">
        <f t="shared" si="379"/>
        <v>0</v>
      </c>
      <c r="DH320" s="6">
        <v>0</v>
      </c>
      <c r="DI320" s="6">
        <f t="shared" si="380"/>
        <v>0</v>
      </c>
      <c r="DJ320" s="6">
        <f t="shared" si="381"/>
        <v>0</v>
      </c>
      <c r="DK320" s="6">
        <v>0</v>
      </c>
      <c r="DL320" s="6">
        <f t="shared" si="382"/>
        <v>0</v>
      </c>
      <c r="DM320" s="6">
        <f t="shared" si="383"/>
        <v>0</v>
      </c>
      <c r="DN320" s="6">
        <v>0</v>
      </c>
      <c r="DO320" s="6">
        <f t="shared" si="384"/>
        <v>0</v>
      </c>
      <c r="DP320" s="6">
        <f t="shared" si="385"/>
        <v>0</v>
      </c>
    </row>
    <row r="321" spans="1:120" x14ac:dyDescent="0.2">
      <c r="A321" s="21">
        <v>85</v>
      </c>
      <c r="B321" s="21" t="s">
        <v>612</v>
      </c>
      <c r="C321" s="21">
        <v>85230</v>
      </c>
      <c r="D321" s="21" t="s">
        <v>614</v>
      </c>
      <c r="E321" s="21" t="s">
        <v>542</v>
      </c>
      <c r="F321" s="22" t="s">
        <v>693</v>
      </c>
      <c r="G321" s="4" t="s">
        <v>433</v>
      </c>
      <c r="H321" s="7">
        <v>308462.52</v>
      </c>
      <c r="I321" s="7">
        <f t="shared" si="389"/>
        <v>845.10279452054795</v>
      </c>
      <c r="J321" s="7">
        <v>251716</v>
      </c>
      <c r="K321" s="7">
        <v>269287.5</v>
      </c>
      <c r="L321" s="7">
        <f t="shared" si="391"/>
        <v>735.75819672131149</v>
      </c>
      <c r="M321" s="7">
        <v>258236</v>
      </c>
      <c r="N321" s="7">
        <v>250407.93</v>
      </c>
      <c r="O321" s="7">
        <f t="shared" si="394"/>
        <v>686.04912328767125</v>
      </c>
      <c r="P321" s="7">
        <v>209693</v>
      </c>
      <c r="Q321" s="7">
        <v>124969.87</v>
      </c>
      <c r="R321" s="7">
        <f t="shared" si="395"/>
        <v>690.44127071823198</v>
      </c>
      <c r="S321" s="7">
        <v>166720</v>
      </c>
      <c r="T321" s="7">
        <f t="shared" si="318"/>
        <v>166720</v>
      </c>
      <c r="U321" s="7">
        <f t="shared" si="319"/>
        <v>456.76712328767121</v>
      </c>
      <c r="V321" s="7">
        <v>133432</v>
      </c>
      <c r="W321" s="7">
        <f t="shared" si="320"/>
        <v>133432</v>
      </c>
      <c r="X321" s="7">
        <f t="shared" si="321"/>
        <v>365.56712328767122</v>
      </c>
      <c r="Y321" s="7">
        <v>109219</v>
      </c>
      <c r="Z321" s="7">
        <f t="shared" si="322"/>
        <v>109219</v>
      </c>
      <c r="AA321" s="7">
        <f t="shared" si="323"/>
        <v>299.23013698630137</v>
      </c>
      <c r="AB321" s="7">
        <v>88170</v>
      </c>
      <c r="AC321" s="7">
        <f t="shared" si="324"/>
        <v>88170</v>
      </c>
      <c r="AD321" s="7">
        <f t="shared" si="325"/>
        <v>241.56164383561645</v>
      </c>
      <c r="AE321" s="7">
        <v>72784</v>
      </c>
      <c r="AF321" s="7">
        <f t="shared" si="326"/>
        <v>72784</v>
      </c>
      <c r="AG321" s="7">
        <f t="shared" si="327"/>
        <v>199.40821917808219</v>
      </c>
      <c r="AH321" s="7">
        <v>58000</v>
      </c>
      <c r="AI321" s="7">
        <f t="shared" si="328"/>
        <v>58000</v>
      </c>
      <c r="AJ321" s="7">
        <f t="shared" si="329"/>
        <v>158.9041095890411</v>
      </c>
      <c r="AK321" s="7">
        <v>50562</v>
      </c>
      <c r="AL321" s="7">
        <f t="shared" si="330"/>
        <v>50562</v>
      </c>
      <c r="AM321" s="7">
        <f t="shared" si="331"/>
        <v>138.52602739726026</v>
      </c>
      <c r="AN321" s="7">
        <v>44277</v>
      </c>
      <c r="AO321" s="7">
        <f t="shared" si="332"/>
        <v>44277</v>
      </c>
      <c r="AP321" s="7">
        <f t="shared" si="333"/>
        <v>121.30684931506849</v>
      </c>
      <c r="AQ321" s="7">
        <v>38837</v>
      </c>
      <c r="AR321" s="7">
        <f t="shared" si="334"/>
        <v>38837</v>
      </c>
      <c r="AS321" s="7">
        <f t="shared" si="335"/>
        <v>106.40273972602739</v>
      </c>
      <c r="AT321" s="7">
        <v>34206</v>
      </c>
      <c r="AU321" s="7">
        <f t="shared" si="336"/>
        <v>34206</v>
      </c>
      <c r="AV321" s="7">
        <f t="shared" si="337"/>
        <v>93.715068493150682</v>
      </c>
      <c r="AW321" s="7">
        <v>0</v>
      </c>
      <c r="AX321" s="7">
        <f t="shared" si="338"/>
        <v>0</v>
      </c>
      <c r="AY321" s="7">
        <f t="shared" si="339"/>
        <v>0</v>
      </c>
      <c r="AZ321" s="7">
        <v>0</v>
      </c>
      <c r="BA321" s="7">
        <f t="shared" si="340"/>
        <v>0</v>
      </c>
      <c r="BB321" s="7">
        <f t="shared" si="341"/>
        <v>0</v>
      </c>
      <c r="BC321" s="7">
        <v>0</v>
      </c>
      <c r="BD321" s="7">
        <f t="shared" si="342"/>
        <v>0</v>
      </c>
      <c r="BE321" s="7">
        <f t="shared" si="343"/>
        <v>0</v>
      </c>
      <c r="BF321" s="7">
        <v>0</v>
      </c>
      <c r="BG321" s="7">
        <f t="shared" si="344"/>
        <v>0</v>
      </c>
      <c r="BH321" s="7">
        <f t="shared" si="345"/>
        <v>0</v>
      </c>
      <c r="BI321" s="7">
        <v>0</v>
      </c>
      <c r="BJ321" s="7">
        <f t="shared" si="346"/>
        <v>0</v>
      </c>
      <c r="BK321" s="7">
        <f t="shared" si="347"/>
        <v>0</v>
      </c>
      <c r="BL321" s="7">
        <v>0</v>
      </c>
      <c r="BM321" s="7">
        <f t="shared" si="348"/>
        <v>0</v>
      </c>
      <c r="BN321" s="7">
        <f t="shared" si="349"/>
        <v>0</v>
      </c>
      <c r="BO321" s="7">
        <v>0</v>
      </c>
      <c r="BP321" s="7">
        <f t="shared" si="350"/>
        <v>0</v>
      </c>
      <c r="BQ321" s="7">
        <f t="shared" si="351"/>
        <v>0</v>
      </c>
      <c r="BR321" s="7">
        <v>0</v>
      </c>
      <c r="BS321" s="7">
        <f t="shared" si="352"/>
        <v>0</v>
      </c>
      <c r="BT321" s="7">
        <f t="shared" si="353"/>
        <v>0</v>
      </c>
      <c r="BU321" s="7">
        <v>0</v>
      </c>
      <c r="BV321" s="7">
        <f t="shared" si="354"/>
        <v>0</v>
      </c>
      <c r="BW321" s="7">
        <f t="shared" si="355"/>
        <v>0</v>
      </c>
      <c r="BX321" s="7">
        <v>0</v>
      </c>
      <c r="BY321" s="7">
        <f t="shared" si="356"/>
        <v>0</v>
      </c>
      <c r="BZ321" s="7">
        <f t="shared" si="357"/>
        <v>0</v>
      </c>
      <c r="CA321" s="7">
        <v>0</v>
      </c>
      <c r="CB321" s="7">
        <f t="shared" si="358"/>
        <v>0</v>
      </c>
      <c r="CC321" s="7">
        <f t="shared" si="359"/>
        <v>0</v>
      </c>
      <c r="CD321" s="7">
        <v>0</v>
      </c>
      <c r="CE321" s="7">
        <f t="shared" si="360"/>
        <v>0</v>
      </c>
      <c r="CF321" s="7">
        <f t="shared" si="361"/>
        <v>0</v>
      </c>
      <c r="CG321" s="7">
        <v>0</v>
      </c>
      <c r="CH321" s="7">
        <f t="shared" si="362"/>
        <v>0</v>
      </c>
      <c r="CI321" s="7">
        <f t="shared" si="363"/>
        <v>0</v>
      </c>
      <c r="CJ321" s="7">
        <v>0</v>
      </c>
      <c r="CK321" s="7">
        <f t="shared" si="364"/>
        <v>0</v>
      </c>
      <c r="CL321" s="7">
        <f t="shared" si="365"/>
        <v>0</v>
      </c>
      <c r="CM321" s="7">
        <v>0</v>
      </c>
      <c r="CN321" s="7">
        <f t="shared" si="366"/>
        <v>0</v>
      </c>
      <c r="CO321" s="7">
        <f t="shared" si="367"/>
        <v>0</v>
      </c>
      <c r="CP321" s="7">
        <v>0</v>
      </c>
      <c r="CQ321" s="7">
        <f t="shared" si="368"/>
        <v>0</v>
      </c>
      <c r="CR321" s="7">
        <f t="shared" si="369"/>
        <v>0</v>
      </c>
      <c r="CS321" s="7">
        <v>0</v>
      </c>
      <c r="CT321" s="7">
        <f t="shared" si="370"/>
        <v>0</v>
      </c>
      <c r="CU321" s="7">
        <f t="shared" si="371"/>
        <v>0</v>
      </c>
      <c r="CV321" s="7">
        <v>0</v>
      </c>
      <c r="CW321" s="7">
        <f t="shared" si="372"/>
        <v>0</v>
      </c>
      <c r="CX321" s="7">
        <f t="shared" si="373"/>
        <v>0</v>
      </c>
      <c r="CY321" s="7">
        <v>0</v>
      </c>
      <c r="CZ321" s="7">
        <f t="shared" si="374"/>
        <v>0</v>
      </c>
      <c r="DA321" s="7">
        <f t="shared" si="375"/>
        <v>0</v>
      </c>
      <c r="DB321" s="7">
        <v>0</v>
      </c>
      <c r="DC321" s="7">
        <f t="shared" si="376"/>
        <v>0</v>
      </c>
      <c r="DD321" s="7">
        <f t="shared" si="377"/>
        <v>0</v>
      </c>
      <c r="DE321" s="7">
        <v>0</v>
      </c>
      <c r="DF321" s="7">
        <f t="shared" si="378"/>
        <v>0</v>
      </c>
      <c r="DG321" s="7">
        <f t="shared" si="379"/>
        <v>0</v>
      </c>
      <c r="DH321" s="7">
        <v>0</v>
      </c>
      <c r="DI321" s="7">
        <f t="shared" si="380"/>
        <v>0</v>
      </c>
      <c r="DJ321" s="7">
        <f t="shared" si="381"/>
        <v>0</v>
      </c>
      <c r="DK321" s="7">
        <v>0</v>
      </c>
      <c r="DL321" s="7">
        <f t="shared" si="382"/>
        <v>0</v>
      </c>
      <c r="DM321" s="7">
        <f t="shared" si="383"/>
        <v>0</v>
      </c>
      <c r="DN321" s="7">
        <v>0</v>
      </c>
      <c r="DO321" s="7">
        <f t="shared" si="384"/>
        <v>0</v>
      </c>
      <c r="DP321" s="7">
        <f t="shared" si="385"/>
        <v>0</v>
      </c>
    </row>
    <row r="322" spans="1:120" x14ac:dyDescent="0.2">
      <c r="G322" s="8" t="s">
        <v>434</v>
      </c>
      <c r="H322" s="9">
        <v>116799.9</v>
      </c>
      <c r="I322" s="9">
        <f t="shared" si="389"/>
        <v>319.99972602739723</v>
      </c>
      <c r="J322" s="9"/>
      <c r="K322" s="9">
        <v>441768.41</v>
      </c>
      <c r="L322" s="9">
        <f t="shared" si="391"/>
        <v>1207.0175136612022</v>
      </c>
      <c r="M322" s="9"/>
      <c r="N322" s="9">
        <v>892435.42</v>
      </c>
      <c r="O322" s="9">
        <f t="shared" si="394"/>
        <v>2445.0285479452054</v>
      </c>
      <c r="P322" s="9"/>
      <c r="Q322" s="9">
        <v>750278.48</v>
      </c>
      <c r="R322" s="9">
        <f t="shared" si="395"/>
        <v>4145.1849723756904</v>
      </c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  <c r="AX322" s="9"/>
      <c r="AY322" s="9"/>
      <c r="AZ322" s="9"/>
      <c r="BA322" s="9"/>
      <c r="BB322" s="9"/>
      <c r="BC322" s="9"/>
      <c r="BD322" s="9"/>
      <c r="BE322" s="9"/>
      <c r="BF322" s="9"/>
      <c r="BG322" s="9"/>
      <c r="BH322" s="9"/>
      <c r="BI322" s="9"/>
      <c r="BJ322" s="9"/>
      <c r="BK322" s="9"/>
      <c r="BL322" s="9"/>
      <c r="BM322" s="9"/>
      <c r="BN322" s="9"/>
      <c r="BO322" s="9"/>
      <c r="BP322" s="9"/>
      <c r="BQ322" s="9"/>
      <c r="BR322" s="9"/>
      <c r="BS322" s="9"/>
      <c r="BT322" s="9"/>
      <c r="BU322" s="9"/>
      <c r="BV322" s="9"/>
      <c r="BW322" s="9"/>
      <c r="BX322" s="9"/>
      <c r="BY322" s="9"/>
      <c r="BZ322" s="9"/>
      <c r="CA322" s="9"/>
      <c r="CB322" s="9"/>
      <c r="CC322" s="9"/>
      <c r="CD322" s="9"/>
      <c r="CE322" s="9"/>
      <c r="CF322" s="9"/>
      <c r="CG322" s="9"/>
      <c r="CH322" s="9"/>
      <c r="CI322" s="9"/>
      <c r="CJ322" s="9"/>
      <c r="CK322" s="9"/>
      <c r="CL322" s="9"/>
      <c r="CM322" s="9"/>
      <c r="CN322" s="9"/>
      <c r="CO322" s="9"/>
      <c r="CP322" s="9"/>
      <c r="CQ322" s="9"/>
      <c r="CR322" s="9"/>
      <c r="CS322" s="9"/>
      <c r="CT322" s="9"/>
      <c r="CU322" s="9"/>
      <c r="CV322" s="9"/>
      <c r="CW322" s="9"/>
      <c r="CX322" s="9"/>
      <c r="CY322" s="9"/>
      <c r="CZ322" s="9"/>
      <c r="DA322" s="9"/>
      <c r="DB322" s="9"/>
      <c r="DC322" s="9"/>
      <c r="DD322" s="9"/>
      <c r="DE322" s="9"/>
      <c r="DF322" s="9"/>
      <c r="DG322" s="9"/>
      <c r="DH322" s="9"/>
      <c r="DI322" s="9"/>
      <c r="DJ322" s="9"/>
      <c r="DK322" s="9"/>
      <c r="DL322" s="9"/>
      <c r="DM322" s="9"/>
      <c r="DN322" s="9"/>
      <c r="DO322" s="9"/>
      <c r="DP322" s="9"/>
    </row>
    <row r="323" spans="1:120" x14ac:dyDescent="0.2">
      <c r="G323" s="8" t="s">
        <v>435</v>
      </c>
      <c r="H323" s="9">
        <v>140049</v>
      </c>
      <c r="I323" s="9">
        <f t="shared" si="389"/>
        <v>383.6958904109589</v>
      </c>
      <c r="J323" s="9"/>
      <c r="K323" s="9">
        <v>533330.35</v>
      </c>
      <c r="L323" s="9">
        <f t="shared" si="391"/>
        <v>1457.1867486338797</v>
      </c>
      <c r="M323" s="9"/>
      <c r="N323" s="9">
        <v>651645.18999999994</v>
      </c>
      <c r="O323" s="9">
        <f t="shared" si="394"/>
        <v>1785.3292876712328</v>
      </c>
      <c r="P323" s="9"/>
      <c r="Q323" s="9">
        <v>386359.81</v>
      </c>
      <c r="R323" s="9">
        <f t="shared" si="395"/>
        <v>2134.584585635359</v>
      </c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  <c r="AX323" s="9"/>
      <c r="AY323" s="9"/>
      <c r="AZ323" s="9"/>
      <c r="BA323" s="9"/>
      <c r="BB323" s="9"/>
      <c r="BC323" s="9"/>
      <c r="BD323" s="9"/>
      <c r="BE323" s="9"/>
      <c r="BF323" s="9"/>
      <c r="BG323" s="9"/>
      <c r="BH323" s="9"/>
      <c r="BI323" s="9"/>
      <c r="BJ323" s="9"/>
      <c r="BK323" s="9"/>
      <c r="BL323" s="9"/>
      <c r="BM323" s="9"/>
      <c r="BN323" s="9"/>
      <c r="BO323" s="9"/>
      <c r="BP323" s="9"/>
      <c r="BQ323" s="9"/>
      <c r="BR323" s="9"/>
      <c r="BS323" s="9"/>
      <c r="BT323" s="9"/>
      <c r="BU323" s="9"/>
      <c r="BV323" s="9"/>
      <c r="BW323" s="9"/>
      <c r="BX323" s="9"/>
      <c r="BY323" s="9"/>
      <c r="BZ323" s="9"/>
      <c r="CA323" s="9"/>
      <c r="CB323" s="9"/>
      <c r="CC323" s="9"/>
      <c r="CD323" s="9"/>
      <c r="CE323" s="9"/>
      <c r="CF323" s="9"/>
      <c r="CG323" s="9"/>
      <c r="CH323" s="9"/>
      <c r="CI323" s="9"/>
      <c r="CJ323" s="9"/>
      <c r="CK323" s="9"/>
      <c r="CL323" s="9"/>
      <c r="CM323" s="9"/>
      <c r="CN323" s="9"/>
      <c r="CO323" s="9"/>
      <c r="CP323" s="9"/>
      <c r="CQ323" s="9"/>
      <c r="CR323" s="9"/>
      <c r="CS323" s="9"/>
      <c r="CT323" s="9"/>
      <c r="CU323" s="9"/>
      <c r="CV323" s="9"/>
      <c r="CW323" s="9"/>
      <c r="CX323" s="9"/>
      <c r="CY323" s="9"/>
      <c r="CZ323" s="9"/>
      <c r="DA323" s="9"/>
      <c r="DB323" s="9"/>
      <c r="DC323" s="9"/>
      <c r="DD323" s="9"/>
      <c r="DE323" s="9"/>
      <c r="DF323" s="9"/>
      <c r="DG323" s="9"/>
      <c r="DH323" s="9"/>
      <c r="DI323" s="9"/>
      <c r="DJ323" s="9"/>
      <c r="DK323" s="9"/>
      <c r="DL323" s="9"/>
      <c r="DM323" s="9"/>
      <c r="DN323" s="9"/>
      <c r="DO323" s="9"/>
      <c r="DP323" s="9"/>
    </row>
    <row r="324" spans="1:120" x14ac:dyDescent="0.2">
      <c r="G324" s="8" t="s">
        <v>436</v>
      </c>
      <c r="H324" s="9">
        <v>555604.81000000006</v>
      </c>
      <c r="I324" s="9">
        <f t="shared" si="389"/>
        <v>1522.2049589041098</v>
      </c>
      <c r="J324" s="9"/>
      <c r="K324" s="9">
        <v>400174.56</v>
      </c>
      <c r="L324" s="9">
        <f t="shared" si="391"/>
        <v>1093.3731147540984</v>
      </c>
      <c r="M324" s="9"/>
      <c r="N324" s="9">
        <v>510877.26</v>
      </c>
      <c r="O324" s="9">
        <f t="shared" si="394"/>
        <v>1399.6637260273974</v>
      </c>
      <c r="P324" s="9"/>
      <c r="Q324" s="9">
        <v>273694.25</v>
      </c>
      <c r="R324" s="9">
        <f t="shared" si="395"/>
        <v>1512.1229281767955</v>
      </c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9"/>
      <c r="AX324" s="9"/>
      <c r="AY324" s="9"/>
      <c r="AZ324" s="9"/>
      <c r="BA324" s="9"/>
      <c r="BB324" s="9"/>
      <c r="BC324" s="9"/>
      <c r="BD324" s="9"/>
      <c r="BE324" s="9"/>
      <c r="BF324" s="9"/>
      <c r="BG324" s="9"/>
      <c r="BH324" s="9"/>
      <c r="BI324" s="9"/>
      <c r="BJ324" s="9"/>
      <c r="BK324" s="9"/>
      <c r="BL324" s="9"/>
      <c r="BM324" s="9"/>
      <c r="BN324" s="9"/>
      <c r="BO324" s="9"/>
      <c r="BP324" s="9"/>
      <c r="BQ324" s="9"/>
      <c r="BR324" s="9"/>
      <c r="BS324" s="9"/>
      <c r="BT324" s="9"/>
      <c r="BU324" s="9"/>
      <c r="BV324" s="9"/>
      <c r="BW324" s="9"/>
      <c r="BX324" s="9"/>
      <c r="BY324" s="9"/>
      <c r="BZ324" s="9"/>
      <c r="CA324" s="9"/>
      <c r="CB324" s="9"/>
      <c r="CC324" s="9"/>
      <c r="CD324" s="9"/>
      <c r="CE324" s="9"/>
      <c r="CF324" s="9"/>
      <c r="CG324" s="9"/>
      <c r="CH324" s="9"/>
      <c r="CI324" s="9"/>
      <c r="CJ324" s="9"/>
      <c r="CK324" s="9"/>
      <c r="CL324" s="9"/>
      <c r="CM324" s="9"/>
      <c r="CN324" s="9"/>
      <c r="CO324" s="9"/>
      <c r="CP324" s="9"/>
      <c r="CQ324" s="9"/>
      <c r="CR324" s="9"/>
      <c r="CS324" s="9"/>
      <c r="CT324" s="9"/>
      <c r="CU324" s="9"/>
      <c r="CV324" s="9"/>
      <c r="CW324" s="9"/>
      <c r="CX324" s="9"/>
      <c r="CY324" s="9"/>
      <c r="CZ324" s="9"/>
      <c r="DA324" s="9"/>
      <c r="DB324" s="9"/>
      <c r="DC324" s="9"/>
      <c r="DD324" s="9"/>
      <c r="DE324" s="9"/>
      <c r="DF324" s="9"/>
      <c r="DG324" s="9"/>
      <c r="DH324" s="9"/>
      <c r="DI324" s="9"/>
      <c r="DJ324" s="9"/>
      <c r="DK324" s="9"/>
      <c r="DL324" s="9"/>
      <c r="DM324" s="9"/>
      <c r="DN324" s="9"/>
      <c r="DO324" s="9"/>
      <c r="DP324" s="9"/>
    </row>
    <row r="325" spans="1:120" x14ac:dyDescent="0.2">
      <c r="G325" s="8" t="s">
        <v>437</v>
      </c>
      <c r="H325" s="9">
        <v>333052.71999999997</v>
      </c>
      <c r="I325" s="9">
        <f t="shared" si="389"/>
        <v>912.47320547945196</v>
      </c>
      <c r="J325" s="9"/>
      <c r="K325" s="9">
        <v>507609.52</v>
      </c>
      <c r="L325" s="9">
        <f t="shared" si="391"/>
        <v>1386.9112568306011</v>
      </c>
      <c r="M325" s="9"/>
      <c r="N325" s="9">
        <v>423237.77</v>
      </c>
      <c r="O325" s="9">
        <f t="shared" si="394"/>
        <v>1159.5555342465755</v>
      </c>
      <c r="P325" s="9"/>
      <c r="Q325" s="9">
        <v>113679.21</v>
      </c>
      <c r="R325" s="9">
        <f t="shared" si="395"/>
        <v>628.06193370165749</v>
      </c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9"/>
      <c r="AX325" s="9"/>
      <c r="AY325" s="9"/>
      <c r="AZ325" s="9"/>
      <c r="BA325" s="9"/>
      <c r="BB325" s="9"/>
      <c r="BC325" s="9"/>
      <c r="BD325" s="9"/>
      <c r="BE325" s="9"/>
      <c r="BF325" s="9"/>
      <c r="BG325" s="9"/>
      <c r="BH325" s="9"/>
      <c r="BI325" s="9"/>
      <c r="BJ325" s="9"/>
      <c r="BK325" s="9"/>
      <c r="BL325" s="9"/>
      <c r="BM325" s="9"/>
      <c r="BN325" s="9"/>
      <c r="BO325" s="9"/>
      <c r="BP325" s="9"/>
      <c r="BQ325" s="9"/>
      <c r="BR325" s="9"/>
      <c r="BS325" s="9"/>
      <c r="BT325" s="9"/>
      <c r="BU325" s="9"/>
      <c r="BV325" s="9"/>
      <c r="BW325" s="9"/>
      <c r="BX325" s="9"/>
      <c r="BY325" s="9"/>
      <c r="BZ325" s="9"/>
      <c r="CA325" s="9"/>
      <c r="CB325" s="9"/>
      <c r="CC325" s="9"/>
      <c r="CD325" s="9"/>
      <c r="CE325" s="9"/>
      <c r="CF325" s="9"/>
      <c r="CG325" s="9"/>
      <c r="CH325" s="9"/>
      <c r="CI325" s="9"/>
      <c r="CJ325" s="9"/>
      <c r="CK325" s="9"/>
      <c r="CL325" s="9"/>
      <c r="CM325" s="9"/>
      <c r="CN325" s="9"/>
      <c r="CO325" s="9"/>
      <c r="CP325" s="9"/>
      <c r="CQ325" s="9"/>
      <c r="CR325" s="9"/>
      <c r="CS325" s="9"/>
      <c r="CT325" s="9"/>
      <c r="CU325" s="9"/>
      <c r="CV325" s="9"/>
      <c r="CW325" s="9"/>
      <c r="CX325" s="9"/>
      <c r="CY325" s="9"/>
      <c r="CZ325" s="9"/>
      <c r="DA325" s="9"/>
      <c r="DB325" s="9"/>
      <c r="DC325" s="9"/>
      <c r="DD325" s="9"/>
      <c r="DE325" s="9"/>
      <c r="DF325" s="9"/>
      <c r="DG325" s="9"/>
      <c r="DH325" s="9"/>
      <c r="DI325" s="9"/>
      <c r="DJ325" s="9"/>
      <c r="DK325" s="9"/>
      <c r="DL325" s="9"/>
      <c r="DM325" s="9"/>
      <c r="DN325" s="9"/>
      <c r="DO325" s="9"/>
      <c r="DP325" s="9"/>
    </row>
    <row r="326" spans="1:120" x14ac:dyDescent="0.2">
      <c r="G326" s="8" t="s">
        <v>438</v>
      </c>
      <c r="H326" s="9">
        <v>483300.56</v>
      </c>
      <c r="I326" s="9">
        <f t="shared" si="389"/>
        <v>1324.1111232876713</v>
      </c>
      <c r="J326" s="9"/>
      <c r="K326" s="9">
        <v>338527.1</v>
      </c>
      <c r="L326" s="9">
        <f t="shared" si="391"/>
        <v>924.93743169398897</v>
      </c>
      <c r="M326" s="9"/>
      <c r="N326" s="9">
        <v>408450.04</v>
      </c>
      <c r="O326" s="9">
        <f t="shared" si="394"/>
        <v>1119.0412054794519</v>
      </c>
      <c r="P326" s="9"/>
      <c r="Q326" s="9">
        <v>246362.23999999999</v>
      </c>
      <c r="R326" s="9">
        <f t="shared" si="395"/>
        <v>1361.1173480662983</v>
      </c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9"/>
      <c r="AX326" s="9"/>
      <c r="AY326" s="9"/>
      <c r="AZ326" s="9"/>
      <c r="BA326" s="9"/>
      <c r="BB326" s="9"/>
      <c r="BC326" s="9"/>
      <c r="BD326" s="9"/>
      <c r="BE326" s="9"/>
      <c r="BF326" s="9"/>
      <c r="BG326" s="9"/>
      <c r="BH326" s="9"/>
      <c r="BI326" s="9"/>
      <c r="BJ326" s="9"/>
      <c r="BK326" s="9"/>
      <c r="BL326" s="9"/>
      <c r="BM326" s="9"/>
      <c r="BN326" s="9"/>
      <c r="BO326" s="9"/>
      <c r="BP326" s="9"/>
      <c r="BQ326" s="9"/>
      <c r="BR326" s="9"/>
      <c r="BS326" s="9"/>
      <c r="BT326" s="9"/>
      <c r="BU326" s="9"/>
      <c r="BV326" s="9"/>
      <c r="BW326" s="9"/>
      <c r="BX326" s="9"/>
      <c r="BY326" s="9"/>
      <c r="BZ326" s="9"/>
      <c r="CA326" s="9"/>
      <c r="CB326" s="9"/>
      <c r="CC326" s="9"/>
      <c r="CD326" s="9"/>
      <c r="CE326" s="9"/>
      <c r="CF326" s="9"/>
      <c r="CG326" s="9"/>
      <c r="CH326" s="9"/>
      <c r="CI326" s="9"/>
      <c r="CJ326" s="9"/>
      <c r="CK326" s="9"/>
      <c r="CL326" s="9"/>
      <c r="CM326" s="9"/>
      <c r="CN326" s="9"/>
      <c r="CO326" s="9"/>
      <c r="CP326" s="9"/>
      <c r="CQ326" s="9"/>
      <c r="CR326" s="9"/>
      <c r="CS326" s="9"/>
      <c r="CT326" s="9"/>
      <c r="CU326" s="9"/>
      <c r="CV326" s="9"/>
      <c r="CW326" s="9"/>
      <c r="CX326" s="9"/>
      <c r="CY326" s="9"/>
      <c r="CZ326" s="9"/>
      <c r="DA326" s="9"/>
      <c r="DB326" s="9"/>
      <c r="DC326" s="9"/>
      <c r="DD326" s="9"/>
      <c r="DE326" s="9"/>
      <c r="DF326" s="9"/>
      <c r="DG326" s="9"/>
      <c r="DH326" s="9"/>
      <c r="DI326" s="9"/>
      <c r="DJ326" s="9"/>
      <c r="DK326" s="9"/>
      <c r="DL326" s="9"/>
      <c r="DM326" s="9"/>
      <c r="DN326" s="9"/>
      <c r="DO326" s="9"/>
      <c r="DP326" s="9"/>
    </row>
    <row r="327" spans="1:120" x14ac:dyDescent="0.2">
      <c r="G327" s="8" t="s">
        <v>439</v>
      </c>
      <c r="H327" s="9">
        <v>235162.2</v>
      </c>
      <c r="I327" s="9">
        <f t="shared" si="389"/>
        <v>644.28000000000009</v>
      </c>
      <c r="J327" s="9"/>
      <c r="K327" s="9">
        <v>268822.71999999997</v>
      </c>
      <c r="L327" s="9">
        <f t="shared" si="391"/>
        <v>734.48830601092891</v>
      </c>
      <c r="M327" s="9"/>
      <c r="N327" s="9">
        <v>406127.47</v>
      </c>
      <c r="O327" s="9">
        <f t="shared" si="394"/>
        <v>1112.6779999999999</v>
      </c>
      <c r="P327" s="9"/>
      <c r="Q327" s="9">
        <v>233284.07</v>
      </c>
      <c r="R327" s="9">
        <f t="shared" si="395"/>
        <v>1288.8622651933701</v>
      </c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9"/>
      <c r="AX327" s="9"/>
      <c r="AY327" s="9"/>
      <c r="AZ327" s="9"/>
      <c r="BA327" s="9"/>
      <c r="BB327" s="9"/>
      <c r="BC327" s="9"/>
      <c r="BD327" s="9"/>
      <c r="BE327" s="9"/>
      <c r="BF327" s="9"/>
      <c r="BG327" s="9"/>
      <c r="BH327" s="9"/>
      <c r="BI327" s="9"/>
      <c r="BJ327" s="9"/>
      <c r="BK327" s="9"/>
      <c r="BL327" s="9"/>
      <c r="BM327" s="9"/>
      <c r="BN327" s="9"/>
      <c r="BO327" s="9"/>
      <c r="BP327" s="9"/>
      <c r="BQ327" s="9"/>
      <c r="BR327" s="9"/>
      <c r="BS327" s="9"/>
      <c r="BT327" s="9"/>
      <c r="BU327" s="9"/>
      <c r="BV327" s="9"/>
      <c r="BW327" s="9"/>
      <c r="BX327" s="9"/>
      <c r="BY327" s="9"/>
      <c r="BZ327" s="9"/>
      <c r="CA327" s="9"/>
      <c r="CB327" s="9"/>
      <c r="CC327" s="9"/>
      <c r="CD327" s="9"/>
      <c r="CE327" s="9"/>
      <c r="CF327" s="9"/>
      <c r="CG327" s="9"/>
      <c r="CH327" s="9"/>
      <c r="CI327" s="9"/>
      <c r="CJ327" s="9"/>
      <c r="CK327" s="9"/>
      <c r="CL327" s="9"/>
      <c r="CM327" s="9"/>
      <c r="CN327" s="9"/>
      <c r="CO327" s="9"/>
      <c r="CP327" s="9"/>
      <c r="CQ327" s="9"/>
      <c r="CR327" s="9"/>
      <c r="CS327" s="9"/>
      <c r="CT327" s="9"/>
      <c r="CU327" s="9"/>
      <c r="CV327" s="9"/>
      <c r="CW327" s="9"/>
      <c r="CX327" s="9"/>
      <c r="CY327" s="9"/>
      <c r="CZ327" s="9"/>
      <c r="DA327" s="9"/>
      <c r="DB327" s="9"/>
      <c r="DC327" s="9"/>
      <c r="DD327" s="9"/>
      <c r="DE327" s="9"/>
      <c r="DF327" s="9"/>
      <c r="DG327" s="9"/>
      <c r="DH327" s="9"/>
      <c r="DI327" s="9"/>
      <c r="DJ327" s="9"/>
      <c r="DK327" s="9"/>
      <c r="DL327" s="9"/>
      <c r="DM327" s="9"/>
      <c r="DN327" s="9"/>
      <c r="DO327" s="9"/>
      <c r="DP327" s="9"/>
    </row>
    <row r="328" spans="1:120" x14ac:dyDescent="0.2">
      <c r="G328" s="8" t="s">
        <v>440</v>
      </c>
      <c r="H328" s="9"/>
      <c r="I328" s="9"/>
      <c r="J328" s="9"/>
      <c r="K328" s="9"/>
      <c r="L328" s="9"/>
      <c r="M328" s="9"/>
      <c r="N328" s="9">
        <v>92106.69</v>
      </c>
      <c r="O328" s="9">
        <f t="shared" si="394"/>
        <v>252.34709589041097</v>
      </c>
      <c r="P328" s="9"/>
      <c r="Q328" s="9">
        <v>735301.03</v>
      </c>
      <c r="R328" s="9">
        <f t="shared" si="395"/>
        <v>4062.4366298342543</v>
      </c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9"/>
      <c r="AX328" s="9"/>
      <c r="AY328" s="9"/>
      <c r="AZ328" s="9"/>
      <c r="BA328" s="9"/>
      <c r="BB328" s="9"/>
      <c r="BC328" s="9"/>
      <c r="BD328" s="9"/>
      <c r="BE328" s="9"/>
      <c r="BF328" s="9"/>
      <c r="BG328" s="9"/>
      <c r="BH328" s="9"/>
      <c r="BI328" s="9"/>
      <c r="BJ328" s="9"/>
      <c r="BK328" s="9"/>
      <c r="BL328" s="9"/>
      <c r="BM328" s="9"/>
      <c r="BN328" s="9"/>
      <c r="BO328" s="9"/>
      <c r="BP328" s="9"/>
      <c r="BQ328" s="9"/>
      <c r="BR328" s="9"/>
      <c r="BS328" s="9"/>
      <c r="BT328" s="9"/>
      <c r="BU328" s="9"/>
      <c r="BV328" s="9"/>
      <c r="BW328" s="9"/>
      <c r="BX328" s="9"/>
      <c r="BY328" s="9"/>
      <c r="BZ328" s="9"/>
      <c r="CA328" s="9"/>
      <c r="CB328" s="9"/>
      <c r="CC328" s="9"/>
      <c r="CD328" s="9"/>
      <c r="CE328" s="9"/>
      <c r="CF328" s="9"/>
      <c r="CG328" s="9"/>
      <c r="CH328" s="9"/>
      <c r="CI328" s="9"/>
      <c r="CJ328" s="9"/>
      <c r="CK328" s="9"/>
      <c r="CL328" s="9"/>
      <c r="CM328" s="9"/>
      <c r="CN328" s="9"/>
      <c r="CO328" s="9"/>
      <c r="CP328" s="9"/>
      <c r="CQ328" s="9"/>
      <c r="CR328" s="9"/>
      <c r="CS328" s="9"/>
      <c r="CT328" s="9"/>
      <c r="CU328" s="9"/>
      <c r="CV328" s="9"/>
      <c r="CW328" s="9"/>
      <c r="CX328" s="9"/>
      <c r="CY328" s="9"/>
      <c r="CZ328" s="9"/>
      <c r="DA328" s="9"/>
      <c r="DB328" s="9"/>
      <c r="DC328" s="9"/>
      <c r="DD328" s="9"/>
      <c r="DE328" s="9"/>
      <c r="DF328" s="9"/>
      <c r="DG328" s="9"/>
      <c r="DH328" s="9"/>
      <c r="DI328" s="9"/>
      <c r="DJ328" s="9"/>
      <c r="DK328" s="9"/>
      <c r="DL328" s="9"/>
      <c r="DM328" s="9"/>
      <c r="DN328" s="9"/>
      <c r="DO328" s="9"/>
      <c r="DP328" s="9"/>
    </row>
    <row r="329" spans="1:120" x14ac:dyDescent="0.2">
      <c r="G329" s="8" t="s">
        <v>441</v>
      </c>
      <c r="H329" s="9"/>
      <c r="I329" s="9"/>
      <c r="J329" s="9"/>
      <c r="K329" s="9"/>
      <c r="L329" s="9"/>
      <c r="M329" s="9"/>
      <c r="N329" s="9">
        <v>371527.5</v>
      </c>
      <c r="O329" s="9">
        <f t="shared" si="394"/>
        <v>1017.8835616438356</v>
      </c>
      <c r="P329" s="9"/>
      <c r="Q329" s="9">
        <v>381213.11</v>
      </c>
      <c r="R329" s="9">
        <f t="shared" si="395"/>
        <v>2106.1497790055246</v>
      </c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9"/>
      <c r="AX329" s="9"/>
      <c r="AY329" s="9"/>
      <c r="AZ329" s="9"/>
      <c r="BA329" s="9"/>
      <c r="BB329" s="9"/>
      <c r="BC329" s="9"/>
      <c r="BD329" s="9"/>
      <c r="BE329" s="9"/>
      <c r="BF329" s="9"/>
      <c r="BG329" s="9"/>
      <c r="BH329" s="9"/>
      <c r="BI329" s="9"/>
      <c r="BJ329" s="9"/>
      <c r="BK329" s="9"/>
      <c r="BL329" s="9"/>
      <c r="BM329" s="9"/>
      <c r="BN329" s="9"/>
      <c r="BO329" s="9"/>
      <c r="BP329" s="9"/>
      <c r="BQ329" s="9"/>
      <c r="BR329" s="9"/>
      <c r="BS329" s="9"/>
      <c r="BT329" s="9"/>
      <c r="BU329" s="9"/>
      <c r="BV329" s="9"/>
      <c r="BW329" s="9"/>
      <c r="BX329" s="9"/>
      <c r="BY329" s="9"/>
      <c r="BZ329" s="9"/>
      <c r="CA329" s="9"/>
      <c r="CB329" s="9"/>
      <c r="CC329" s="9"/>
      <c r="CD329" s="9"/>
      <c r="CE329" s="9"/>
      <c r="CF329" s="9"/>
      <c r="CG329" s="9"/>
      <c r="CH329" s="9"/>
      <c r="CI329" s="9"/>
      <c r="CJ329" s="9"/>
      <c r="CK329" s="9"/>
      <c r="CL329" s="9"/>
      <c r="CM329" s="9"/>
      <c r="CN329" s="9"/>
      <c r="CO329" s="9"/>
      <c r="CP329" s="9"/>
      <c r="CQ329" s="9"/>
      <c r="CR329" s="9"/>
      <c r="CS329" s="9"/>
      <c r="CT329" s="9"/>
      <c r="CU329" s="9"/>
      <c r="CV329" s="9"/>
      <c r="CW329" s="9"/>
      <c r="CX329" s="9"/>
      <c r="CY329" s="9"/>
      <c r="CZ329" s="9"/>
      <c r="DA329" s="9"/>
      <c r="DB329" s="9"/>
      <c r="DC329" s="9"/>
      <c r="DD329" s="9"/>
      <c r="DE329" s="9"/>
      <c r="DF329" s="9"/>
      <c r="DG329" s="9"/>
      <c r="DH329" s="9"/>
      <c r="DI329" s="9"/>
      <c r="DJ329" s="9"/>
      <c r="DK329" s="9"/>
      <c r="DL329" s="9"/>
      <c r="DM329" s="9"/>
      <c r="DN329" s="9"/>
      <c r="DO329" s="9"/>
      <c r="DP329" s="9"/>
    </row>
    <row r="330" spans="1:120" x14ac:dyDescent="0.2">
      <c r="G330" s="8" t="s">
        <v>442</v>
      </c>
      <c r="H330" s="9">
        <v>207608.55</v>
      </c>
      <c r="I330" s="9">
        <f>H330/365</f>
        <v>568.7905479452055</v>
      </c>
      <c r="J330" s="9"/>
      <c r="K330" s="9">
        <v>406301.36</v>
      </c>
      <c r="L330" s="9">
        <f>K330/366</f>
        <v>1110.1130054644809</v>
      </c>
      <c r="M330" s="9"/>
      <c r="N330" s="9">
        <v>256080.61</v>
      </c>
      <c r="O330" s="9">
        <f t="shared" si="394"/>
        <v>701.59071232876704</v>
      </c>
      <c r="P330" s="9"/>
      <c r="Q330" s="9">
        <v>70646.34</v>
      </c>
      <c r="R330" s="9">
        <f t="shared" si="395"/>
        <v>390.31127071823204</v>
      </c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  <c r="AX330" s="9"/>
      <c r="AY330" s="9"/>
      <c r="AZ330" s="9"/>
      <c r="BA330" s="9"/>
      <c r="BB330" s="9"/>
      <c r="BC330" s="9"/>
      <c r="BD330" s="9"/>
      <c r="BE330" s="9"/>
      <c r="BF330" s="9"/>
      <c r="BG330" s="9"/>
      <c r="BH330" s="9"/>
      <c r="BI330" s="9"/>
      <c r="BJ330" s="9"/>
      <c r="BK330" s="9"/>
      <c r="BL330" s="9"/>
      <c r="BM330" s="9"/>
      <c r="BN330" s="9"/>
      <c r="BO330" s="9"/>
      <c r="BP330" s="9"/>
      <c r="BQ330" s="9"/>
      <c r="BR330" s="9"/>
      <c r="BS330" s="9"/>
      <c r="BT330" s="9"/>
      <c r="BU330" s="9"/>
      <c r="BV330" s="9"/>
      <c r="BW330" s="9"/>
      <c r="BX330" s="9"/>
      <c r="BY330" s="9"/>
      <c r="BZ330" s="9"/>
      <c r="CA330" s="9"/>
      <c r="CB330" s="9"/>
      <c r="CC330" s="9"/>
      <c r="CD330" s="9"/>
      <c r="CE330" s="9"/>
      <c r="CF330" s="9"/>
      <c r="CG330" s="9"/>
      <c r="CH330" s="9"/>
      <c r="CI330" s="9"/>
      <c r="CJ330" s="9"/>
      <c r="CK330" s="9"/>
      <c r="CL330" s="9"/>
      <c r="CM330" s="9"/>
      <c r="CN330" s="9"/>
      <c r="CO330" s="9"/>
      <c r="CP330" s="9"/>
      <c r="CQ330" s="9"/>
      <c r="CR330" s="9"/>
      <c r="CS330" s="9"/>
      <c r="CT330" s="9"/>
      <c r="CU330" s="9"/>
      <c r="CV330" s="9"/>
      <c r="CW330" s="9"/>
      <c r="CX330" s="9"/>
      <c r="CY330" s="9"/>
      <c r="CZ330" s="9"/>
      <c r="DA330" s="9"/>
      <c r="DB330" s="9"/>
      <c r="DC330" s="9"/>
      <c r="DD330" s="9"/>
      <c r="DE330" s="9"/>
      <c r="DF330" s="9"/>
      <c r="DG330" s="9"/>
      <c r="DH330" s="9"/>
      <c r="DI330" s="9"/>
      <c r="DJ330" s="9"/>
      <c r="DK330" s="9"/>
      <c r="DL330" s="9"/>
      <c r="DM330" s="9"/>
      <c r="DN330" s="9"/>
      <c r="DO330" s="9"/>
      <c r="DP330" s="9"/>
    </row>
    <row r="331" spans="1:120" x14ac:dyDescent="0.2">
      <c r="G331" s="8" t="s">
        <v>443</v>
      </c>
      <c r="H331" s="9">
        <v>286576.03000000003</v>
      </c>
      <c r="I331" s="9">
        <f>H331/365</f>
        <v>785.13980821917812</v>
      </c>
      <c r="J331" s="9"/>
      <c r="K331" s="9">
        <v>279667.59999999998</v>
      </c>
      <c r="L331" s="9">
        <f>K331/366</f>
        <v>764.11912568306002</v>
      </c>
      <c r="M331" s="9"/>
      <c r="N331" s="9">
        <v>251777.99</v>
      </c>
      <c r="O331" s="9">
        <f t="shared" si="394"/>
        <v>689.80271232876714</v>
      </c>
      <c r="P331" s="9"/>
      <c r="Q331" s="9">
        <v>92766.34</v>
      </c>
      <c r="R331" s="9">
        <f t="shared" si="395"/>
        <v>512.52121546961325</v>
      </c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  <c r="AX331" s="9"/>
      <c r="AY331" s="9"/>
      <c r="AZ331" s="9"/>
      <c r="BA331" s="9"/>
      <c r="BB331" s="9"/>
      <c r="BC331" s="9"/>
      <c r="BD331" s="9"/>
      <c r="BE331" s="9"/>
      <c r="BF331" s="9"/>
      <c r="BG331" s="9"/>
      <c r="BH331" s="9"/>
      <c r="BI331" s="9"/>
      <c r="BJ331" s="9"/>
      <c r="BK331" s="9"/>
      <c r="BL331" s="9"/>
      <c r="BM331" s="9"/>
      <c r="BN331" s="9"/>
      <c r="BO331" s="9"/>
      <c r="BP331" s="9"/>
      <c r="BQ331" s="9"/>
      <c r="BR331" s="9"/>
      <c r="BS331" s="9"/>
      <c r="BT331" s="9"/>
      <c r="BU331" s="9"/>
      <c r="BV331" s="9"/>
      <c r="BW331" s="9"/>
      <c r="BX331" s="9"/>
      <c r="BY331" s="9"/>
      <c r="BZ331" s="9"/>
      <c r="CA331" s="9"/>
      <c r="CB331" s="9"/>
      <c r="CC331" s="9"/>
      <c r="CD331" s="9"/>
      <c r="CE331" s="9"/>
      <c r="CF331" s="9"/>
      <c r="CG331" s="9"/>
      <c r="CH331" s="9"/>
      <c r="CI331" s="9"/>
      <c r="CJ331" s="9"/>
      <c r="CK331" s="9"/>
      <c r="CL331" s="9"/>
      <c r="CM331" s="9"/>
      <c r="CN331" s="9"/>
      <c r="CO331" s="9"/>
      <c r="CP331" s="9"/>
      <c r="CQ331" s="9"/>
      <c r="CR331" s="9"/>
      <c r="CS331" s="9"/>
      <c r="CT331" s="9"/>
      <c r="CU331" s="9"/>
      <c r="CV331" s="9"/>
      <c r="CW331" s="9"/>
      <c r="CX331" s="9"/>
      <c r="CY331" s="9"/>
      <c r="CZ331" s="9"/>
      <c r="DA331" s="9"/>
      <c r="DB331" s="9"/>
      <c r="DC331" s="9"/>
      <c r="DD331" s="9"/>
      <c r="DE331" s="9"/>
      <c r="DF331" s="9"/>
      <c r="DG331" s="9"/>
      <c r="DH331" s="9"/>
      <c r="DI331" s="9"/>
      <c r="DJ331" s="9"/>
      <c r="DK331" s="9"/>
      <c r="DL331" s="9"/>
      <c r="DM331" s="9"/>
      <c r="DN331" s="9"/>
      <c r="DO331" s="9"/>
      <c r="DP331" s="9"/>
    </row>
    <row r="332" spans="1:120" x14ac:dyDescent="0.2">
      <c r="G332" s="8" t="s">
        <v>444</v>
      </c>
      <c r="H332" s="9">
        <v>676.31</v>
      </c>
      <c r="I332" s="9">
        <f>H332/365</f>
        <v>1.8529041095890408</v>
      </c>
      <c r="J332" s="9"/>
      <c r="K332" s="9">
        <v>283077.43</v>
      </c>
      <c r="L332" s="9">
        <f>K332/366</f>
        <v>773.43560109289615</v>
      </c>
      <c r="M332" s="9"/>
      <c r="N332" s="9">
        <v>185695.18</v>
      </c>
      <c r="O332" s="9">
        <f t="shared" si="394"/>
        <v>508.75391780821917</v>
      </c>
      <c r="P332" s="9"/>
      <c r="Q332" s="9">
        <v>61497.02</v>
      </c>
      <c r="R332" s="9">
        <f t="shared" si="395"/>
        <v>339.76254143646406</v>
      </c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  <c r="AX332" s="9"/>
      <c r="AY332" s="9"/>
      <c r="AZ332" s="9"/>
      <c r="BA332" s="9"/>
      <c r="BB332" s="9"/>
      <c r="BC332" s="9"/>
      <c r="BD332" s="9"/>
      <c r="BE332" s="9"/>
      <c r="BF332" s="9"/>
      <c r="BG332" s="9"/>
      <c r="BH332" s="9"/>
      <c r="BI332" s="9"/>
      <c r="BJ332" s="9"/>
      <c r="BK332" s="9"/>
      <c r="BL332" s="9"/>
      <c r="BM332" s="9"/>
      <c r="BN332" s="9"/>
      <c r="BO332" s="9"/>
      <c r="BP332" s="9"/>
      <c r="BQ332" s="9"/>
      <c r="BR332" s="9"/>
      <c r="BS332" s="9"/>
      <c r="BT332" s="9"/>
      <c r="BU332" s="9"/>
      <c r="BV332" s="9"/>
      <c r="BW332" s="9"/>
      <c r="BX332" s="9"/>
      <c r="BY332" s="9"/>
      <c r="BZ332" s="9"/>
      <c r="CA332" s="9"/>
      <c r="CB332" s="9"/>
      <c r="CC332" s="9"/>
      <c r="CD332" s="9"/>
      <c r="CE332" s="9"/>
      <c r="CF332" s="9"/>
      <c r="CG332" s="9"/>
      <c r="CH332" s="9"/>
      <c r="CI332" s="9"/>
      <c r="CJ332" s="9"/>
      <c r="CK332" s="9"/>
      <c r="CL332" s="9"/>
      <c r="CM332" s="9"/>
      <c r="CN332" s="9"/>
      <c r="CO332" s="9"/>
      <c r="CP332" s="9"/>
      <c r="CQ332" s="9"/>
      <c r="CR332" s="9"/>
      <c r="CS332" s="9"/>
      <c r="CT332" s="9"/>
      <c r="CU332" s="9"/>
      <c r="CV332" s="9"/>
      <c r="CW332" s="9"/>
      <c r="CX332" s="9"/>
      <c r="CY332" s="9"/>
      <c r="CZ332" s="9"/>
      <c r="DA332" s="9"/>
      <c r="DB332" s="9"/>
      <c r="DC332" s="9"/>
      <c r="DD332" s="9"/>
      <c r="DE332" s="9"/>
      <c r="DF332" s="9"/>
      <c r="DG332" s="9"/>
      <c r="DH332" s="9"/>
      <c r="DI332" s="9"/>
      <c r="DJ332" s="9"/>
      <c r="DK332" s="9"/>
      <c r="DL332" s="9"/>
      <c r="DM332" s="9"/>
      <c r="DN332" s="9"/>
      <c r="DO332" s="9"/>
      <c r="DP332" s="9"/>
    </row>
    <row r="333" spans="1:120" x14ac:dyDescent="0.2">
      <c r="G333" s="8" t="s">
        <v>445</v>
      </c>
      <c r="H333" s="9"/>
      <c r="I333" s="9"/>
      <c r="J333" s="9"/>
      <c r="K333" s="9">
        <v>173915.7</v>
      </c>
      <c r="L333" s="9">
        <f>K333/366</f>
        <v>475.17950819672132</v>
      </c>
      <c r="M333" s="9"/>
      <c r="N333" s="9">
        <v>206123.56</v>
      </c>
      <c r="O333" s="9">
        <f t="shared" si="394"/>
        <v>564.72208219178083</v>
      </c>
      <c r="P333" s="9"/>
      <c r="Q333" s="9">
        <v>138066.66</v>
      </c>
      <c r="R333" s="9">
        <f t="shared" si="395"/>
        <v>762.79922651933703</v>
      </c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  <c r="AX333" s="9"/>
      <c r="AY333" s="9"/>
      <c r="AZ333" s="9"/>
      <c r="BA333" s="9"/>
      <c r="BB333" s="9"/>
      <c r="BC333" s="9"/>
      <c r="BD333" s="9"/>
      <c r="BE333" s="9"/>
      <c r="BF333" s="9"/>
      <c r="BG333" s="9"/>
      <c r="BH333" s="9"/>
      <c r="BI333" s="9"/>
      <c r="BJ333" s="9"/>
      <c r="BK333" s="9"/>
      <c r="BL333" s="9"/>
      <c r="BM333" s="9"/>
      <c r="BN333" s="9"/>
      <c r="BO333" s="9"/>
      <c r="BP333" s="9"/>
      <c r="BQ333" s="9"/>
      <c r="BR333" s="9"/>
      <c r="BS333" s="9"/>
      <c r="BT333" s="9"/>
      <c r="BU333" s="9"/>
      <c r="BV333" s="9"/>
      <c r="BW333" s="9"/>
      <c r="BX333" s="9"/>
      <c r="BY333" s="9"/>
      <c r="BZ333" s="9"/>
      <c r="CA333" s="9"/>
      <c r="CB333" s="9"/>
      <c r="CC333" s="9"/>
      <c r="CD333" s="9"/>
      <c r="CE333" s="9"/>
      <c r="CF333" s="9"/>
      <c r="CG333" s="9"/>
      <c r="CH333" s="9"/>
      <c r="CI333" s="9"/>
      <c r="CJ333" s="9"/>
      <c r="CK333" s="9"/>
      <c r="CL333" s="9"/>
      <c r="CM333" s="9"/>
      <c r="CN333" s="9"/>
      <c r="CO333" s="9"/>
      <c r="CP333" s="9"/>
      <c r="CQ333" s="9"/>
      <c r="CR333" s="9"/>
      <c r="CS333" s="9"/>
      <c r="CT333" s="9"/>
      <c r="CU333" s="9"/>
      <c r="CV333" s="9"/>
      <c r="CW333" s="9"/>
      <c r="CX333" s="9"/>
      <c r="CY333" s="9"/>
      <c r="CZ333" s="9"/>
      <c r="DA333" s="9"/>
      <c r="DB333" s="9"/>
      <c r="DC333" s="9"/>
      <c r="DD333" s="9"/>
      <c r="DE333" s="9"/>
      <c r="DF333" s="9"/>
      <c r="DG333" s="9"/>
      <c r="DH333" s="9"/>
      <c r="DI333" s="9"/>
      <c r="DJ333" s="9"/>
      <c r="DK333" s="9"/>
      <c r="DL333" s="9"/>
      <c r="DM333" s="9"/>
      <c r="DN333" s="9"/>
      <c r="DO333" s="9"/>
      <c r="DP333" s="9"/>
    </row>
    <row r="334" spans="1:120" x14ac:dyDescent="0.2">
      <c r="G334" s="8" t="s">
        <v>446</v>
      </c>
      <c r="H334" s="9"/>
      <c r="I334" s="9"/>
      <c r="J334" s="9"/>
      <c r="K334" s="9"/>
      <c r="L334" s="9"/>
      <c r="M334" s="9"/>
      <c r="N334" s="9">
        <v>361934.21</v>
      </c>
      <c r="O334" s="9">
        <f t="shared" si="394"/>
        <v>991.60057534246585</v>
      </c>
      <c r="P334" s="9"/>
      <c r="Q334" s="9">
        <v>153338.69</v>
      </c>
      <c r="R334" s="9">
        <f t="shared" si="395"/>
        <v>847.17508287292821</v>
      </c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  <c r="AX334" s="9"/>
      <c r="AY334" s="9"/>
      <c r="AZ334" s="9"/>
      <c r="BA334" s="9"/>
      <c r="BB334" s="9"/>
      <c r="BC334" s="9"/>
      <c r="BD334" s="9"/>
      <c r="BE334" s="9"/>
      <c r="BF334" s="9"/>
      <c r="BG334" s="9"/>
      <c r="BH334" s="9"/>
      <c r="BI334" s="9"/>
      <c r="BJ334" s="9"/>
      <c r="BK334" s="9"/>
      <c r="BL334" s="9"/>
      <c r="BM334" s="9"/>
      <c r="BN334" s="9"/>
      <c r="BO334" s="9"/>
      <c r="BP334" s="9"/>
      <c r="BQ334" s="9"/>
      <c r="BR334" s="9"/>
      <c r="BS334" s="9"/>
      <c r="BT334" s="9"/>
      <c r="BU334" s="9"/>
      <c r="BV334" s="9"/>
      <c r="BW334" s="9"/>
      <c r="BX334" s="9"/>
      <c r="BY334" s="9"/>
      <c r="BZ334" s="9"/>
      <c r="CA334" s="9"/>
      <c r="CB334" s="9"/>
      <c r="CC334" s="9"/>
      <c r="CD334" s="9"/>
      <c r="CE334" s="9"/>
      <c r="CF334" s="9"/>
      <c r="CG334" s="9"/>
      <c r="CH334" s="9"/>
      <c r="CI334" s="9"/>
      <c r="CJ334" s="9"/>
      <c r="CK334" s="9"/>
      <c r="CL334" s="9"/>
      <c r="CM334" s="9"/>
      <c r="CN334" s="9"/>
      <c r="CO334" s="9"/>
      <c r="CP334" s="9"/>
      <c r="CQ334" s="9"/>
      <c r="CR334" s="9"/>
      <c r="CS334" s="9"/>
      <c r="CT334" s="9"/>
      <c r="CU334" s="9"/>
      <c r="CV334" s="9"/>
      <c r="CW334" s="9"/>
      <c r="CX334" s="9"/>
      <c r="CY334" s="9"/>
      <c r="CZ334" s="9"/>
      <c r="DA334" s="9"/>
      <c r="DB334" s="9"/>
      <c r="DC334" s="9"/>
      <c r="DD334" s="9"/>
      <c r="DE334" s="9"/>
      <c r="DF334" s="9"/>
      <c r="DG334" s="9"/>
      <c r="DH334" s="9"/>
      <c r="DI334" s="9"/>
      <c r="DJ334" s="9"/>
      <c r="DK334" s="9"/>
      <c r="DL334" s="9"/>
      <c r="DM334" s="9"/>
      <c r="DN334" s="9"/>
      <c r="DO334" s="9"/>
      <c r="DP334" s="9"/>
    </row>
    <row r="335" spans="1:120" x14ac:dyDescent="0.2">
      <c r="G335" s="8" t="s">
        <v>447</v>
      </c>
      <c r="H335" s="9">
        <v>86220.61</v>
      </c>
      <c r="I335" s="9">
        <f>H335/365</f>
        <v>236.22084931506851</v>
      </c>
      <c r="J335" s="9"/>
      <c r="K335" s="9">
        <v>274035.07</v>
      </c>
      <c r="L335" s="9">
        <f>K335/366</f>
        <v>748.72969945355192</v>
      </c>
      <c r="M335" s="9"/>
      <c r="N335" s="9">
        <v>183510.39999999999</v>
      </c>
      <c r="O335" s="9">
        <f t="shared" si="394"/>
        <v>502.76821917808218</v>
      </c>
      <c r="P335" s="9"/>
      <c r="Q335" s="9">
        <v>55326.04</v>
      </c>
      <c r="R335" s="9">
        <f t="shared" si="395"/>
        <v>305.66872928176798</v>
      </c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9"/>
      <c r="AX335" s="9"/>
      <c r="AY335" s="9"/>
      <c r="AZ335" s="9"/>
      <c r="BA335" s="9"/>
      <c r="BB335" s="9"/>
      <c r="BC335" s="9"/>
      <c r="BD335" s="9"/>
      <c r="BE335" s="9"/>
      <c r="BF335" s="9"/>
      <c r="BG335" s="9"/>
      <c r="BH335" s="9"/>
      <c r="BI335" s="9"/>
      <c r="BJ335" s="9"/>
      <c r="BK335" s="9"/>
      <c r="BL335" s="9"/>
      <c r="BM335" s="9"/>
      <c r="BN335" s="9"/>
      <c r="BO335" s="9"/>
      <c r="BP335" s="9"/>
      <c r="BQ335" s="9"/>
      <c r="BR335" s="9"/>
      <c r="BS335" s="9"/>
      <c r="BT335" s="9"/>
      <c r="BU335" s="9"/>
      <c r="BV335" s="9"/>
      <c r="BW335" s="9"/>
      <c r="BX335" s="9"/>
      <c r="BY335" s="9"/>
      <c r="BZ335" s="9"/>
      <c r="CA335" s="9"/>
      <c r="CB335" s="9"/>
      <c r="CC335" s="9"/>
      <c r="CD335" s="9"/>
      <c r="CE335" s="9"/>
      <c r="CF335" s="9"/>
      <c r="CG335" s="9"/>
      <c r="CH335" s="9"/>
      <c r="CI335" s="9"/>
      <c r="CJ335" s="9"/>
      <c r="CK335" s="9"/>
      <c r="CL335" s="9"/>
      <c r="CM335" s="9"/>
      <c r="CN335" s="9"/>
      <c r="CO335" s="9"/>
      <c r="CP335" s="9"/>
      <c r="CQ335" s="9"/>
      <c r="CR335" s="9"/>
      <c r="CS335" s="9"/>
      <c r="CT335" s="9"/>
      <c r="CU335" s="9"/>
      <c r="CV335" s="9"/>
      <c r="CW335" s="9"/>
      <c r="CX335" s="9"/>
      <c r="CY335" s="9"/>
      <c r="CZ335" s="9"/>
      <c r="DA335" s="9"/>
      <c r="DB335" s="9"/>
      <c r="DC335" s="9"/>
      <c r="DD335" s="9"/>
      <c r="DE335" s="9"/>
      <c r="DF335" s="9"/>
      <c r="DG335" s="9"/>
      <c r="DH335" s="9"/>
      <c r="DI335" s="9"/>
      <c r="DJ335" s="9"/>
      <c r="DK335" s="9"/>
      <c r="DL335" s="9"/>
      <c r="DM335" s="9"/>
      <c r="DN335" s="9"/>
      <c r="DO335" s="9"/>
      <c r="DP335" s="9"/>
    </row>
    <row r="336" spans="1:120" x14ac:dyDescent="0.2">
      <c r="G336" s="8" t="s">
        <v>448</v>
      </c>
      <c r="H336" s="9"/>
      <c r="I336" s="9"/>
      <c r="J336" s="9"/>
      <c r="K336" s="9">
        <v>6718.42</v>
      </c>
      <c r="L336" s="9">
        <f>K336/366</f>
        <v>18.356338797814207</v>
      </c>
      <c r="M336" s="9"/>
      <c r="N336" s="9">
        <v>362001.28</v>
      </c>
      <c r="O336" s="9">
        <f t="shared" si="394"/>
        <v>991.78432876712338</v>
      </c>
      <c r="P336" s="9"/>
      <c r="Q336" s="9">
        <v>102783.82</v>
      </c>
      <c r="R336" s="9">
        <f t="shared" si="395"/>
        <v>567.86640883977907</v>
      </c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  <c r="AX336" s="9"/>
      <c r="AY336" s="9"/>
      <c r="AZ336" s="9"/>
      <c r="BA336" s="9"/>
      <c r="BB336" s="9"/>
      <c r="BC336" s="9"/>
      <c r="BD336" s="9"/>
      <c r="BE336" s="9"/>
      <c r="BF336" s="9"/>
      <c r="BG336" s="9"/>
      <c r="BH336" s="9"/>
      <c r="BI336" s="9"/>
      <c r="BJ336" s="9"/>
      <c r="BK336" s="9"/>
      <c r="BL336" s="9"/>
      <c r="BM336" s="9"/>
      <c r="BN336" s="9"/>
      <c r="BO336" s="9"/>
      <c r="BP336" s="9"/>
      <c r="BQ336" s="9"/>
      <c r="BR336" s="9"/>
      <c r="BS336" s="9"/>
      <c r="BT336" s="9"/>
      <c r="BU336" s="9"/>
      <c r="BV336" s="9"/>
      <c r="BW336" s="9"/>
      <c r="BX336" s="9"/>
      <c r="BY336" s="9"/>
      <c r="BZ336" s="9"/>
      <c r="CA336" s="9"/>
      <c r="CB336" s="9"/>
      <c r="CC336" s="9"/>
      <c r="CD336" s="9"/>
      <c r="CE336" s="9"/>
      <c r="CF336" s="9"/>
      <c r="CG336" s="9"/>
      <c r="CH336" s="9"/>
      <c r="CI336" s="9"/>
      <c r="CJ336" s="9"/>
      <c r="CK336" s="9"/>
      <c r="CL336" s="9"/>
      <c r="CM336" s="9"/>
      <c r="CN336" s="9"/>
      <c r="CO336" s="9"/>
      <c r="CP336" s="9"/>
      <c r="CQ336" s="9"/>
      <c r="CR336" s="9"/>
      <c r="CS336" s="9"/>
      <c r="CT336" s="9"/>
      <c r="CU336" s="9"/>
      <c r="CV336" s="9"/>
      <c r="CW336" s="9"/>
      <c r="CX336" s="9"/>
      <c r="CY336" s="9"/>
      <c r="CZ336" s="9"/>
      <c r="DA336" s="9"/>
      <c r="DB336" s="9"/>
      <c r="DC336" s="9"/>
      <c r="DD336" s="9"/>
      <c r="DE336" s="9"/>
      <c r="DF336" s="9"/>
      <c r="DG336" s="9"/>
      <c r="DH336" s="9"/>
      <c r="DI336" s="9"/>
      <c r="DJ336" s="9"/>
      <c r="DK336" s="9"/>
      <c r="DL336" s="9"/>
      <c r="DM336" s="9"/>
      <c r="DN336" s="9"/>
      <c r="DO336" s="9"/>
      <c r="DP336" s="9"/>
    </row>
    <row r="337" spans="7:120" x14ac:dyDescent="0.2">
      <c r="G337" s="8" t="s">
        <v>449</v>
      </c>
      <c r="H337" s="9"/>
      <c r="I337" s="9"/>
      <c r="J337" s="9"/>
      <c r="K337" s="9">
        <v>4609.1400000000003</v>
      </c>
      <c r="L337" s="9">
        <f>K337/366</f>
        <v>12.593278688524592</v>
      </c>
      <c r="M337" s="9"/>
      <c r="N337" s="9">
        <v>346171.55</v>
      </c>
      <c r="O337" s="9">
        <f t="shared" si="394"/>
        <v>948.41520547945197</v>
      </c>
      <c r="P337" s="9"/>
      <c r="Q337" s="9">
        <v>102066.12</v>
      </c>
      <c r="R337" s="9">
        <f t="shared" si="395"/>
        <v>563.90121546961325</v>
      </c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  <c r="AX337" s="9"/>
      <c r="AY337" s="9"/>
      <c r="AZ337" s="9"/>
      <c r="BA337" s="9"/>
      <c r="BB337" s="9"/>
      <c r="BC337" s="9"/>
      <c r="BD337" s="9"/>
      <c r="BE337" s="9"/>
      <c r="BF337" s="9"/>
      <c r="BG337" s="9"/>
      <c r="BH337" s="9"/>
      <c r="BI337" s="9"/>
      <c r="BJ337" s="9"/>
      <c r="BK337" s="9"/>
      <c r="BL337" s="9"/>
      <c r="BM337" s="9"/>
      <c r="BN337" s="9"/>
      <c r="BO337" s="9"/>
      <c r="BP337" s="9"/>
      <c r="BQ337" s="9"/>
      <c r="BR337" s="9"/>
      <c r="BS337" s="9"/>
      <c r="BT337" s="9"/>
      <c r="BU337" s="9"/>
      <c r="BV337" s="9"/>
      <c r="BW337" s="9"/>
      <c r="BX337" s="9"/>
      <c r="BY337" s="9"/>
      <c r="BZ337" s="9"/>
      <c r="CA337" s="9"/>
      <c r="CB337" s="9"/>
      <c r="CC337" s="9"/>
      <c r="CD337" s="9"/>
      <c r="CE337" s="9"/>
      <c r="CF337" s="9"/>
      <c r="CG337" s="9"/>
      <c r="CH337" s="9"/>
      <c r="CI337" s="9"/>
      <c r="CJ337" s="9"/>
      <c r="CK337" s="9"/>
      <c r="CL337" s="9"/>
      <c r="CM337" s="9"/>
      <c r="CN337" s="9"/>
      <c r="CO337" s="9"/>
      <c r="CP337" s="9"/>
      <c r="CQ337" s="9"/>
      <c r="CR337" s="9"/>
      <c r="CS337" s="9"/>
      <c r="CT337" s="9"/>
      <c r="CU337" s="9"/>
      <c r="CV337" s="9"/>
      <c r="CW337" s="9"/>
      <c r="CX337" s="9"/>
      <c r="CY337" s="9"/>
      <c r="CZ337" s="9"/>
      <c r="DA337" s="9"/>
      <c r="DB337" s="9"/>
      <c r="DC337" s="9"/>
      <c r="DD337" s="9"/>
      <c r="DE337" s="9"/>
      <c r="DF337" s="9"/>
      <c r="DG337" s="9"/>
      <c r="DH337" s="9"/>
      <c r="DI337" s="9"/>
      <c r="DJ337" s="9"/>
      <c r="DK337" s="9"/>
      <c r="DL337" s="9"/>
      <c r="DM337" s="9"/>
      <c r="DN337" s="9"/>
      <c r="DO337" s="9"/>
      <c r="DP337" s="9"/>
    </row>
    <row r="338" spans="7:120" x14ac:dyDescent="0.2">
      <c r="G338" s="8" t="s">
        <v>450</v>
      </c>
      <c r="H338" s="9"/>
      <c r="I338" s="9"/>
      <c r="J338" s="9"/>
      <c r="K338" s="9"/>
      <c r="L338" s="9"/>
      <c r="M338" s="9"/>
      <c r="N338" s="9">
        <v>100479.16</v>
      </c>
      <c r="O338" s="9">
        <f t="shared" si="394"/>
        <v>275.28536986301373</v>
      </c>
      <c r="P338" s="9"/>
      <c r="Q338" s="9">
        <v>314153.65999999997</v>
      </c>
      <c r="R338" s="9">
        <f t="shared" si="395"/>
        <v>1735.6555801104971</v>
      </c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  <c r="AX338" s="9"/>
      <c r="AY338" s="9"/>
      <c r="AZ338" s="9"/>
      <c r="BA338" s="9"/>
      <c r="BB338" s="9"/>
      <c r="BC338" s="9"/>
      <c r="BD338" s="9"/>
      <c r="BE338" s="9"/>
      <c r="BF338" s="9"/>
      <c r="BG338" s="9"/>
      <c r="BH338" s="9"/>
      <c r="BI338" s="9"/>
      <c r="BJ338" s="9"/>
      <c r="BK338" s="9"/>
      <c r="BL338" s="9"/>
      <c r="BM338" s="9"/>
      <c r="BN338" s="9"/>
      <c r="BO338" s="9"/>
      <c r="BP338" s="9"/>
      <c r="BQ338" s="9"/>
      <c r="BR338" s="9"/>
      <c r="BS338" s="9"/>
      <c r="BT338" s="9"/>
      <c r="BU338" s="9"/>
      <c r="BV338" s="9"/>
      <c r="BW338" s="9"/>
      <c r="BX338" s="9"/>
      <c r="BY338" s="9"/>
      <c r="BZ338" s="9"/>
      <c r="CA338" s="9"/>
      <c r="CB338" s="9"/>
      <c r="CC338" s="9"/>
      <c r="CD338" s="9"/>
      <c r="CE338" s="9"/>
      <c r="CF338" s="9"/>
      <c r="CG338" s="9"/>
      <c r="CH338" s="9"/>
      <c r="CI338" s="9"/>
      <c r="CJ338" s="9"/>
      <c r="CK338" s="9"/>
      <c r="CL338" s="9"/>
      <c r="CM338" s="9"/>
      <c r="CN338" s="9"/>
      <c r="CO338" s="9"/>
      <c r="CP338" s="9"/>
      <c r="CQ338" s="9"/>
      <c r="CR338" s="9"/>
      <c r="CS338" s="9"/>
      <c r="CT338" s="9"/>
      <c r="CU338" s="9"/>
      <c r="CV338" s="9"/>
      <c r="CW338" s="9"/>
      <c r="CX338" s="9"/>
      <c r="CY338" s="9"/>
      <c r="CZ338" s="9"/>
      <c r="DA338" s="9"/>
      <c r="DB338" s="9"/>
      <c r="DC338" s="9"/>
      <c r="DD338" s="9"/>
      <c r="DE338" s="9"/>
      <c r="DF338" s="9"/>
      <c r="DG338" s="9"/>
      <c r="DH338" s="9"/>
      <c r="DI338" s="9"/>
      <c r="DJ338" s="9"/>
      <c r="DK338" s="9"/>
      <c r="DL338" s="9"/>
      <c r="DM338" s="9"/>
      <c r="DN338" s="9"/>
      <c r="DO338" s="9"/>
      <c r="DP338" s="9"/>
    </row>
    <row r="339" spans="7:120" x14ac:dyDescent="0.2">
      <c r="G339" s="8" t="s">
        <v>451</v>
      </c>
      <c r="H339" s="9"/>
      <c r="I339" s="9"/>
      <c r="J339" s="9"/>
      <c r="K339" s="9"/>
      <c r="L339" s="9"/>
      <c r="M339" s="9"/>
      <c r="N339" s="9">
        <v>28251.77</v>
      </c>
      <c r="O339" s="9">
        <f t="shared" si="394"/>
        <v>77.402109589041103</v>
      </c>
      <c r="P339" s="9"/>
      <c r="Q339" s="9">
        <v>331037.46000000002</v>
      </c>
      <c r="R339" s="9">
        <f t="shared" si="395"/>
        <v>1828.9362430939227</v>
      </c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  <c r="AX339" s="9"/>
      <c r="AY339" s="9"/>
      <c r="AZ339" s="9"/>
      <c r="BA339" s="9"/>
      <c r="BB339" s="9"/>
      <c r="BC339" s="9"/>
      <c r="BD339" s="9"/>
      <c r="BE339" s="9"/>
      <c r="BF339" s="9"/>
      <c r="BG339" s="9"/>
      <c r="BH339" s="9"/>
      <c r="BI339" s="9"/>
      <c r="BJ339" s="9"/>
      <c r="BK339" s="9"/>
      <c r="BL339" s="9"/>
      <c r="BM339" s="9"/>
      <c r="BN339" s="9"/>
      <c r="BO339" s="9"/>
      <c r="BP339" s="9"/>
      <c r="BQ339" s="9"/>
      <c r="BR339" s="9"/>
      <c r="BS339" s="9"/>
      <c r="BT339" s="9"/>
      <c r="BU339" s="9"/>
      <c r="BV339" s="9"/>
      <c r="BW339" s="9"/>
      <c r="BX339" s="9"/>
      <c r="BY339" s="9"/>
      <c r="BZ339" s="9"/>
      <c r="CA339" s="9"/>
      <c r="CB339" s="9"/>
      <c r="CC339" s="9"/>
      <c r="CD339" s="9"/>
      <c r="CE339" s="9"/>
      <c r="CF339" s="9"/>
      <c r="CG339" s="9"/>
      <c r="CH339" s="9"/>
      <c r="CI339" s="9"/>
      <c r="CJ339" s="9"/>
      <c r="CK339" s="9"/>
      <c r="CL339" s="9"/>
      <c r="CM339" s="9"/>
      <c r="CN339" s="9"/>
      <c r="CO339" s="9"/>
      <c r="CP339" s="9"/>
      <c r="CQ339" s="9"/>
      <c r="CR339" s="9"/>
      <c r="CS339" s="9"/>
      <c r="CT339" s="9"/>
      <c r="CU339" s="9"/>
      <c r="CV339" s="9"/>
      <c r="CW339" s="9"/>
      <c r="CX339" s="9"/>
      <c r="CY339" s="9"/>
      <c r="CZ339" s="9"/>
      <c r="DA339" s="9"/>
      <c r="DB339" s="9"/>
      <c r="DC339" s="9"/>
      <c r="DD339" s="9"/>
      <c r="DE339" s="9"/>
      <c r="DF339" s="9"/>
      <c r="DG339" s="9"/>
      <c r="DH339" s="9"/>
      <c r="DI339" s="9"/>
      <c r="DJ339" s="9"/>
      <c r="DK339" s="9"/>
      <c r="DL339" s="9"/>
      <c r="DM339" s="9"/>
      <c r="DN339" s="9"/>
      <c r="DO339" s="9"/>
      <c r="DP339" s="9"/>
    </row>
    <row r="340" spans="7:120" x14ac:dyDescent="0.2">
      <c r="G340" s="8" t="s">
        <v>452</v>
      </c>
      <c r="H340" s="9">
        <v>197826.42</v>
      </c>
      <c r="I340" s="9">
        <f t="shared" ref="I340:I347" si="396">H340/365</f>
        <v>541.99019178082199</v>
      </c>
      <c r="J340" s="9"/>
      <c r="K340" s="9">
        <v>97935.679999999993</v>
      </c>
      <c r="L340" s="9">
        <f t="shared" ref="L340:L347" si="397">K340/366</f>
        <v>267.58382513661201</v>
      </c>
      <c r="M340" s="9"/>
      <c r="N340" s="9">
        <v>88532.11</v>
      </c>
      <c r="O340" s="9">
        <f t="shared" si="394"/>
        <v>242.55372602739726</v>
      </c>
      <c r="P340" s="9"/>
      <c r="Q340" s="9">
        <v>36019.51</v>
      </c>
      <c r="R340" s="9">
        <f t="shared" si="395"/>
        <v>199.00281767955804</v>
      </c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  <c r="AX340" s="9"/>
      <c r="AY340" s="9"/>
      <c r="AZ340" s="9"/>
      <c r="BA340" s="9"/>
      <c r="BB340" s="9"/>
      <c r="BC340" s="9"/>
      <c r="BD340" s="9"/>
      <c r="BE340" s="9"/>
      <c r="BF340" s="9"/>
      <c r="BG340" s="9"/>
      <c r="BH340" s="9"/>
      <c r="BI340" s="9"/>
      <c r="BJ340" s="9"/>
      <c r="BK340" s="9"/>
      <c r="BL340" s="9"/>
      <c r="BM340" s="9"/>
      <c r="BN340" s="9"/>
      <c r="BO340" s="9"/>
      <c r="BP340" s="9"/>
      <c r="BQ340" s="9"/>
      <c r="BR340" s="9"/>
      <c r="BS340" s="9"/>
      <c r="BT340" s="9"/>
      <c r="BU340" s="9"/>
      <c r="BV340" s="9"/>
      <c r="BW340" s="9"/>
      <c r="BX340" s="9"/>
      <c r="BY340" s="9"/>
      <c r="BZ340" s="9"/>
      <c r="CA340" s="9"/>
      <c r="CB340" s="9"/>
      <c r="CC340" s="9"/>
      <c r="CD340" s="9"/>
      <c r="CE340" s="9"/>
      <c r="CF340" s="9"/>
      <c r="CG340" s="9"/>
      <c r="CH340" s="9"/>
      <c r="CI340" s="9"/>
      <c r="CJ340" s="9"/>
      <c r="CK340" s="9"/>
      <c r="CL340" s="9"/>
      <c r="CM340" s="9"/>
      <c r="CN340" s="9"/>
      <c r="CO340" s="9"/>
      <c r="CP340" s="9"/>
      <c r="CQ340" s="9"/>
      <c r="CR340" s="9"/>
      <c r="CS340" s="9"/>
      <c r="CT340" s="9"/>
      <c r="CU340" s="9"/>
      <c r="CV340" s="9"/>
      <c r="CW340" s="9"/>
      <c r="CX340" s="9"/>
      <c r="CY340" s="9"/>
      <c r="CZ340" s="9"/>
      <c r="DA340" s="9"/>
      <c r="DB340" s="9"/>
      <c r="DC340" s="9"/>
      <c r="DD340" s="9"/>
      <c r="DE340" s="9"/>
      <c r="DF340" s="9"/>
      <c r="DG340" s="9"/>
      <c r="DH340" s="9"/>
      <c r="DI340" s="9"/>
      <c r="DJ340" s="9"/>
      <c r="DK340" s="9"/>
      <c r="DL340" s="9"/>
      <c r="DM340" s="9"/>
      <c r="DN340" s="9"/>
      <c r="DO340" s="9"/>
      <c r="DP340" s="9"/>
    </row>
    <row r="341" spans="7:120" x14ac:dyDescent="0.2">
      <c r="G341" s="8" t="s">
        <v>453</v>
      </c>
      <c r="H341" s="9">
        <v>125229.15</v>
      </c>
      <c r="I341" s="9">
        <f t="shared" si="396"/>
        <v>343.09356164383559</v>
      </c>
      <c r="J341" s="9"/>
      <c r="K341" s="9">
        <v>96163.64</v>
      </c>
      <c r="L341" s="9">
        <f t="shared" si="397"/>
        <v>262.74218579234974</v>
      </c>
      <c r="M341" s="9"/>
      <c r="N341" s="9">
        <v>100558.14</v>
      </c>
      <c r="O341" s="9">
        <f t="shared" si="394"/>
        <v>275.50175342465752</v>
      </c>
      <c r="P341" s="9"/>
      <c r="Q341" s="9">
        <v>23381.040000000001</v>
      </c>
      <c r="R341" s="9">
        <f t="shared" si="395"/>
        <v>129.17701657458565</v>
      </c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  <c r="AX341" s="9"/>
      <c r="AY341" s="9"/>
      <c r="AZ341" s="9"/>
      <c r="BA341" s="9"/>
      <c r="BB341" s="9"/>
      <c r="BC341" s="9"/>
      <c r="BD341" s="9"/>
      <c r="BE341" s="9"/>
      <c r="BF341" s="9"/>
      <c r="BG341" s="9"/>
      <c r="BH341" s="9"/>
      <c r="BI341" s="9"/>
      <c r="BJ341" s="9"/>
      <c r="BK341" s="9"/>
      <c r="BL341" s="9"/>
      <c r="BM341" s="9"/>
      <c r="BN341" s="9"/>
      <c r="BO341" s="9"/>
      <c r="BP341" s="9"/>
      <c r="BQ341" s="9"/>
      <c r="BR341" s="9"/>
      <c r="BS341" s="9"/>
      <c r="BT341" s="9"/>
      <c r="BU341" s="9"/>
      <c r="BV341" s="9"/>
      <c r="BW341" s="9"/>
      <c r="BX341" s="9"/>
      <c r="BY341" s="9"/>
      <c r="BZ341" s="9"/>
      <c r="CA341" s="9"/>
      <c r="CB341" s="9"/>
      <c r="CC341" s="9"/>
      <c r="CD341" s="9"/>
      <c r="CE341" s="9"/>
      <c r="CF341" s="9"/>
      <c r="CG341" s="9"/>
      <c r="CH341" s="9"/>
      <c r="CI341" s="9"/>
      <c r="CJ341" s="9"/>
      <c r="CK341" s="9"/>
      <c r="CL341" s="9"/>
      <c r="CM341" s="9"/>
      <c r="CN341" s="9"/>
      <c r="CO341" s="9"/>
      <c r="CP341" s="9"/>
      <c r="CQ341" s="9"/>
      <c r="CR341" s="9"/>
      <c r="CS341" s="9"/>
      <c r="CT341" s="9"/>
      <c r="CU341" s="9"/>
      <c r="CV341" s="9"/>
      <c r="CW341" s="9"/>
      <c r="CX341" s="9"/>
      <c r="CY341" s="9"/>
      <c r="CZ341" s="9"/>
      <c r="DA341" s="9"/>
      <c r="DB341" s="9"/>
      <c r="DC341" s="9"/>
      <c r="DD341" s="9"/>
      <c r="DE341" s="9"/>
      <c r="DF341" s="9"/>
      <c r="DG341" s="9"/>
      <c r="DH341" s="9"/>
      <c r="DI341" s="9"/>
      <c r="DJ341" s="9"/>
      <c r="DK341" s="9"/>
      <c r="DL341" s="9"/>
      <c r="DM341" s="9"/>
      <c r="DN341" s="9"/>
      <c r="DO341" s="9"/>
      <c r="DP341" s="9"/>
    </row>
    <row r="342" spans="7:120" x14ac:dyDescent="0.2">
      <c r="G342" s="8" t="s">
        <v>454</v>
      </c>
      <c r="H342" s="9">
        <v>26689.85</v>
      </c>
      <c r="I342" s="9">
        <f t="shared" si="396"/>
        <v>73.122876712328761</v>
      </c>
      <c r="J342" s="9"/>
      <c r="K342" s="9">
        <v>126204.03</v>
      </c>
      <c r="L342" s="9">
        <f t="shared" si="397"/>
        <v>344.81975409836065</v>
      </c>
      <c r="M342" s="9"/>
      <c r="N342" s="9">
        <v>93147.36</v>
      </c>
      <c r="O342" s="9">
        <f t="shared" si="394"/>
        <v>255.19824657534247</v>
      </c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  <c r="AX342" s="9"/>
      <c r="AY342" s="9"/>
      <c r="AZ342" s="9"/>
      <c r="BA342" s="9"/>
      <c r="BB342" s="9"/>
      <c r="BC342" s="9"/>
      <c r="BD342" s="9"/>
      <c r="BE342" s="9"/>
      <c r="BF342" s="9"/>
      <c r="BG342" s="9"/>
      <c r="BH342" s="9"/>
      <c r="BI342" s="9"/>
      <c r="BJ342" s="9"/>
      <c r="BK342" s="9"/>
      <c r="BL342" s="9"/>
      <c r="BM342" s="9"/>
      <c r="BN342" s="9"/>
      <c r="BO342" s="9"/>
      <c r="BP342" s="9"/>
      <c r="BQ342" s="9"/>
      <c r="BR342" s="9"/>
      <c r="BS342" s="9"/>
      <c r="BT342" s="9"/>
      <c r="BU342" s="9"/>
      <c r="BV342" s="9"/>
      <c r="BW342" s="9"/>
      <c r="BX342" s="9"/>
      <c r="BY342" s="9"/>
      <c r="BZ342" s="9"/>
      <c r="CA342" s="9"/>
      <c r="CB342" s="9"/>
      <c r="CC342" s="9"/>
      <c r="CD342" s="9"/>
      <c r="CE342" s="9"/>
      <c r="CF342" s="9"/>
      <c r="CG342" s="9"/>
      <c r="CH342" s="9"/>
      <c r="CI342" s="9"/>
      <c r="CJ342" s="9"/>
      <c r="CK342" s="9"/>
      <c r="CL342" s="9"/>
      <c r="CM342" s="9"/>
      <c r="CN342" s="9"/>
      <c r="CO342" s="9"/>
      <c r="CP342" s="9"/>
      <c r="CQ342" s="9"/>
      <c r="CR342" s="9"/>
      <c r="CS342" s="9"/>
      <c r="CT342" s="9"/>
      <c r="CU342" s="9"/>
      <c r="CV342" s="9"/>
      <c r="CW342" s="9"/>
      <c r="CX342" s="9"/>
      <c r="CY342" s="9"/>
      <c r="CZ342" s="9"/>
      <c r="DA342" s="9"/>
      <c r="DB342" s="9"/>
      <c r="DC342" s="9"/>
      <c r="DD342" s="9"/>
      <c r="DE342" s="9"/>
      <c r="DF342" s="9"/>
      <c r="DG342" s="9"/>
      <c r="DH342" s="9"/>
      <c r="DI342" s="9"/>
      <c r="DJ342" s="9"/>
      <c r="DK342" s="9"/>
      <c r="DL342" s="9"/>
      <c r="DM342" s="9"/>
      <c r="DN342" s="9"/>
      <c r="DO342" s="9"/>
      <c r="DP342" s="9"/>
    </row>
    <row r="343" spans="7:120" x14ac:dyDescent="0.2">
      <c r="G343" s="8" t="s">
        <v>455</v>
      </c>
      <c r="H343" s="9">
        <v>144336.26999999999</v>
      </c>
      <c r="I343" s="9">
        <f t="shared" si="396"/>
        <v>395.44183561643831</v>
      </c>
      <c r="J343" s="9"/>
      <c r="K343" s="9">
        <v>196599.37</v>
      </c>
      <c r="L343" s="9">
        <f t="shared" si="397"/>
        <v>537.15674863387972</v>
      </c>
      <c r="M343" s="9"/>
      <c r="N343" s="9">
        <v>10144.69</v>
      </c>
      <c r="O343" s="9">
        <f t="shared" si="394"/>
        <v>27.793671232876715</v>
      </c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9"/>
      <c r="AX343" s="9"/>
      <c r="AY343" s="9"/>
      <c r="AZ343" s="9"/>
      <c r="BA343" s="9"/>
      <c r="BB343" s="9"/>
      <c r="BC343" s="9"/>
      <c r="BD343" s="9"/>
      <c r="BE343" s="9"/>
      <c r="BF343" s="9"/>
      <c r="BG343" s="9"/>
      <c r="BH343" s="9"/>
      <c r="BI343" s="9"/>
      <c r="BJ343" s="9"/>
      <c r="BK343" s="9"/>
      <c r="BL343" s="9"/>
      <c r="BM343" s="9"/>
      <c r="BN343" s="9"/>
      <c r="BO343" s="9"/>
      <c r="BP343" s="9"/>
      <c r="BQ343" s="9"/>
      <c r="BR343" s="9"/>
      <c r="BS343" s="9"/>
      <c r="BT343" s="9"/>
      <c r="BU343" s="9"/>
      <c r="BV343" s="9"/>
      <c r="BW343" s="9"/>
      <c r="BX343" s="9"/>
      <c r="BY343" s="9"/>
      <c r="BZ343" s="9"/>
      <c r="CA343" s="9"/>
      <c r="CB343" s="9"/>
      <c r="CC343" s="9"/>
      <c r="CD343" s="9"/>
      <c r="CE343" s="9"/>
      <c r="CF343" s="9"/>
      <c r="CG343" s="9"/>
      <c r="CH343" s="9"/>
      <c r="CI343" s="9"/>
      <c r="CJ343" s="9"/>
      <c r="CK343" s="9"/>
      <c r="CL343" s="9"/>
      <c r="CM343" s="9"/>
      <c r="CN343" s="9"/>
      <c r="CO343" s="9"/>
      <c r="CP343" s="9"/>
      <c r="CQ343" s="9"/>
      <c r="CR343" s="9"/>
      <c r="CS343" s="9"/>
      <c r="CT343" s="9"/>
      <c r="CU343" s="9"/>
      <c r="CV343" s="9"/>
      <c r="CW343" s="9"/>
      <c r="CX343" s="9"/>
      <c r="CY343" s="9"/>
      <c r="CZ343" s="9"/>
      <c r="DA343" s="9"/>
      <c r="DB343" s="9"/>
      <c r="DC343" s="9"/>
      <c r="DD343" s="9"/>
      <c r="DE343" s="9"/>
      <c r="DF343" s="9"/>
      <c r="DG343" s="9"/>
      <c r="DH343" s="9"/>
      <c r="DI343" s="9"/>
      <c r="DJ343" s="9"/>
      <c r="DK343" s="9"/>
      <c r="DL343" s="9"/>
      <c r="DM343" s="9"/>
      <c r="DN343" s="9"/>
      <c r="DO343" s="9"/>
      <c r="DP343" s="9"/>
    </row>
    <row r="344" spans="7:120" x14ac:dyDescent="0.2">
      <c r="G344" s="8" t="s">
        <v>456</v>
      </c>
      <c r="H344" s="9">
        <v>78606.559999999998</v>
      </c>
      <c r="I344" s="9">
        <f t="shared" si="396"/>
        <v>215.36043835616437</v>
      </c>
      <c r="J344" s="9"/>
      <c r="K344" s="9">
        <v>60916.93</v>
      </c>
      <c r="L344" s="9">
        <f t="shared" si="397"/>
        <v>166.43969945355192</v>
      </c>
      <c r="M344" s="9"/>
      <c r="N344" s="9">
        <v>91195.72</v>
      </c>
      <c r="O344" s="9">
        <f t="shared" si="394"/>
        <v>249.85128767123288</v>
      </c>
      <c r="P344" s="9"/>
      <c r="Q344" s="9">
        <v>39000.43</v>
      </c>
      <c r="R344" s="9">
        <f>Q344/181</f>
        <v>215.47198895027626</v>
      </c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9"/>
      <c r="AX344" s="9"/>
      <c r="AY344" s="9"/>
      <c r="AZ344" s="9"/>
      <c r="BA344" s="9"/>
      <c r="BB344" s="9"/>
      <c r="BC344" s="9"/>
      <c r="BD344" s="9"/>
      <c r="BE344" s="9"/>
      <c r="BF344" s="9"/>
      <c r="BG344" s="9"/>
      <c r="BH344" s="9"/>
      <c r="BI344" s="9"/>
      <c r="BJ344" s="9"/>
      <c r="BK344" s="9"/>
      <c r="BL344" s="9"/>
      <c r="BM344" s="9"/>
      <c r="BN344" s="9"/>
      <c r="BO344" s="9"/>
      <c r="BP344" s="9"/>
      <c r="BQ344" s="9"/>
      <c r="BR344" s="9"/>
      <c r="BS344" s="9"/>
      <c r="BT344" s="9"/>
      <c r="BU344" s="9"/>
      <c r="BV344" s="9"/>
      <c r="BW344" s="9"/>
      <c r="BX344" s="9"/>
      <c r="BY344" s="9"/>
      <c r="BZ344" s="9"/>
      <c r="CA344" s="9"/>
      <c r="CB344" s="9"/>
      <c r="CC344" s="9"/>
      <c r="CD344" s="9"/>
      <c r="CE344" s="9"/>
      <c r="CF344" s="9"/>
      <c r="CG344" s="9"/>
      <c r="CH344" s="9"/>
      <c r="CI344" s="9"/>
      <c r="CJ344" s="9"/>
      <c r="CK344" s="9"/>
      <c r="CL344" s="9"/>
      <c r="CM344" s="9"/>
      <c r="CN344" s="9"/>
      <c r="CO344" s="9"/>
      <c r="CP344" s="9"/>
      <c r="CQ344" s="9"/>
      <c r="CR344" s="9"/>
      <c r="CS344" s="9"/>
      <c r="CT344" s="9"/>
      <c r="CU344" s="9"/>
      <c r="CV344" s="9"/>
      <c r="CW344" s="9"/>
      <c r="CX344" s="9"/>
      <c r="CY344" s="9"/>
      <c r="CZ344" s="9"/>
      <c r="DA344" s="9"/>
      <c r="DB344" s="9"/>
      <c r="DC344" s="9"/>
      <c r="DD344" s="9"/>
      <c r="DE344" s="9"/>
      <c r="DF344" s="9"/>
      <c r="DG344" s="9"/>
      <c r="DH344" s="9"/>
      <c r="DI344" s="9"/>
      <c r="DJ344" s="9"/>
      <c r="DK344" s="9"/>
      <c r="DL344" s="9"/>
      <c r="DM344" s="9"/>
      <c r="DN344" s="9"/>
      <c r="DO344" s="9"/>
      <c r="DP344" s="9"/>
    </row>
    <row r="345" spans="7:120" x14ac:dyDescent="0.2">
      <c r="G345" s="8" t="s">
        <v>457</v>
      </c>
      <c r="H345" s="9">
        <v>83665.56</v>
      </c>
      <c r="I345" s="9">
        <f t="shared" si="396"/>
        <v>229.22071232876712</v>
      </c>
      <c r="J345" s="9"/>
      <c r="K345" s="9">
        <v>86026.1</v>
      </c>
      <c r="L345" s="9">
        <f t="shared" si="397"/>
        <v>235.04398907103825</v>
      </c>
      <c r="M345" s="9"/>
      <c r="N345" s="9">
        <v>54234.32</v>
      </c>
      <c r="O345" s="9">
        <f t="shared" si="394"/>
        <v>148.58717808219177</v>
      </c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9"/>
      <c r="AX345" s="9"/>
      <c r="AY345" s="9"/>
      <c r="AZ345" s="9"/>
      <c r="BA345" s="9"/>
      <c r="BB345" s="9"/>
      <c r="BC345" s="9"/>
      <c r="BD345" s="9"/>
      <c r="BE345" s="9"/>
      <c r="BF345" s="9"/>
      <c r="BG345" s="9"/>
      <c r="BH345" s="9"/>
      <c r="BI345" s="9"/>
      <c r="BJ345" s="9"/>
      <c r="BK345" s="9"/>
      <c r="BL345" s="9"/>
      <c r="BM345" s="9"/>
      <c r="BN345" s="9"/>
      <c r="BO345" s="9"/>
      <c r="BP345" s="9"/>
      <c r="BQ345" s="9"/>
      <c r="BR345" s="9"/>
      <c r="BS345" s="9"/>
      <c r="BT345" s="9"/>
      <c r="BU345" s="9"/>
      <c r="BV345" s="9"/>
      <c r="BW345" s="9"/>
      <c r="BX345" s="9"/>
      <c r="BY345" s="9"/>
      <c r="BZ345" s="9"/>
      <c r="CA345" s="9"/>
      <c r="CB345" s="9"/>
      <c r="CC345" s="9"/>
      <c r="CD345" s="9"/>
      <c r="CE345" s="9"/>
      <c r="CF345" s="9"/>
      <c r="CG345" s="9"/>
      <c r="CH345" s="9"/>
      <c r="CI345" s="9"/>
      <c r="CJ345" s="9"/>
      <c r="CK345" s="9"/>
      <c r="CL345" s="9"/>
      <c r="CM345" s="9"/>
      <c r="CN345" s="9"/>
      <c r="CO345" s="9"/>
      <c r="CP345" s="9"/>
      <c r="CQ345" s="9"/>
      <c r="CR345" s="9"/>
      <c r="CS345" s="9"/>
      <c r="CT345" s="9"/>
      <c r="CU345" s="9"/>
      <c r="CV345" s="9"/>
      <c r="CW345" s="9"/>
      <c r="CX345" s="9"/>
      <c r="CY345" s="9"/>
      <c r="CZ345" s="9"/>
      <c r="DA345" s="9"/>
      <c r="DB345" s="9"/>
      <c r="DC345" s="9"/>
      <c r="DD345" s="9"/>
      <c r="DE345" s="9"/>
      <c r="DF345" s="9"/>
      <c r="DG345" s="9"/>
      <c r="DH345" s="9"/>
      <c r="DI345" s="9"/>
      <c r="DJ345" s="9"/>
      <c r="DK345" s="9"/>
      <c r="DL345" s="9"/>
      <c r="DM345" s="9"/>
      <c r="DN345" s="9"/>
      <c r="DO345" s="9"/>
      <c r="DP345" s="9"/>
    </row>
    <row r="346" spans="7:120" x14ac:dyDescent="0.2">
      <c r="G346" s="8" t="s">
        <v>458</v>
      </c>
      <c r="H346" s="9">
        <v>144303.65</v>
      </c>
      <c r="I346" s="9">
        <f t="shared" si="396"/>
        <v>395.35246575342467</v>
      </c>
      <c r="J346" s="9"/>
      <c r="K346" s="9">
        <v>129130.91</v>
      </c>
      <c r="L346" s="9">
        <f t="shared" si="397"/>
        <v>352.81669398907104</v>
      </c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  <c r="AW346" s="9"/>
      <c r="AX346" s="9"/>
      <c r="AY346" s="9"/>
      <c r="AZ346" s="9"/>
      <c r="BA346" s="9"/>
      <c r="BB346" s="9"/>
      <c r="BC346" s="9"/>
      <c r="BD346" s="9"/>
      <c r="BE346" s="9"/>
      <c r="BF346" s="9"/>
      <c r="BG346" s="9"/>
      <c r="BH346" s="9"/>
      <c r="BI346" s="9"/>
      <c r="BJ346" s="9"/>
      <c r="BK346" s="9"/>
      <c r="BL346" s="9"/>
      <c r="BM346" s="9"/>
      <c r="BN346" s="9"/>
      <c r="BO346" s="9"/>
      <c r="BP346" s="9"/>
      <c r="BQ346" s="9"/>
      <c r="BR346" s="9"/>
      <c r="BS346" s="9"/>
      <c r="BT346" s="9"/>
      <c r="BU346" s="9"/>
      <c r="BV346" s="9"/>
      <c r="BW346" s="9"/>
      <c r="BX346" s="9"/>
      <c r="BY346" s="9"/>
      <c r="BZ346" s="9"/>
      <c r="CA346" s="9"/>
      <c r="CB346" s="9"/>
      <c r="CC346" s="9"/>
      <c r="CD346" s="9"/>
      <c r="CE346" s="9"/>
      <c r="CF346" s="9"/>
      <c r="CG346" s="9"/>
      <c r="CH346" s="9"/>
      <c r="CI346" s="9"/>
      <c r="CJ346" s="9"/>
      <c r="CK346" s="9"/>
      <c r="CL346" s="9"/>
      <c r="CM346" s="9"/>
      <c r="CN346" s="9"/>
      <c r="CO346" s="9"/>
      <c r="CP346" s="9"/>
      <c r="CQ346" s="9"/>
      <c r="CR346" s="9"/>
      <c r="CS346" s="9"/>
      <c r="CT346" s="9"/>
      <c r="CU346" s="9"/>
      <c r="CV346" s="9"/>
      <c r="CW346" s="9"/>
      <c r="CX346" s="9"/>
      <c r="CY346" s="9"/>
      <c r="CZ346" s="9"/>
      <c r="DA346" s="9"/>
      <c r="DB346" s="9"/>
      <c r="DC346" s="9"/>
      <c r="DD346" s="9"/>
      <c r="DE346" s="9"/>
      <c r="DF346" s="9"/>
      <c r="DG346" s="9"/>
      <c r="DH346" s="9"/>
      <c r="DI346" s="9"/>
      <c r="DJ346" s="9"/>
      <c r="DK346" s="9"/>
      <c r="DL346" s="9"/>
      <c r="DM346" s="9"/>
      <c r="DN346" s="9"/>
      <c r="DO346" s="9"/>
      <c r="DP346" s="9"/>
    </row>
    <row r="347" spans="7:120" x14ac:dyDescent="0.2">
      <c r="G347" s="8" t="s">
        <v>459</v>
      </c>
      <c r="H347" s="9">
        <v>13016.4</v>
      </c>
      <c r="I347" s="9">
        <f t="shared" si="396"/>
        <v>35.661369863013697</v>
      </c>
      <c r="J347" s="9"/>
      <c r="K347" s="9">
        <v>61057.69</v>
      </c>
      <c r="L347" s="9">
        <f t="shared" si="397"/>
        <v>166.82428961748636</v>
      </c>
      <c r="M347" s="9"/>
      <c r="N347" s="9">
        <v>49715.199999999997</v>
      </c>
      <c r="O347" s="9">
        <f>N347/365</f>
        <v>136.20602739726027</v>
      </c>
      <c r="P347" s="9"/>
      <c r="Q347" s="9">
        <v>12569.6</v>
      </c>
      <c r="R347" s="9">
        <f t="shared" ref="R347:R355" si="398">Q347/181</f>
        <v>69.445303867403311</v>
      </c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9"/>
      <c r="AX347" s="9"/>
      <c r="AY347" s="9"/>
      <c r="AZ347" s="9"/>
      <c r="BA347" s="9"/>
      <c r="BB347" s="9"/>
      <c r="BC347" s="9"/>
      <c r="BD347" s="9"/>
      <c r="BE347" s="9"/>
      <c r="BF347" s="9"/>
      <c r="BG347" s="9"/>
      <c r="BH347" s="9"/>
      <c r="BI347" s="9"/>
      <c r="BJ347" s="9"/>
      <c r="BK347" s="9"/>
      <c r="BL347" s="9"/>
      <c r="BM347" s="9"/>
      <c r="BN347" s="9"/>
      <c r="BO347" s="9"/>
      <c r="BP347" s="9"/>
      <c r="BQ347" s="9"/>
      <c r="BR347" s="9"/>
      <c r="BS347" s="9"/>
      <c r="BT347" s="9"/>
      <c r="BU347" s="9"/>
      <c r="BV347" s="9"/>
      <c r="BW347" s="9"/>
      <c r="BX347" s="9"/>
      <c r="BY347" s="9"/>
      <c r="BZ347" s="9"/>
      <c r="CA347" s="9"/>
      <c r="CB347" s="9"/>
      <c r="CC347" s="9"/>
      <c r="CD347" s="9"/>
      <c r="CE347" s="9"/>
      <c r="CF347" s="9"/>
      <c r="CG347" s="9"/>
      <c r="CH347" s="9"/>
      <c r="CI347" s="9"/>
      <c r="CJ347" s="9"/>
      <c r="CK347" s="9"/>
      <c r="CL347" s="9"/>
      <c r="CM347" s="9"/>
      <c r="CN347" s="9"/>
      <c r="CO347" s="9"/>
      <c r="CP347" s="9"/>
      <c r="CQ347" s="9"/>
      <c r="CR347" s="9"/>
      <c r="CS347" s="9"/>
      <c r="CT347" s="9"/>
      <c r="CU347" s="9"/>
      <c r="CV347" s="9"/>
      <c r="CW347" s="9"/>
      <c r="CX347" s="9"/>
      <c r="CY347" s="9"/>
      <c r="CZ347" s="9"/>
      <c r="DA347" s="9"/>
      <c r="DB347" s="9"/>
      <c r="DC347" s="9"/>
      <c r="DD347" s="9"/>
      <c r="DE347" s="9"/>
      <c r="DF347" s="9"/>
      <c r="DG347" s="9"/>
      <c r="DH347" s="9"/>
      <c r="DI347" s="9"/>
      <c r="DJ347" s="9"/>
      <c r="DK347" s="9"/>
      <c r="DL347" s="9"/>
      <c r="DM347" s="9"/>
      <c r="DN347" s="9"/>
      <c r="DO347" s="9"/>
      <c r="DP347" s="9"/>
    </row>
    <row r="348" spans="7:120" x14ac:dyDescent="0.2">
      <c r="G348" s="8" t="s">
        <v>460</v>
      </c>
      <c r="H348" s="9"/>
      <c r="I348" s="9"/>
      <c r="J348" s="9"/>
      <c r="K348" s="9"/>
      <c r="L348" s="9"/>
      <c r="M348" s="9"/>
      <c r="N348" s="9">
        <v>74940.77</v>
      </c>
      <c r="O348" s="9">
        <f>N348/365</f>
        <v>205.31717808219179</v>
      </c>
      <c r="P348" s="9"/>
      <c r="Q348" s="9">
        <v>36678.720000000001</v>
      </c>
      <c r="R348" s="9">
        <f t="shared" si="398"/>
        <v>202.64486187845304</v>
      </c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9"/>
      <c r="AX348" s="9"/>
      <c r="AY348" s="9"/>
      <c r="AZ348" s="9"/>
      <c r="BA348" s="9"/>
      <c r="BB348" s="9"/>
      <c r="BC348" s="9"/>
      <c r="BD348" s="9"/>
      <c r="BE348" s="9"/>
      <c r="BF348" s="9"/>
      <c r="BG348" s="9"/>
      <c r="BH348" s="9"/>
      <c r="BI348" s="9"/>
      <c r="BJ348" s="9"/>
      <c r="BK348" s="9"/>
      <c r="BL348" s="9"/>
      <c r="BM348" s="9"/>
      <c r="BN348" s="9"/>
      <c r="BO348" s="9"/>
      <c r="BP348" s="9"/>
      <c r="BQ348" s="9"/>
      <c r="BR348" s="9"/>
      <c r="BS348" s="9"/>
      <c r="BT348" s="9"/>
      <c r="BU348" s="9"/>
      <c r="BV348" s="9"/>
      <c r="BW348" s="9"/>
      <c r="BX348" s="9"/>
      <c r="BY348" s="9"/>
      <c r="BZ348" s="9"/>
      <c r="CA348" s="9"/>
      <c r="CB348" s="9"/>
      <c r="CC348" s="9"/>
      <c r="CD348" s="9"/>
      <c r="CE348" s="9"/>
      <c r="CF348" s="9"/>
      <c r="CG348" s="9"/>
      <c r="CH348" s="9"/>
      <c r="CI348" s="9"/>
      <c r="CJ348" s="9"/>
      <c r="CK348" s="9"/>
      <c r="CL348" s="9"/>
      <c r="CM348" s="9"/>
      <c r="CN348" s="9"/>
      <c r="CO348" s="9"/>
      <c r="CP348" s="9"/>
      <c r="CQ348" s="9"/>
      <c r="CR348" s="9"/>
      <c r="CS348" s="9"/>
      <c r="CT348" s="9"/>
      <c r="CU348" s="9"/>
      <c r="CV348" s="9"/>
      <c r="CW348" s="9"/>
      <c r="CX348" s="9"/>
      <c r="CY348" s="9"/>
      <c r="CZ348" s="9"/>
      <c r="DA348" s="9"/>
      <c r="DB348" s="9"/>
      <c r="DC348" s="9"/>
      <c r="DD348" s="9"/>
      <c r="DE348" s="9"/>
      <c r="DF348" s="9"/>
      <c r="DG348" s="9"/>
      <c r="DH348" s="9"/>
      <c r="DI348" s="9"/>
      <c r="DJ348" s="9"/>
      <c r="DK348" s="9"/>
      <c r="DL348" s="9"/>
      <c r="DM348" s="9"/>
      <c r="DN348" s="9"/>
      <c r="DO348" s="9"/>
      <c r="DP348" s="9"/>
    </row>
    <row r="349" spans="7:120" x14ac:dyDescent="0.2">
      <c r="G349" s="8" t="s">
        <v>461</v>
      </c>
      <c r="H349" s="9"/>
      <c r="I349" s="9"/>
      <c r="J349" s="9"/>
      <c r="K349" s="9"/>
      <c r="L349" s="9"/>
      <c r="M349" s="9"/>
      <c r="N349" s="9"/>
      <c r="O349" s="9"/>
      <c r="P349" s="9"/>
      <c r="Q349" s="9">
        <v>88408.59</v>
      </c>
      <c r="R349" s="9">
        <f t="shared" si="398"/>
        <v>488.44524861878449</v>
      </c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9"/>
      <c r="AX349" s="9"/>
      <c r="AY349" s="9"/>
      <c r="AZ349" s="9"/>
      <c r="BA349" s="9"/>
      <c r="BB349" s="9"/>
      <c r="BC349" s="9"/>
      <c r="BD349" s="9"/>
      <c r="BE349" s="9"/>
      <c r="BF349" s="9"/>
      <c r="BG349" s="9"/>
      <c r="BH349" s="9"/>
      <c r="BI349" s="9"/>
      <c r="BJ349" s="9"/>
      <c r="BK349" s="9"/>
      <c r="BL349" s="9"/>
      <c r="BM349" s="9"/>
      <c r="BN349" s="9"/>
      <c r="BO349" s="9"/>
      <c r="BP349" s="9"/>
      <c r="BQ349" s="9"/>
      <c r="BR349" s="9"/>
      <c r="BS349" s="9"/>
      <c r="BT349" s="9"/>
      <c r="BU349" s="9"/>
      <c r="BV349" s="9"/>
      <c r="BW349" s="9"/>
      <c r="BX349" s="9"/>
      <c r="BY349" s="9"/>
      <c r="BZ349" s="9"/>
      <c r="CA349" s="9"/>
      <c r="CB349" s="9"/>
      <c r="CC349" s="9"/>
      <c r="CD349" s="9"/>
      <c r="CE349" s="9"/>
      <c r="CF349" s="9"/>
      <c r="CG349" s="9"/>
      <c r="CH349" s="9"/>
      <c r="CI349" s="9"/>
      <c r="CJ349" s="9"/>
      <c r="CK349" s="9"/>
      <c r="CL349" s="9"/>
      <c r="CM349" s="9"/>
      <c r="CN349" s="9"/>
      <c r="CO349" s="9"/>
      <c r="CP349" s="9"/>
      <c r="CQ349" s="9"/>
      <c r="CR349" s="9"/>
      <c r="CS349" s="9"/>
      <c r="CT349" s="9"/>
      <c r="CU349" s="9"/>
      <c r="CV349" s="9"/>
      <c r="CW349" s="9"/>
      <c r="CX349" s="9"/>
      <c r="CY349" s="9"/>
      <c r="CZ349" s="9"/>
      <c r="DA349" s="9"/>
      <c r="DB349" s="9"/>
      <c r="DC349" s="9"/>
      <c r="DD349" s="9"/>
      <c r="DE349" s="9"/>
      <c r="DF349" s="9"/>
      <c r="DG349" s="9"/>
      <c r="DH349" s="9"/>
      <c r="DI349" s="9"/>
      <c r="DJ349" s="9"/>
      <c r="DK349" s="9"/>
      <c r="DL349" s="9"/>
      <c r="DM349" s="9"/>
      <c r="DN349" s="9"/>
      <c r="DO349" s="9"/>
      <c r="DP349" s="9"/>
    </row>
    <row r="350" spans="7:120" x14ac:dyDescent="0.2">
      <c r="G350" s="8" t="s">
        <v>462</v>
      </c>
      <c r="H350" s="9">
        <v>161391.78</v>
      </c>
      <c r="I350" s="9">
        <f>H350/365</f>
        <v>442.16926027397261</v>
      </c>
      <c r="J350" s="9"/>
      <c r="K350" s="9">
        <v>65301.41</v>
      </c>
      <c r="L350" s="9">
        <f>K350/366</f>
        <v>178.41915300546449</v>
      </c>
      <c r="M350" s="9"/>
      <c r="N350" s="9">
        <v>17065.169999999998</v>
      </c>
      <c r="O350" s="9">
        <f>N350/365</f>
        <v>46.753890410958903</v>
      </c>
      <c r="P350" s="9"/>
      <c r="Q350" s="9">
        <v>5371.72</v>
      </c>
      <c r="R350" s="9">
        <f t="shared" si="398"/>
        <v>29.678011049723757</v>
      </c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9"/>
      <c r="AX350" s="9"/>
      <c r="AY350" s="9"/>
      <c r="AZ350" s="9"/>
      <c r="BA350" s="9"/>
      <c r="BB350" s="9"/>
      <c r="BC350" s="9"/>
      <c r="BD350" s="9"/>
      <c r="BE350" s="9"/>
      <c r="BF350" s="9"/>
      <c r="BG350" s="9"/>
      <c r="BH350" s="9"/>
      <c r="BI350" s="9"/>
      <c r="BJ350" s="9"/>
      <c r="BK350" s="9"/>
      <c r="BL350" s="9"/>
      <c r="BM350" s="9"/>
      <c r="BN350" s="9"/>
      <c r="BO350" s="9"/>
      <c r="BP350" s="9"/>
      <c r="BQ350" s="9"/>
      <c r="BR350" s="9"/>
      <c r="BS350" s="9"/>
      <c r="BT350" s="9"/>
      <c r="BU350" s="9"/>
      <c r="BV350" s="9"/>
      <c r="BW350" s="9"/>
      <c r="BX350" s="9"/>
      <c r="BY350" s="9"/>
      <c r="BZ350" s="9"/>
      <c r="CA350" s="9"/>
      <c r="CB350" s="9"/>
      <c r="CC350" s="9"/>
      <c r="CD350" s="9"/>
      <c r="CE350" s="9"/>
      <c r="CF350" s="9"/>
      <c r="CG350" s="9"/>
      <c r="CH350" s="9"/>
      <c r="CI350" s="9"/>
      <c r="CJ350" s="9"/>
      <c r="CK350" s="9"/>
      <c r="CL350" s="9"/>
      <c r="CM350" s="9"/>
      <c r="CN350" s="9"/>
      <c r="CO350" s="9"/>
      <c r="CP350" s="9"/>
      <c r="CQ350" s="9"/>
      <c r="CR350" s="9"/>
      <c r="CS350" s="9"/>
      <c r="CT350" s="9"/>
      <c r="CU350" s="9"/>
      <c r="CV350" s="9"/>
      <c r="CW350" s="9"/>
      <c r="CX350" s="9"/>
      <c r="CY350" s="9"/>
      <c r="CZ350" s="9"/>
      <c r="DA350" s="9"/>
      <c r="DB350" s="9"/>
      <c r="DC350" s="9"/>
      <c r="DD350" s="9"/>
      <c r="DE350" s="9"/>
      <c r="DF350" s="9"/>
      <c r="DG350" s="9"/>
      <c r="DH350" s="9"/>
      <c r="DI350" s="9"/>
      <c r="DJ350" s="9"/>
      <c r="DK350" s="9"/>
      <c r="DL350" s="9"/>
      <c r="DM350" s="9"/>
      <c r="DN350" s="9"/>
      <c r="DO350" s="9"/>
      <c r="DP350" s="9"/>
    </row>
    <row r="351" spans="7:120" x14ac:dyDescent="0.2">
      <c r="G351" s="8" t="s">
        <v>463</v>
      </c>
      <c r="H351" s="9">
        <v>45092.480000000003</v>
      </c>
      <c r="I351" s="9">
        <f>H351/365</f>
        <v>123.54104109589042</v>
      </c>
      <c r="J351" s="9"/>
      <c r="K351" s="9">
        <v>36680.129999999997</v>
      </c>
      <c r="L351" s="9">
        <f>K351/366</f>
        <v>100.2189344262295</v>
      </c>
      <c r="M351" s="9"/>
      <c r="N351" s="9">
        <v>30680.26</v>
      </c>
      <c r="O351" s="9">
        <f>N351/365</f>
        <v>84.055506849315066</v>
      </c>
      <c r="P351" s="9"/>
      <c r="Q351" s="9">
        <v>18593.91</v>
      </c>
      <c r="R351" s="9">
        <f t="shared" si="398"/>
        <v>102.72878453038673</v>
      </c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  <c r="AX351" s="9"/>
      <c r="AY351" s="9"/>
      <c r="AZ351" s="9"/>
      <c r="BA351" s="9"/>
      <c r="BB351" s="9"/>
      <c r="BC351" s="9"/>
      <c r="BD351" s="9"/>
      <c r="BE351" s="9"/>
      <c r="BF351" s="9"/>
      <c r="BG351" s="9"/>
      <c r="BH351" s="9"/>
      <c r="BI351" s="9"/>
      <c r="BJ351" s="9"/>
      <c r="BK351" s="9"/>
      <c r="BL351" s="9"/>
      <c r="BM351" s="9"/>
      <c r="BN351" s="9"/>
      <c r="BO351" s="9"/>
      <c r="BP351" s="9"/>
      <c r="BQ351" s="9"/>
      <c r="BR351" s="9"/>
      <c r="BS351" s="9"/>
      <c r="BT351" s="9"/>
      <c r="BU351" s="9"/>
      <c r="BV351" s="9"/>
      <c r="BW351" s="9"/>
      <c r="BX351" s="9"/>
      <c r="BY351" s="9"/>
      <c r="BZ351" s="9"/>
      <c r="CA351" s="9"/>
      <c r="CB351" s="9"/>
      <c r="CC351" s="9"/>
      <c r="CD351" s="9"/>
      <c r="CE351" s="9"/>
      <c r="CF351" s="9"/>
      <c r="CG351" s="9"/>
      <c r="CH351" s="9"/>
      <c r="CI351" s="9"/>
      <c r="CJ351" s="9"/>
      <c r="CK351" s="9"/>
      <c r="CL351" s="9"/>
      <c r="CM351" s="9"/>
      <c r="CN351" s="9"/>
      <c r="CO351" s="9"/>
      <c r="CP351" s="9"/>
      <c r="CQ351" s="9"/>
      <c r="CR351" s="9"/>
      <c r="CS351" s="9"/>
      <c r="CT351" s="9"/>
      <c r="CU351" s="9"/>
      <c r="CV351" s="9"/>
      <c r="CW351" s="9"/>
      <c r="CX351" s="9"/>
      <c r="CY351" s="9"/>
      <c r="CZ351" s="9"/>
      <c r="DA351" s="9"/>
      <c r="DB351" s="9"/>
      <c r="DC351" s="9"/>
      <c r="DD351" s="9"/>
      <c r="DE351" s="9"/>
      <c r="DF351" s="9"/>
      <c r="DG351" s="9"/>
      <c r="DH351" s="9"/>
      <c r="DI351" s="9"/>
      <c r="DJ351" s="9"/>
      <c r="DK351" s="9"/>
      <c r="DL351" s="9"/>
      <c r="DM351" s="9"/>
      <c r="DN351" s="9"/>
      <c r="DO351" s="9"/>
      <c r="DP351" s="9"/>
    </row>
    <row r="352" spans="7:120" x14ac:dyDescent="0.2">
      <c r="G352" s="8" t="s">
        <v>464</v>
      </c>
      <c r="H352" s="9"/>
      <c r="I352" s="9"/>
      <c r="J352" s="9"/>
      <c r="K352" s="9"/>
      <c r="L352" s="9"/>
      <c r="M352" s="9"/>
      <c r="N352" s="9">
        <v>78223.179999999993</v>
      </c>
      <c r="O352" s="9">
        <f>N352/365</f>
        <v>214.31008219178079</v>
      </c>
      <c r="P352" s="9"/>
      <c r="Q352" s="9">
        <v>6709.32</v>
      </c>
      <c r="R352" s="9">
        <f t="shared" si="398"/>
        <v>37.068066298342536</v>
      </c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  <c r="AX352" s="9"/>
      <c r="AY352" s="9"/>
      <c r="AZ352" s="9"/>
      <c r="BA352" s="9"/>
      <c r="BB352" s="9"/>
      <c r="BC352" s="9"/>
      <c r="BD352" s="9"/>
      <c r="BE352" s="9"/>
      <c r="BF352" s="9"/>
      <c r="BG352" s="9"/>
      <c r="BH352" s="9"/>
      <c r="BI352" s="9"/>
      <c r="BJ352" s="9"/>
      <c r="BK352" s="9"/>
      <c r="BL352" s="9"/>
      <c r="BM352" s="9"/>
      <c r="BN352" s="9"/>
      <c r="BO352" s="9"/>
      <c r="BP352" s="9"/>
      <c r="BQ352" s="9"/>
      <c r="BR352" s="9"/>
      <c r="BS352" s="9"/>
      <c r="BT352" s="9"/>
      <c r="BU352" s="9"/>
      <c r="BV352" s="9"/>
      <c r="BW352" s="9"/>
      <c r="BX352" s="9"/>
      <c r="BY352" s="9"/>
      <c r="BZ352" s="9"/>
      <c r="CA352" s="9"/>
      <c r="CB352" s="9"/>
      <c r="CC352" s="9"/>
      <c r="CD352" s="9"/>
      <c r="CE352" s="9"/>
      <c r="CF352" s="9"/>
      <c r="CG352" s="9"/>
      <c r="CH352" s="9"/>
      <c r="CI352" s="9"/>
      <c r="CJ352" s="9"/>
      <c r="CK352" s="9"/>
      <c r="CL352" s="9"/>
      <c r="CM352" s="9"/>
      <c r="CN352" s="9"/>
      <c r="CO352" s="9"/>
      <c r="CP352" s="9"/>
      <c r="CQ352" s="9"/>
      <c r="CR352" s="9"/>
      <c r="CS352" s="9"/>
      <c r="CT352" s="9"/>
      <c r="CU352" s="9"/>
      <c r="CV352" s="9"/>
      <c r="CW352" s="9"/>
      <c r="CX352" s="9"/>
      <c r="CY352" s="9"/>
      <c r="CZ352" s="9"/>
      <c r="DA352" s="9"/>
      <c r="DB352" s="9"/>
      <c r="DC352" s="9"/>
      <c r="DD352" s="9"/>
      <c r="DE352" s="9"/>
      <c r="DF352" s="9"/>
      <c r="DG352" s="9"/>
      <c r="DH352" s="9"/>
      <c r="DI352" s="9"/>
      <c r="DJ352" s="9"/>
      <c r="DK352" s="9"/>
      <c r="DL352" s="9"/>
      <c r="DM352" s="9"/>
      <c r="DN352" s="9"/>
      <c r="DO352" s="9"/>
      <c r="DP352" s="9"/>
    </row>
    <row r="353" spans="7:120" x14ac:dyDescent="0.2">
      <c r="G353" s="8" t="s">
        <v>465</v>
      </c>
      <c r="H353" s="9">
        <v>63817.19</v>
      </c>
      <c r="I353" s="9">
        <f>H353/365</f>
        <v>174.84161643835617</v>
      </c>
      <c r="J353" s="9"/>
      <c r="K353" s="9">
        <v>38604.9</v>
      </c>
      <c r="L353" s="9">
        <f>K353/366</f>
        <v>105.47786885245903</v>
      </c>
      <c r="M353" s="9"/>
      <c r="N353" s="9">
        <v>31201.35</v>
      </c>
      <c r="O353" s="9">
        <f>N353/365</f>
        <v>85.483150684931502</v>
      </c>
      <c r="P353" s="9"/>
      <c r="Q353" s="9">
        <v>8990.9699999999993</v>
      </c>
      <c r="R353" s="9">
        <f t="shared" si="398"/>
        <v>49.673867403314915</v>
      </c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9"/>
      <c r="AX353" s="9"/>
      <c r="AY353" s="9"/>
      <c r="AZ353" s="9"/>
      <c r="BA353" s="9"/>
      <c r="BB353" s="9"/>
      <c r="BC353" s="9"/>
      <c r="BD353" s="9"/>
      <c r="BE353" s="9"/>
      <c r="BF353" s="9"/>
      <c r="BG353" s="9"/>
      <c r="BH353" s="9"/>
      <c r="BI353" s="9"/>
      <c r="BJ353" s="9"/>
      <c r="BK353" s="9"/>
      <c r="BL353" s="9"/>
      <c r="BM353" s="9"/>
      <c r="BN353" s="9"/>
      <c r="BO353" s="9"/>
      <c r="BP353" s="9"/>
      <c r="BQ353" s="9"/>
      <c r="BR353" s="9"/>
      <c r="BS353" s="9"/>
      <c r="BT353" s="9"/>
      <c r="BU353" s="9"/>
      <c r="BV353" s="9"/>
      <c r="BW353" s="9"/>
      <c r="BX353" s="9"/>
      <c r="BY353" s="9"/>
      <c r="BZ353" s="9"/>
      <c r="CA353" s="9"/>
      <c r="CB353" s="9"/>
      <c r="CC353" s="9"/>
      <c r="CD353" s="9"/>
      <c r="CE353" s="9"/>
      <c r="CF353" s="9"/>
      <c r="CG353" s="9"/>
      <c r="CH353" s="9"/>
      <c r="CI353" s="9"/>
      <c r="CJ353" s="9"/>
      <c r="CK353" s="9"/>
      <c r="CL353" s="9"/>
      <c r="CM353" s="9"/>
      <c r="CN353" s="9"/>
      <c r="CO353" s="9"/>
      <c r="CP353" s="9"/>
      <c r="CQ353" s="9"/>
      <c r="CR353" s="9"/>
      <c r="CS353" s="9"/>
      <c r="CT353" s="9"/>
      <c r="CU353" s="9"/>
      <c r="CV353" s="9"/>
      <c r="CW353" s="9"/>
      <c r="CX353" s="9"/>
      <c r="CY353" s="9"/>
      <c r="CZ353" s="9"/>
      <c r="DA353" s="9"/>
      <c r="DB353" s="9"/>
      <c r="DC353" s="9"/>
      <c r="DD353" s="9"/>
      <c r="DE353" s="9"/>
      <c r="DF353" s="9"/>
      <c r="DG353" s="9"/>
      <c r="DH353" s="9"/>
      <c r="DI353" s="9"/>
      <c r="DJ353" s="9"/>
      <c r="DK353" s="9"/>
      <c r="DL353" s="9"/>
      <c r="DM353" s="9"/>
      <c r="DN353" s="9"/>
      <c r="DO353" s="9"/>
      <c r="DP353" s="9"/>
    </row>
    <row r="354" spans="7:120" x14ac:dyDescent="0.2">
      <c r="G354" s="8" t="s">
        <v>466</v>
      </c>
      <c r="H354" s="9"/>
      <c r="I354" s="9"/>
      <c r="J354" s="9"/>
      <c r="K354" s="9"/>
      <c r="L354" s="9"/>
      <c r="M354" s="9"/>
      <c r="N354" s="9"/>
      <c r="O354" s="9"/>
      <c r="P354" s="9"/>
      <c r="Q354" s="9">
        <v>78322.539999999994</v>
      </c>
      <c r="R354" s="9">
        <f t="shared" si="398"/>
        <v>432.72121546961324</v>
      </c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  <c r="AX354" s="9"/>
      <c r="AY354" s="9"/>
      <c r="AZ354" s="9"/>
      <c r="BA354" s="9"/>
      <c r="BB354" s="9"/>
      <c r="BC354" s="9"/>
      <c r="BD354" s="9"/>
      <c r="BE354" s="9"/>
      <c r="BF354" s="9"/>
      <c r="BG354" s="9"/>
      <c r="BH354" s="9"/>
      <c r="BI354" s="9"/>
      <c r="BJ354" s="9"/>
      <c r="BK354" s="9"/>
      <c r="BL354" s="9"/>
      <c r="BM354" s="9"/>
      <c r="BN354" s="9"/>
      <c r="BO354" s="9"/>
      <c r="BP354" s="9"/>
      <c r="BQ354" s="9"/>
      <c r="BR354" s="9"/>
      <c r="BS354" s="9"/>
      <c r="BT354" s="9"/>
      <c r="BU354" s="9"/>
      <c r="BV354" s="9"/>
      <c r="BW354" s="9"/>
      <c r="BX354" s="9"/>
      <c r="BY354" s="9"/>
      <c r="BZ354" s="9"/>
      <c r="CA354" s="9"/>
      <c r="CB354" s="9"/>
      <c r="CC354" s="9"/>
      <c r="CD354" s="9"/>
      <c r="CE354" s="9"/>
      <c r="CF354" s="9"/>
      <c r="CG354" s="9"/>
      <c r="CH354" s="9"/>
      <c r="CI354" s="9"/>
      <c r="CJ354" s="9"/>
      <c r="CK354" s="9"/>
      <c r="CL354" s="9"/>
      <c r="CM354" s="9"/>
      <c r="CN354" s="9"/>
      <c r="CO354" s="9"/>
      <c r="CP354" s="9"/>
      <c r="CQ354" s="9"/>
      <c r="CR354" s="9"/>
      <c r="CS354" s="9"/>
      <c r="CT354" s="9"/>
      <c r="CU354" s="9"/>
      <c r="CV354" s="9"/>
      <c r="CW354" s="9"/>
      <c r="CX354" s="9"/>
      <c r="CY354" s="9"/>
      <c r="CZ354" s="9"/>
      <c r="DA354" s="9"/>
      <c r="DB354" s="9"/>
      <c r="DC354" s="9"/>
      <c r="DD354" s="9"/>
      <c r="DE354" s="9"/>
      <c r="DF354" s="9"/>
      <c r="DG354" s="9"/>
      <c r="DH354" s="9"/>
      <c r="DI354" s="9"/>
      <c r="DJ354" s="9"/>
      <c r="DK354" s="9"/>
      <c r="DL354" s="9"/>
      <c r="DM354" s="9"/>
      <c r="DN354" s="9"/>
      <c r="DO354" s="9"/>
      <c r="DP354" s="9"/>
    </row>
    <row r="355" spans="7:120" x14ac:dyDescent="0.2">
      <c r="G355" s="8" t="s">
        <v>467</v>
      </c>
      <c r="H355" s="9"/>
      <c r="I355" s="9"/>
      <c r="J355" s="9"/>
      <c r="K355" s="9"/>
      <c r="L355" s="9"/>
      <c r="M355" s="9"/>
      <c r="N355" s="9"/>
      <c r="O355" s="9"/>
      <c r="P355" s="9"/>
      <c r="Q355" s="9">
        <v>54768.69</v>
      </c>
      <c r="R355" s="9">
        <f t="shared" si="398"/>
        <v>302.58944751381216</v>
      </c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  <c r="AX355" s="9"/>
      <c r="AY355" s="9"/>
      <c r="AZ355" s="9"/>
      <c r="BA355" s="9"/>
      <c r="BB355" s="9"/>
      <c r="BC355" s="9"/>
      <c r="BD355" s="9"/>
      <c r="BE355" s="9"/>
      <c r="BF355" s="9"/>
      <c r="BG355" s="9"/>
      <c r="BH355" s="9"/>
      <c r="BI355" s="9"/>
      <c r="BJ355" s="9"/>
      <c r="BK355" s="9"/>
      <c r="BL355" s="9"/>
      <c r="BM355" s="9"/>
      <c r="BN355" s="9"/>
      <c r="BO355" s="9"/>
      <c r="BP355" s="9"/>
      <c r="BQ355" s="9"/>
      <c r="BR355" s="9"/>
      <c r="BS355" s="9"/>
      <c r="BT355" s="9"/>
      <c r="BU355" s="9"/>
      <c r="BV355" s="9"/>
      <c r="BW355" s="9"/>
      <c r="BX355" s="9"/>
      <c r="BY355" s="9"/>
      <c r="BZ355" s="9"/>
      <c r="CA355" s="9"/>
      <c r="CB355" s="9"/>
      <c r="CC355" s="9"/>
      <c r="CD355" s="9"/>
      <c r="CE355" s="9"/>
      <c r="CF355" s="9"/>
      <c r="CG355" s="9"/>
      <c r="CH355" s="9"/>
      <c r="CI355" s="9"/>
      <c r="CJ355" s="9"/>
      <c r="CK355" s="9"/>
      <c r="CL355" s="9"/>
      <c r="CM355" s="9"/>
      <c r="CN355" s="9"/>
      <c r="CO355" s="9"/>
      <c r="CP355" s="9"/>
      <c r="CQ355" s="9"/>
      <c r="CR355" s="9"/>
      <c r="CS355" s="9"/>
      <c r="CT355" s="9"/>
      <c r="CU355" s="9"/>
      <c r="CV355" s="9"/>
      <c r="CW355" s="9"/>
      <c r="CX355" s="9"/>
      <c r="CY355" s="9"/>
      <c r="CZ355" s="9"/>
      <c r="DA355" s="9"/>
      <c r="DB355" s="9"/>
      <c r="DC355" s="9"/>
      <c r="DD355" s="9"/>
      <c r="DE355" s="9"/>
      <c r="DF355" s="9"/>
      <c r="DG355" s="9"/>
      <c r="DH355" s="9"/>
      <c r="DI355" s="9"/>
      <c r="DJ355" s="9"/>
      <c r="DK355" s="9"/>
      <c r="DL355" s="9"/>
      <c r="DM355" s="9"/>
      <c r="DN355" s="9"/>
      <c r="DO355" s="9"/>
      <c r="DP355" s="9"/>
    </row>
    <row r="356" spans="7:120" x14ac:dyDescent="0.2">
      <c r="G356" s="8" t="s">
        <v>468</v>
      </c>
      <c r="H356" s="9">
        <v>78457.75</v>
      </c>
      <c r="I356" s="9">
        <f>H356/365</f>
        <v>214.9527397260274</v>
      </c>
      <c r="J356" s="9"/>
      <c r="K356" s="9">
        <v>43833.1</v>
      </c>
      <c r="L356" s="9">
        <f>K356/366</f>
        <v>119.76256830601092</v>
      </c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9"/>
      <c r="AX356" s="9"/>
      <c r="AY356" s="9"/>
      <c r="AZ356" s="9"/>
      <c r="BA356" s="9"/>
      <c r="BB356" s="9"/>
      <c r="BC356" s="9"/>
      <c r="BD356" s="9"/>
      <c r="BE356" s="9"/>
      <c r="BF356" s="9"/>
      <c r="BG356" s="9"/>
      <c r="BH356" s="9"/>
      <c r="BI356" s="9"/>
      <c r="BJ356" s="9"/>
      <c r="BK356" s="9"/>
      <c r="BL356" s="9"/>
      <c r="BM356" s="9"/>
      <c r="BN356" s="9"/>
      <c r="BO356" s="9"/>
      <c r="BP356" s="9"/>
      <c r="BQ356" s="9"/>
      <c r="BR356" s="9"/>
      <c r="BS356" s="9"/>
      <c r="BT356" s="9"/>
      <c r="BU356" s="9"/>
      <c r="BV356" s="9"/>
      <c r="BW356" s="9"/>
      <c r="BX356" s="9"/>
      <c r="BY356" s="9"/>
      <c r="BZ356" s="9"/>
      <c r="CA356" s="9"/>
      <c r="CB356" s="9"/>
      <c r="CC356" s="9"/>
      <c r="CD356" s="9"/>
      <c r="CE356" s="9"/>
      <c r="CF356" s="9"/>
      <c r="CG356" s="9"/>
      <c r="CH356" s="9"/>
      <c r="CI356" s="9"/>
      <c r="CJ356" s="9"/>
      <c r="CK356" s="9"/>
      <c r="CL356" s="9"/>
      <c r="CM356" s="9"/>
      <c r="CN356" s="9"/>
      <c r="CO356" s="9"/>
      <c r="CP356" s="9"/>
      <c r="CQ356" s="9"/>
      <c r="CR356" s="9"/>
      <c r="CS356" s="9"/>
      <c r="CT356" s="9"/>
      <c r="CU356" s="9"/>
      <c r="CV356" s="9"/>
      <c r="CW356" s="9"/>
      <c r="CX356" s="9"/>
      <c r="CY356" s="9"/>
      <c r="CZ356" s="9"/>
      <c r="DA356" s="9"/>
      <c r="DB356" s="9"/>
      <c r="DC356" s="9"/>
      <c r="DD356" s="9"/>
      <c r="DE356" s="9"/>
      <c r="DF356" s="9"/>
      <c r="DG356" s="9"/>
      <c r="DH356" s="9"/>
      <c r="DI356" s="9"/>
      <c r="DJ356" s="9"/>
      <c r="DK356" s="9"/>
      <c r="DL356" s="9"/>
      <c r="DM356" s="9"/>
      <c r="DN356" s="9"/>
      <c r="DO356" s="9"/>
      <c r="DP356" s="9"/>
    </row>
    <row r="357" spans="7:120" x14ac:dyDescent="0.2">
      <c r="G357" s="8" t="s">
        <v>469</v>
      </c>
      <c r="H357" s="9">
        <v>103815.22</v>
      </c>
      <c r="I357" s="9">
        <f>H357/365</f>
        <v>284.42526027397258</v>
      </c>
      <c r="J357" s="9"/>
      <c r="K357" s="9">
        <v>38608.879999999997</v>
      </c>
      <c r="L357" s="9">
        <f>K357/366</f>
        <v>105.4887431693989</v>
      </c>
      <c r="M357" s="9"/>
      <c r="N357" s="9">
        <v>8.18</v>
      </c>
      <c r="O357" s="9">
        <f>N357/365</f>
        <v>2.2410958904109587E-2</v>
      </c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9"/>
      <c r="AX357" s="9"/>
      <c r="AY357" s="9"/>
      <c r="AZ357" s="9"/>
      <c r="BA357" s="9"/>
      <c r="BB357" s="9"/>
      <c r="BC357" s="9"/>
      <c r="BD357" s="9"/>
      <c r="BE357" s="9"/>
      <c r="BF357" s="9"/>
      <c r="BG357" s="9"/>
      <c r="BH357" s="9"/>
      <c r="BI357" s="9"/>
      <c r="BJ357" s="9"/>
      <c r="BK357" s="9"/>
      <c r="BL357" s="9"/>
      <c r="BM357" s="9"/>
      <c r="BN357" s="9"/>
      <c r="BO357" s="9"/>
      <c r="BP357" s="9"/>
      <c r="BQ357" s="9"/>
      <c r="BR357" s="9"/>
      <c r="BS357" s="9"/>
      <c r="BT357" s="9"/>
      <c r="BU357" s="9"/>
      <c r="BV357" s="9"/>
      <c r="BW357" s="9"/>
      <c r="BX357" s="9"/>
      <c r="BY357" s="9"/>
      <c r="BZ357" s="9"/>
      <c r="CA357" s="9"/>
      <c r="CB357" s="9"/>
      <c r="CC357" s="9"/>
      <c r="CD357" s="9"/>
      <c r="CE357" s="9"/>
      <c r="CF357" s="9"/>
      <c r="CG357" s="9"/>
      <c r="CH357" s="9"/>
      <c r="CI357" s="9"/>
      <c r="CJ357" s="9"/>
      <c r="CK357" s="9"/>
      <c r="CL357" s="9"/>
      <c r="CM357" s="9"/>
      <c r="CN357" s="9"/>
      <c r="CO357" s="9"/>
      <c r="CP357" s="9"/>
      <c r="CQ357" s="9"/>
      <c r="CR357" s="9"/>
      <c r="CS357" s="9"/>
      <c r="CT357" s="9"/>
      <c r="CU357" s="9"/>
      <c r="CV357" s="9"/>
      <c r="CW357" s="9"/>
      <c r="CX357" s="9"/>
      <c r="CY357" s="9"/>
      <c r="CZ357" s="9"/>
      <c r="DA357" s="9"/>
      <c r="DB357" s="9"/>
      <c r="DC357" s="9"/>
      <c r="DD357" s="9"/>
      <c r="DE357" s="9"/>
      <c r="DF357" s="9"/>
      <c r="DG357" s="9"/>
      <c r="DH357" s="9"/>
      <c r="DI357" s="9"/>
      <c r="DJ357" s="9"/>
      <c r="DK357" s="9"/>
      <c r="DL357" s="9"/>
      <c r="DM357" s="9"/>
      <c r="DN357" s="9"/>
      <c r="DO357" s="9"/>
      <c r="DP357" s="9"/>
    </row>
    <row r="358" spans="7:120" x14ac:dyDescent="0.2">
      <c r="G358" s="8" t="s">
        <v>470</v>
      </c>
      <c r="H358" s="9">
        <v>3493.44</v>
      </c>
      <c r="I358" s="9">
        <f>H358/365</f>
        <v>9.5710684931506851</v>
      </c>
      <c r="J358" s="9"/>
      <c r="K358" s="9">
        <v>22461.200000000001</v>
      </c>
      <c r="L358" s="9">
        <f>K358/366</f>
        <v>61.369398907103829</v>
      </c>
      <c r="M358" s="9"/>
      <c r="N358" s="9">
        <v>14389.71</v>
      </c>
      <c r="O358" s="9">
        <f>N358/365</f>
        <v>39.423863013698629</v>
      </c>
      <c r="P358" s="9"/>
      <c r="Q358" s="9">
        <v>1338.38</v>
      </c>
      <c r="R358" s="9">
        <f>Q358/181</f>
        <v>7.3943646408839783</v>
      </c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  <c r="AW358" s="9"/>
      <c r="AX358" s="9"/>
      <c r="AY358" s="9"/>
      <c r="AZ358" s="9"/>
      <c r="BA358" s="9"/>
      <c r="BB358" s="9"/>
      <c r="BC358" s="9"/>
      <c r="BD358" s="9"/>
      <c r="BE358" s="9"/>
      <c r="BF358" s="9"/>
      <c r="BG358" s="9"/>
      <c r="BH358" s="9"/>
      <c r="BI358" s="9"/>
      <c r="BJ358" s="9"/>
      <c r="BK358" s="9"/>
      <c r="BL358" s="9"/>
      <c r="BM358" s="9"/>
      <c r="BN358" s="9"/>
      <c r="BO358" s="9"/>
      <c r="BP358" s="9"/>
      <c r="BQ358" s="9"/>
      <c r="BR358" s="9"/>
      <c r="BS358" s="9"/>
      <c r="BT358" s="9"/>
      <c r="BU358" s="9"/>
      <c r="BV358" s="9"/>
      <c r="BW358" s="9"/>
      <c r="BX358" s="9"/>
      <c r="BY358" s="9"/>
      <c r="BZ358" s="9"/>
      <c r="CA358" s="9"/>
      <c r="CB358" s="9"/>
      <c r="CC358" s="9"/>
      <c r="CD358" s="9"/>
      <c r="CE358" s="9"/>
      <c r="CF358" s="9"/>
      <c r="CG358" s="9"/>
      <c r="CH358" s="9"/>
      <c r="CI358" s="9"/>
      <c r="CJ358" s="9"/>
      <c r="CK358" s="9"/>
      <c r="CL358" s="9"/>
      <c r="CM358" s="9"/>
      <c r="CN358" s="9"/>
      <c r="CO358" s="9"/>
      <c r="CP358" s="9"/>
      <c r="CQ358" s="9"/>
      <c r="CR358" s="9"/>
      <c r="CS358" s="9"/>
      <c r="CT358" s="9"/>
      <c r="CU358" s="9"/>
      <c r="CV358" s="9"/>
      <c r="CW358" s="9"/>
      <c r="CX358" s="9"/>
      <c r="CY358" s="9"/>
      <c r="CZ358" s="9"/>
      <c r="DA358" s="9"/>
      <c r="DB358" s="9"/>
      <c r="DC358" s="9"/>
      <c r="DD358" s="9"/>
      <c r="DE358" s="9"/>
      <c r="DF358" s="9"/>
      <c r="DG358" s="9"/>
      <c r="DH358" s="9"/>
      <c r="DI358" s="9"/>
      <c r="DJ358" s="9"/>
      <c r="DK358" s="9"/>
      <c r="DL358" s="9"/>
      <c r="DM358" s="9"/>
      <c r="DN358" s="9"/>
      <c r="DO358" s="9"/>
      <c r="DP358" s="9"/>
    </row>
    <row r="359" spans="7:120" x14ac:dyDescent="0.2">
      <c r="G359" s="8" t="s">
        <v>471</v>
      </c>
      <c r="H359" s="9">
        <v>66413.13</v>
      </c>
      <c r="I359" s="9">
        <f>H359/365</f>
        <v>181.95378082191783</v>
      </c>
      <c r="J359" s="9"/>
      <c r="K359" s="9">
        <v>36370</v>
      </c>
      <c r="L359" s="9">
        <f>K359/366</f>
        <v>99.37158469945355</v>
      </c>
      <c r="M359" s="9"/>
      <c r="N359" s="9">
        <v>112.18</v>
      </c>
      <c r="O359" s="9">
        <f>N359/365</f>
        <v>0.30734246575342467</v>
      </c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  <c r="AX359" s="9"/>
      <c r="AY359" s="9"/>
      <c r="AZ359" s="9"/>
      <c r="BA359" s="9"/>
      <c r="BB359" s="9"/>
      <c r="BC359" s="9"/>
      <c r="BD359" s="9"/>
      <c r="BE359" s="9"/>
      <c r="BF359" s="9"/>
      <c r="BG359" s="9"/>
      <c r="BH359" s="9"/>
      <c r="BI359" s="9"/>
      <c r="BJ359" s="9"/>
      <c r="BK359" s="9"/>
      <c r="BL359" s="9"/>
      <c r="BM359" s="9"/>
      <c r="BN359" s="9"/>
      <c r="BO359" s="9"/>
      <c r="BP359" s="9"/>
      <c r="BQ359" s="9"/>
      <c r="BR359" s="9"/>
      <c r="BS359" s="9"/>
      <c r="BT359" s="9"/>
      <c r="BU359" s="9"/>
      <c r="BV359" s="9"/>
      <c r="BW359" s="9"/>
      <c r="BX359" s="9"/>
      <c r="BY359" s="9"/>
      <c r="BZ359" s="9"/>
      <c r="CA359" s="9"/>
      <c r="CB359" s="9"/>
      <c r="CC359" s="9"/>
      <c r="CD359" s="9"/>
      <c r="CE359" s="9"/>
      <c r="CF359" s="9"/>
      <c r="CG359" s="9"/>
      <c r="CH359" s="9"/>
      <c r="CI359" s="9"/>
      <c r="CJ359" s="9"/>
      <c r="CK359" s="9"/>
      <c r="CL359" s="9"/>
      <c r="CM359" s="9"/>
      <c r="CN359" s="9"/>
      <c r="CO359" s="9"/>
      <c r="CP359" s="9"/>
      <c r="CQ359" s="9"/>
      <c r="CR359" s="9"/>
      <c r="CS359" s="9"/>
      <c r="CT359" s="9"/>
      <c r="CU359" s="9"/>
      <c r="CV359" s="9"/>
      <c r="CW359" s="9"/>
      <c r="CX359" s="9"/>
      <c r="CY359" s="9"/>
      <c r="CZ359" s="9"/>
      <c r="DA359" s="9"/>
      <c r="DB359" s="9"/>
      <c r="DC359" s="9"/>
      <c r="DD359" s="9"/>
      <c r="DE359" s="9"/>
      <c r="DF359" s="9"/>
      <c r="DG359" s="9"/>
      <c r="DH359" s="9"/>
      <c r="DI359" s="9"/>
      <c r="DJ359" s="9"/>
      <c r="DK359" s="9"/>
      <c r="DL359" s="9"/>
      <c r="DM359" s="9"/>
      <c r="DN359" s="9"/>
      <c r="DO359" s="9"/>
      <c r="DP359" s="9"/>
    </row>
    <row r="360" spans="7:120" x14ac:dyDescent="0.2">
      <c r="G360" s="8" t="s">
        <v>472</v>
      </c>
      <c r="H360" s="9"/>
      <c r="I360" s="9"/>
      <c r="J360" s="9"/>
      <c r="K360" s="9"/>
      <c r="L360" s="9"/>
      <c r="M360" s="9"/>
      <c r="N360" s="9"/>
      <c r="O360" s="9"/>
      <c r="P360" s="9"/>
      <c r="Q360" s="9">
        <v>34146.959999999999</v>
      </c>
      <c r="R360" s="9">
        <f>Q360/181</f>
        <v>188.65723756906078</v>
      </c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  <c r="AX360" s="9"/>
      <c r="AY360" s="9"/>
      <c r="AZ360" s="9"/>
      <c r="BA360" s="9"/>
      <c r="BB360" s="9"/>
      <c r="BC360" s="9"/>
      <c r="BD360" s="9"/>
      <c r="BE360" s="9"/>
      <c r="BF360" s="9"/>
      <c r="BG360" s="9"/>
      <c r="BH360" s="9"/>
      <c r="BI360" s="9"/>
      <c r="BJ360" s="9"/>
      <c r="BK360" s="9"/>
      <c r="BL360" s="9"/>
      <c r="BM360" s="9"/>
      <c r="BN360" s="9"/>
      <c r="BO360" s="9"/>
      <c r="BP360" s="9"/>
      <c r="BQ360" s="9"/>
      <c r="BR360" s="9"/>
      <c r="BS360" s="9"/>
      <c r="BT360" s="9"/>
      <c r="BU360" s="9"/>
      <c r="BV360" s="9"/>
      <c r="BW360" s="9"/>
      <c r="BX360" s="9"/>
      <c r="BY360" s="9"/>
      <c r="BZ360" s="9"/>
      <c r="CA360" s="9"/>
      <c r="CB360" s="9"/>
      <c r="CC360" s="9"/>
      <c r="CD360" s="9"/>
      <c r="CE360" s="9"/>
      <c r="CF360" s="9"/>
      <c r="CG360" s="9"/>
      <c r="CH360" s="9"/>
      <c r="CI360" s="9"/>
      <c r="CJ360" s="9"/>
      <c r="CK360" s="9"/>
      <c r="CL360" s="9"/>
      <c r="CM360" s="9"/>
      <c r="CN360" s="9"/>
      <c r="CO360" s="9"/>
      <c r="CP360" s="9"/>
      <c r="CQ360" s="9"/>
      <c r="CR360" s="9"/>
      <c r="CS360" s="9"/>
      <c r="CT360" s="9"/>
      <c r="CU360" s="9"/>
      <c r="CV360" s="9"/>
      <c r="CW360" s="9"/>
      <c r="CX360" s="9"/>
      <c r="CY360" s="9"/>
      <c r="CZ360" s="9"/>
      <c r="DA360" s="9"/>
      <c r="DB360" s="9"/>
      <c r="DC360" s="9"/>
      <c r="DD360" s="9"/>
      <c r="DE360" s="9"/>
      <c r="DF360" s="9"/>
      <c r="DG360" s="9"/>
      <c r="DH360" s="9"/>
      <c r="DI360" s="9"/>
      <c r="DJ360" s="9"/>
      <c r="DK360" s="9"/>
      <c r="DL360" s="9"/>
      <c r="DM360" s="9"/>
      <c r="DN360" s="9"/>
      <c r="DO360" s="9"/>
      <c r="DP360" s="9"/>
    </row>
    <row r="361" spans="7:120" x14ac:dyDescent="0.2">
      <c r="G361" s="8" t="s">
        <v>473</v>
      </c>
      <c r="H361" s="9"/>
      <c r="I361" s="9"/>
      <c r="J361" s="9"/>
      <c r="K361" s="9">
        <v>1607.75</v>
      </c>
      <c r="L361" s="9">
        <f>K361/366</f>
        <v>4.3927595628415297</v>
      </c>
      <c r="M361" s="9"/>
      <c r="N361" s="9">
        <v>15085.8</v>
      </c>
      <c r="O361" s="9">
        <f>N361/365</f>
        <v>41.330958904109586</v>
      </c>
      <c r="P361" s="9"/>
      <c r="Q361" s="9">
        <v>13778.83</v>
      </c>
      <c r="R361" s="9">
        <f>Q361/181</f>
        <v>76.126132596685082</v>
      </c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9"/>
      <c r="AX361" s="9"/>
      <c r="AY361" s="9"/>
      <c r="AZ361" s="9"/>
      <c r="BA361" s="9"/>
      <c r="BB361" s="9"/>
      <c r="BC361" s="9"/>
      <c r="BD361" s="9"/>
      <c r="BE361" s="9"/>
      <c r="BF361" s="9"/>
      <c r="BG361" s="9"/>
      <c r="BH361" s="9"/>
      <c r="BI361" s="9"/>
      <c r="BJ361" s="9"/>
      <c r="BK361" s="9"/>
      <c r="BL361" s="9"/>
      <c r="BM361" s="9"/>
      <c r="BN361" s="9"/>
      <c r="BO361" s="9"/>
      <c r="BP361" s="9"/>
      <c r="BQ361" s="9"/>
      <c r="BR361" s="9"/>
      <c r="BS361" s="9"/>
      <c r="BT361" s="9"/>
      <c r="BU361" s="9"/>
      <c r="BV361" s="9"/>
      <c r="BW361" s="9"/>
      <c r="BX361" s="9"/>
      <c r="BY361" s="9"/>
      <c r="BZ361" s="9"/>
      <c r="CA361" s="9"/>
      <c r="CB361" s="9"/>
      <c r="CC361" s="9"/>
      <c r="CD361" s="9"/>
      <c r="CE361" s="9"/>
      <c r="CF361" s="9"/>
      <c r="CG361" s="9"/>
      <c r="CH361" s="9"/>
      <c r="CI361" s="9"/>
      <c r="CJ361" s="9"/>
      <c r="CK361" s="9"/>
      <c r="CL361" s="9"/>
      <c r="CM361" s="9"/>
      <c r="CN361" s="9"/>
      <c r="CO361" s="9"/>
      <c r="CP361" s="9"/>
      <c r="CQ361" s="9"/>
      <c r="CR361" s="9"/>
      <c r="CS361" s="9"/>
      <c r="CT361" s="9"/>
      <c r="CU361" s="9"/>
      <c r="CV361" s="9"/>
      <c r="CW361" s="9"/>
      <c r="CX361" s="9"/>
      <c r="CY361" s="9"/>
      <c r="CZ361" s="9"/>
      <c r="DA361" s="9"/>
      <c r="DB361" s="9"/>
      <c r="DC361" s="9"/>
      <c r="DD361" s="9"/>
      <c r="DE361" s="9"/>
      <c r="DF361" s="9"/>
      <c r="DG361" s="9"/>
      <c r="DH361" s="9"/>
      <c r="DI361" s="9"/>
      <c r="DJ361" s="9"/>
      <c r="DK361" s="9"/>
      <c r="DL361" s="9"/>
      <c r="DM361" s="9"/>
      <c r="DN361" s="9"/>
      <c r="DO361" s="9"/>
      <c r="DP361" s="9"/>
    </row>
    <row r="362" spans="7:120" x14ac:dyDescent="0.2">
      <c r="G362" s="8" t="s">
        <v>474</v>
      </c>
      <c r="H362" s="9">
        <v>14839.86</v>
      </c>
      <c r="I362" s="9">
        <f>H362/365</f>
        <v>40.657150684931509</v>
      </c>
      <c r="J362" s="9"/>
      <c r="K362" s="9">
        <v>15212.39</v>
      </c>
      <c r="L362" s="9">
        <f>K362/366</f>
        <v>41.563907103825137</v>
      </c>
      <c r="M362" s="9"/>
      <c r="N362" s="9">
        <v>10077.969999999999</v>
      </c>
      <c r="O362" s="9">
        <f>N362/365</f>
        <v>27.610876712328764</v>
      </c>
      <c r="P362" s="9"/>
      <c r="Q362" s="9">
        <v>4648.0200000000004</v>
      </c>
      <c r="R362" s="9">
        <f>Q362/181</f>
        <v>25.679668508287296</v>
      </c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  <c r="AW362" s="9"/>
      <c r="AX362" s="9"/>
      <c r="AY362" s="9"/>
      <c r="AZ362" s="9"/>
      <c r="BA362" s="9"/>
      <c r="BB362" s="9"/>
      <c r="BC362" s="9"/>
      <c r="BD362" s="9"/>
      <c r="BE362" s="9"/>
      <c r="BF362" s="9"/>
      <c r="BG362" s="9"/>
      <c r="BH362" s="9"/>
      <c r="BI362" s="9"/>
      <c r="BJ362" s="9"/>
      <c r="BK362" s="9"/>
      <c r="BL362" s="9"/>
      <c r="BM362" s="9"/>
      <c r="BN362" s="9"/>
      <c r="BO362" s="9"/>
      <c r="BP362" s="9"/>
      <c r="BQ362" s="9"/>
      <c r="BR362" s="9"/>
      <c r="BS362" s="9"/>
      <c r="BT362" s="9"/>
      <c r="BU362" s="9"/>
      <c r="BV362" s="9"/>
      <c r="BW362" s="9"/>
      <c r="BX362" s="9"/>
      <c r="BY362" s="9"/>
      <c r="BZ362" s="9"/>
      <c r="CA362" s="9"/>
      <c r="CB362" s="9"/>
      <c r="CC362" s="9"/>
      <c r="CD362" s="9"/>
      <c r="CE362" s="9"/>
      <c r="CF362" s="9"/>
      <c r="CG362" s="9"/>
      <c r="CH362" s="9"/>
      <c r="CI362" s="9"/>
      <c r="CJ362" s="9"/>
      <c r="CK362" s="9"/>
      <c r="CL362" s="9"/>
      <c r="CM362" s="9"/>
      <c r="CN362" s="9"/>
      <c r="CO362" s="9"/>
      <c r="CP362" s="9"/>
      <c r="CQ362" s="9"/>
      <c r="CR362" s="9"/>
      <c r="CS362" s="9"/>
      <c r="CT362" s="9"/>
      <c r="CU362" s="9"/>
      <c r="CV362" s="9"/>
      <c r="CW362" s="9"/>
      <c r="CX362" s="9"/>
      <c r="CY362" s="9"/>
      <c r="CZ362" s="9"/>
      <c r="DA362" s="9"/>
      <c r="DB362" s="9"/>
      <c r="DC362" s="9"/>
      <c r="DD362" s="9"/>
      <c r="DE362" s="9"/>
      <c r="DF362" s="9"/>
      <c r="DG362" s="9"/>
      <c r="DH362" s="9"/>
      <c r="DI362" s="9"/>
      <c r="DJ362" s="9"/>
      <c r="DK362" s="9"/>
      <c r="DL362" s="9"/>
      <c r="DM362" s="9"/>
      <c r="DN362" s="9"/>
      <c r="DO362" s="9"/>
      <c r="DP362" s="9"/>
    </row>
    <row r="363" spans="7:120" x14ac:dyDescent="0.2">
      <c r="G363" s="8" t="s">
        <v>475</v>
      </c>
      <c r="H363" s="9">
        <v>8291.51</v>
      </c>
      <c r="I363" s="9">
        <f>H363/365</f>
        <v>22.716465753424657</v>
      </c>
      <c r="J363" s="9"/>
      <c r="K363" s="9">
        <v>3645.02</v>
      </c>
      <c r="L363" s="9">
        <f>K363/366</f>
        <v>9.9590710382513663</v>
      </c>
      <c r="M363" s="9"/>
      <c r="N363" s="9"/>
      <c r="O363" s="9"/>
      <c r="P363" s="9"/>
      <c r="Q363" s="9">
        <v>13214.6</v>
      </c>
      <c r="R363" s="9">
        <f>Q363/181</f>
        <v>73.008839779005527</v>
      </c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9"/>
      <c r="AX363" s="9"/>
      <c r="AY363" s="9"/>
      <c r="AZ363" s="9"/>
      <c r="BA363" s="9"/>
      <c r="BB363" s="9"/>
      <c r="BC363" s="9"/>
      <c r="BD363" s="9"/>
      <c r="BE363" s="9"/>
      <c r="BF363" s="9"/>
      <c r="BG363" s="9"/>
      <c r="BH363" s="9"/>
      <c r="BI363" s="9"/>
      <c r="BJ363" s="9"/>
      <c r="BK363" s="9"/>
      <c r="BL363" s="9"/>
      <c r="BM363" s="9"/>
      <c r="BN363" s="9"/>
      <c r="BO363" s="9"/>
      <c r="BP363" s="9"/>
      <c r="BQ363" s="9"/>
      <c r="BR363" s="9"/>
      <c r="BS363" s="9"/>
      <c r="BT363" s="9"/>
      <c r="BU363" s="9"/>
      <c r="BV363" s="9"/>
      <c r="BW363" s="9"/>
      <c r="BX363" s="9"/>
      <c r="BY363" s="9"/>
      <c r="BZ363" s="9"/>
      <c r="CA363" s="9"/>
      <c r="CB363" s="9"/>
      <c r="CC363" s="9"/>
      <c r="CD363" s="9"/>
      <c r="CE363" s="9"/>
      <c r="CF363" s="9"/>
      <c r="CG363" s="9"/>
      <c r="CH363" s="9"/>
      <c r="CI363" s="9"/>
      <c r="CJ363" s="9"/>
      <c r="CK363" s="9"/>
      <c r="CL363" s="9"/>
      <c r="CM363" s="9"/>
      <c r="CN363" s="9"/>
      <c r="CO363" s="9"/>
      <c r="CP363" s="9"/>
      <c r="CQ363" s="9"/>
      <c r="CR363" s="9"/>
      <c r="CS363" s="9"/>
      <c r="CT363" s="9"/>
      <c r="CU363" s="9"/>
      <c r="CV363" s="9"/>
      <c r="CW363" s="9"/>
      <c r="CX363" s="9"/>
      <c r="CY363" s="9"/>
      <c r="CZ363" s="9"/>
      <c r="DA363" s="9"/>
      <c r="DB363" s="9"/>
      <c r="DC363" s="9"/>
      <c r="DD363" s="9"/>
      <c r="DE363" s="9"/>
      <c r="DF363" s="9"/>
      <c r="DG363" s="9"/>
      <c r="DH363" s="9"/>
      <c r="DI363" s="9"/>
      <c r="DJ363" s="9"/>
      <c r="DK363" s="9"/>
      <c r="DL363" s="9"/>
      <c r="DM363" s="9"/>
      <c r="DN363" s="9"/>
      <c r="DO363" s="9"/>
      <c r="DP363" s="9"/>
    </row>
    <row r="364" spans="7:120" x14ac:dyDescent="0.2">
      <c r="G364" s="8" t="s">
        <v>476</v>
      </c>
      <c r="H364" s="9"/>
      <c r="I364" s="9"/>
      <c r="J364" s="9"/>
      <c r="K364" s="9"/>
      <c r="L364" s="9"/>
      <c r="M364" s="9"/>
      <c r="N364" s="9"/>
      <c r="O364" s="9"/>
      <c r="P364" s="9"/>
      <c r="Q364" s="9">
        <v>14857.64</v>
      </c>
      <c r="R364" s="9">
        <f>Q364/181</f>
        <v>82.086408839778997</v>
      </c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  <c r="AX364" s="9"/>
      <c r="AY364" s="9"/>
      <c r="AZ364" s="9"/>
      <c r="BA364" s="9"/>
      <c r="BB364" s="9"/>
      <c r="BC364" s="9"/>
      <c r="BD364" s="9"/>
      <c r="BE364" s="9"/>
      <c r="BF364" s="9"/>
      <c r="BG364" s="9"/>
      <c r="BH364" s="9"/>
      <c r="BI364" s="9"/>
      <c r="BJ364" s="9"/>
      <c r="BK364" s="9"/>
      <c r="BL364" s="9"/>
      <c r="BM364" s="9"/>
      <c r="BN364" s="9"/>
      <c r="BO364" s="9"/>
      <c r="BP364" s="9"/>
      <c r="BQ364" s="9"/>
      <c r="BR364" s="9"/>
      <c r="BS364" s="9"/>
      <c r="BT364" s="9"/>
      <c r="BU364" s="9"/>
      <c r="BV364" s="9"/>
      <c r="BW364" s="9"/>
      <c r="BX364" s="9"/>
      <c r="BY364" s="9"/>
      <c r="BZ364" s="9"/>
      <c r="CA364" s="9"/>
      <c r="CB364" s="9"/>
      <c r="CC364" s="9"/>
      <c r="CD364" s="9"/>
      <c r="CE364" s="9"/>
      <c r="CF364" s="9"/>
      <c r="CG364" s="9"/>
      <c r="CH364" s="9"/>
      <c r="CI364" s="9"/>
      <c r="CJ364" s="9"/>
      <c r="CK364" s="9"/>
      <c r="CL364" s="9"/>
      <c r="CM364" s="9"/>
      <c r="CN364" s="9"/>
      <c r="CO364" s="9"/>
      <c r="CP364" s="9"/>
      <c r="CQ364" s="9"/>
      <c r="CR364" s="9"/>
      <c r="CS364" s="9"/>
      <c r="CT364" s="9"/>
      <c r="CU364" s="9"/>
      <c r="CV364" s="9"/>
      <c r="CW364" s="9"/>
      <c r="CX364" s="9"/>
      <c r="CY364" s="9"/>
      <c r="CZ364" s="9"/>
      <c r="DA364" s="9"/>
      <c r="DB364" s="9"/>
      <c r="DC364" s="9"/>
      <c r="DD364" s="9"/>
      <c r="DE364" s="9"/>
      <c r="DF364" s="9"/>
      <c r="DG364" s="9"/>
      <c r="DH364" s="9"/>
      <c r="DI364" s="9"/>
      <c r="DJ364" s="9"/>
      <c r="DK364" s="9"/>
      <c r="DL364" s="9"/>
      <c r="DM364" s="9"/>
      <c r="DN364" s="9"/>
      <c r="DO364" s="9"/>
      <c r="DP364" s="9"/>
    </row>
    <row r="365" spans="7:120" x14ac:dyDescent="0.2">
      <c r="G365" s="8" t="s">
        <v>477</v>
      </c>
      <c r="H365" s="9"/>
      <c r="I365" s="9"/>
      <c r="J365" s="9"/>
      <c r="K365" s="9"/>
      <c r="L365" s="9"/>
      <c r="M365" s="9"/>
      <c r="N365" s="9">
        <v>13683.01</v>
      </c>
      <c r="O365" s="9">
        <f>N365/365</f>
        <v>37.48769863013699</v>
      </c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  <c r="AX365" s="9"/>
      <c r="AY365" s="9"/>
      <c r="AZ365" s="9"/>
      <c r="BA365" s="9"/>
      <c r="BB365" s="9"/>
      <c r="BC365" s="9"/>
      <c r="BD365" s="9"/>
      <c r="BE365" s="9"/>
      <c r="BF365" s="9"/>
      <c r="BG365" s="9"/>
      <c r="BH365" s="9"/>
      <c r="BI365" s="9"/>
      <c r="BJ365" s="9"/>
      <c r="BK365" s="9"/>
      <c r="BL365" s="9"/>
      <c r="BM365" s="9"/>
      <c r="BN365" s="9"/>
      <c r="BO365" s="9"/>
      <c r="BP365" s="9"/>
      <c r="BQ365" s="9"/>
      <c r="BR365" s="9"/>
      <c r="BS365" s="9"/>
      <c r="BT365" s="9"/>
      <c r="BU365" s="9"/>
      <c r="BV365" s="9"/>
      <c r="BW365" s="9"/>
      <c r="BX365" s="9"/>
      <c r="BY365" s="9"/>
      <c r="BZ365" s="9"/>
      <c r="CA365" s="9"/>
      <c r="CB365" s="9"/>
      <c r="CC365" s="9"/>
      <c r="CD365" s="9"/>
      <c r="CE365" s="9"/>
      <c r="CF365" s="9"/>
      <c r="CG365" s="9"/>
      <c r="CH365" s="9"/>
      <c r="CI365" s="9"/>
      <c r="CJ365" s="9"/>
      <c r="CK365" s="9"/>
      <c r="CL365" s="9"/>
      <c r="CM365" s="9"/>
      <c r="CN365" s="9"/>
      <c r="CO365" s="9"/>
      <c r="CP365" s="9"/>
      <c r="CQ365" s="9"/>
      <c r="CR365" s="9"/>
      <c r="CS365" s="9"/>
      <c r="CT365" s="9"/>
      <c r="CU365" s="9"/>
      <c r="CV365" s="9"/>
      <c r="CW365" s="9"/>
      <c r="CX365" s="9"/>
      <c r="CY365" s="9"/>
      <c r="CZ365" s="9"/>
      <c r="DA365" s="9"/>
      <c r="DB365" s="9"/>
      <c r="DC365" s="9"/>
      <c r="DD365" s="9"/>
      <c r="DE365" s="9"/>
      <c r="DF365" s="9"/>
      <c r="DG365" s="9"/>
      <c r="DH365" s="9"/>
      <c r="DI365" s="9"/>
      <c r="DJ365" s="9"/>
      <c r="DK365" s="9"/>
      <c r="DL365" s="9"/>
      <c r="DM365" s="9"/>
      <c r="DN365" s="9"/>
      <c r="DO365" s="9"/>
      <c r="DP365" s="9"/>
    </row>
    <row r="366" spans="7:120" x14ac:dyDescent="0.2">
      <c r="G366" s="8" t="s">
        <v>478</v>
      </c>
      <c r="H366" s="9">
        <v>18182.09</v>
      </c>
      <c r="I366" s="9">
        <f>H366/365</f>
        <v>49.813945205479449</v>
      </c>
      <c r="J366" s="9"/>
      <c r="K366" s="9">
        <v>3542.21</v>
      </c>
      <c r="L366" s="9">
        <f>K366/366</f>
        <v>9.6781693989071034</v>
      </c>
      <c r="M366" s="9"/>
      <c r="N366" s="9">
        <v>9549.6299999999992</v>
      </c>
      <c r="O366" s="9">
        <f>N366/365</f>
        <v>26.163369863013695</v>
      </c>
      <c r="P366" s="9"/>
      <c r="Q366" s="9">
        <v>191.29</v>
      </c>
      <c r="R366" s="9">
        <f>Q366/181</f>
        <v>1.0568508287292817</v>
      </c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  <c r="AX366" s="9"/>
      <c r="AY366" s="9"/>
      <c r="AZ366" s="9"/>
      <c r="BA366" s="9"/>
      <c r="BB366" s="9"/>
      <c r="BC366" s="9"/>
      <c r="BD366" s="9"/>
      <c r="BE366" s="9"/>
      <c r="BF366" s="9"/>
      <c r="BG366" s="9"/>
      <c r="BH366" s="9"/>
      <c r="BI366" s="9"/>
      <c r="BJ366" s="9"/>
      <c r="BK366" s="9"/>
      <c r="BL366" s="9"/>
      <c r="BM366" s="9"/>
      <c r="BN366" s="9"/>
      <c r="BO366" s="9"/>
      <c r="BP366" s="9"/>
      <c r="BQ366" s="9"/>
      <c r="BR366" s="9"/>
      <c r="BS366" s="9"/>
      <c r="BT366" s="9"/>
      <c r="BU366" s="9"/>
      <c r="BV366" s="9"/>
      <c r="BW366" s="9"/>
      <c r="BX366" s="9"/>
      <c r="BY366" s="9"/>
      <c r="BZ366" s="9"/>
      <c r="CA366" s="9"/>
      <c r="CB366" s="9"/>
      <c r="CC366" s="9"/>
      <c r="CD366" s="9"/>
      <c r="CE366" s="9"/>
      <c r="CF366" s="9"/>
      <c r="CG366" s="9"/>
      <c r="CH366" s="9"/>
      <c r="CI366" s="9"/>
      <c r="CJ366" s="9"/>
      <c r="CK366" s="9"/>
      <c r="CL366" s="9"/>
      <c r="CM366" s="9"/>
      <c r="CN366" s="9"/>
      <c r="CO366" s="9"/>
      <c r="CP366" s="9"/>
      <c r="CQ366" s="9"/>
      <c r="CR366" s="9"/>
      <c r="CS366" s="9"/>
      <c r="CT366" s="9"/>
      <c r="CU366" s="9"/>
      <c r="CV366" s="9"/>
      <c r="CW366" s="9"/>
      <c r="CX366" s="9"/>
      <c r="CY366" s="9"/>
      <c r="CZ366" s="9"/>
      <c r="DA366" s="9"/>
      <c r="DB366" s="9"/>
      <c r="DC366" s="9"/>
      <c r="DD366" s="9"/>
      <c r="DE366" s="9"/>
      <c r="DF366" s="9"/>
      <c r="DG366" s="9"/>
      <c r="DH366" s="9"/>
      <c r="DI366" s="9"/>
      <c r="DJ366" s="9"/>
      <c r="DK366" s="9"/>
      <c r="DL366" s="9"/>
      <c r="DM366" s="9"/>
      <c r="DN366" s="9"/>
      <c r="DO366" s="9"/>
      <c r="DP366" s="9"/>
    </row>
    <row r="367" spans="7:120" x14ac:dyDescent="0.2">
      <c r="G367" s="8" t="s">
        <v>479</v>
      </c>
      <c r="H367" s="9">
        <v>4917.3</v>
      </c>
      <c r="I367" s="9">
        <f>H367/365</f>
        <v>13.472054794520549</v>
      </c>
      <c r="J367" s="9"/>
      <c r="K367" s="9">
        <v>6013.61</v>
      </c>
      <c r="L367" s="9">
        <f>K367/366</f>
        <v>16.430628415300546</v>
      </c>
      <c r="M367" s="9"/>
      <c r="N367" s="9">
        <v>2808.25</v>
      </c>
      <c r="O367" s="9">
        <f>N367/365</f>
        <v>7.6938356164383563</v>
      </c>
      <c r="P367" s="9"/>
      <c r="Q367" s="9">
        <v>1721.35</v>
      </c>
      <c r="R367" s="9">
        <f>Q367/181</f>
        <v>9.5102209944751372</v>
      </c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  <c r="AX367" s="9"/>
      <c r="AY367" s="9"/>
      <c r="AZ367" s="9"/>
      <c r="BA367" s="9"/>
      <c r="BB367" s="9"/>
      <c r="BC367" s="9"/>
      <c r="BD367" s="9"/>
      <c r="BE367" s="9"/>
      <c r="BF367" s="9"/>
      <c r="BG367" s="9"/>
      <c r="BH367" s="9"/>
      <c r="BI367" s="9"/>
      <c r="BJ367" s="9"/>
      <c r="BK367" s="9"/>
      <c r="BL367" s="9"/>
      <c r="BM367" s="9"/>
      <c r="BN367" s="9"/>
      <c r="BO367" s="9"/>
      <c r="BP367" s="9"/>
      <c r="BQ367" s="9"/>
      <c r="BR367" s="9"/>
      <c r="BS367" s="9"/>
      <c r="BT367" s="9"/>
      <c r="BU367" s="9"/>
      <c r="BV367" s="9"/>
      <c r="BW367" s="9"/>
      <c r="BX367" s="9"/>
      <c r="BY367" s="9"/>
      <c r="BZ367" s="9"/>
      <c r="CA367" s="9"/>
      <c r="CB367" s="9"/>
      <c r="CC367" s="9"/>
      <c r="CD367" s="9"/>
      <c r="CE367" s="9"/>
      <c r="CF367" s="9"/>
      <c r="CG367" s="9"/>
      <c r="CH367" s="9"/>
      <c r="CI367" s="9"/>
      <c r="CJ367" s="9"/>
      <c r="CK367" s="9"/>
      <c r="CL367" s="9"/>
      <c r="CM367" s="9"/>
      <c r="CN367" s="9"/>
      <c r="CO367" s="9"/>
      <c r="CP367" s="9"/>
      <c r="CQ367" s="9"/>
      <c r="CR367" s="9"/>
      <c r="CS367" s="9"/>
      <c r="CT367" s="9"/>
      <c r="CU367" s="9"/>
      <c r="CV367" s="9"/>
      <c r="CW367" s="9"/>
      <c r="CX367" s="9"/>
      <c r="CY367" s="9"/>
      <c r="CZ367" s="9"/>
      <c r="DA367" s="9"/>
      <c r="DB367" s="9"/>
      <c r="DC367" s="9"/>
      <c r="DD367" s="9"/>
      <c r="DE367" s="9"/>
      <c r="DF367" s="9"/>
      <c r="DG367" s="9"/>
      <c r="DH367" s="9"/>
      <c r="DI367" s="9"/>
      <c r="DJ367" s="9"/>
      <c r="DK367" s="9"/>
      <c r="DL367" s="9"/>
      <c r="DM367" s="9"/>
      <c r="DN367" s="9"/>
      <c r="DO367" s="9"/>
      <c r="DP367" s="9"/>
    </row>
    <row r="368" spans="7:120" x14ac:dyDescent="0.2">
      <c r="G368" s="8" t="s">
        <v>480</v>
      </c>
      <c r="H368" s="9">
        <v>18939.8</v>
      </c>
      <c r="I368" s="9">
        <f>H368/365</f>
        <v>51.88986301369863</v>
      </c>
      <c r="J368" s="9"/>
      <c r="K368" s="9">
        <v>9519.41</v>
      </c>
      <c r="L368" s="9">
        <f>K368/366</f>
        <v>26.009316939890709</v>
      </c>
      <c r="M368" s="9"/>
      <c r="N368" s="9">
        <v>102.07</v>
      </c>
      <c r="O368" s="9">
        <f>N368/365</f>
        <v>0.27964383561643835</v>
      </c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9"/>
      <c r="AX368" s="9"/>
      <c r="AY368" s="9"/>
      <c r="AZ368" s="9"/>
      <c r="BA368" s="9"/>
      <c r="BB368" s="9"/>
      <c r="BC368" s="9"/>
      <c r="BD368" s="9"/>
      <c r="BE368" s="9"/>
      <c r="BF368" s="9"/>
      <c r="BG368" s="9"/>
      <c r="BH368" s="9"/>
      <c r="BI368" s="9"/>
      <c r="BJ368" s="9"/>
      <c r="BK368" s="9"/>
      <c r="BL368" s="9"/>
      <c r="BM368" s="9"/>
      <c r="BN368" s="9"/>
      <c r="BO368" s="9"/>
      <c r="BP368" s="9"/>
      <c r="BQ368" s="9"/>
      <c r="BR368" s="9"/>
      <c r="BS368" s="9"/>
      <c r="BT368" s="9"/>
      <c r="BU368" s="9"/>
      <c r="BV368" s="9"/>
      <c r="BW368" s="9"/>
      <c r="BX368" s="9"/>
      <c r="BY368" s="9"/>
      <c r="BZ368" s="9"/>
      <c r="CA368" s="9"/>
      <c r="CB368" s="9"/>
      <c r="CC368" s="9"/>
      <c r="CD368" s="9"/>
      <c r="CE368" s="9"/>
      <c r="CF368" s="9"/>
      <c r="CG368" s="9"/>
      <c r="CH368" s="9"/>
      <c r="CI368" s="9"/>
      <c r="CJ368" s="9"/>
      <c r="CK368" s="9"/>
      <c r="CL368" s="9"/>
      <c r="CM368" s="9"/>
      <c r="CN368" s="9"/>
      <c r="CO368" s="9"/>
      <c r="CP368" s="9"/>
      <c r="CQ368" s="9"/>
      <c r="CR368" s="9"/>
      <c r="CS368" s="9"/>
      <c r="CT368" s="9"/>
      <c r="CU368" s="9"/>
      <c r="CV368" s="9"/>
      <c r="CW368" s="9"/>
      <c r="CX368" s="9"/>
      <c r="CY368" s="9"/>
      <c r="CZ368" s="9"/>
      <c r="DA368" s="9"/>
      <c r="DB368" s="9"/>
      <c r="DC368" s="9"/>
      <c r="DD368" s="9"/>
      <c r="DE368" s="9"/>
      <c r="DF368" s="9"/>
      <c r="DG368" s="9"/>
      <c r="DH368" s="9"/>
      <c r="DI368" s="9"/>
      <c r="DJ368" s="9"/>
      <c r="DK368" s="9"/>
      <c r="DL368" s="9"/>
      <c r="DM368" s="9"/>
      <c r="DN368" s="9"/>
      <c r="DO368" s="9"/>
      <c r="DP368" s="9"/>
    </row>
    <row r="369" spans="7:120" x14ac:dyDescent="0.2">
      <c r="G369" s="8" t="s">
        <v>481</v>
      </c>
      <c r="H369" s="9"/>
      <c r="I369" s="9"/>
      <c r="J369" s="9"/>
      <c r="K369" s="9"/>
      <c r="L369" s="9"/>
      <c r="M369" s="9"/>
      <c r="N369" s="9"/>
      <c r="O369" s="9"/>
      <c r="P369" s="9"/>
      <c r="Q369" s="9">
        <v>7207.57</v>
      </c>
      <c r="R369" s="9">
        <f>Q369/181</f>
        <v>39.820828729281764</v>
      </c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9"/>
      <c r="AX369" s="9"/>
      <c r="AY369" s="9"/>
      <c r="AZ369" s="9"/>
      <c r="BA369" s="9"/>
      <c r="BB369" s="9"/>
      <c r="BC369" s="9"/>
      <c r="BD369" s="9"/>
      <c r="BE369" s="9"/>
      <c r="BF369" s="9"/>
      <c r="BG369" s="9"/>
      <c r="BH369" s="9"/>
      <c r="BI369" s="9"/>
      <c r="BJ369" s="9"/>
      <c r="BK369" s="9"/>
      <c r="BL369" s="9"/>
      <c r="BM369" s="9"/>
      <c r="BN369" s="9"/>
      <c r="BO369" s="9"/>
      <c r="BP369" s="9"/>
      <c r="BQ369" s="9"/>
      <c r="BR369" s="9"/>
      <c r="BS369" s="9"/>
      <c r="BT369" s="9"/>
      <c r="BU369" s="9"/>
      <c r="BV369" s="9"/>
      <c r="BW369" s="9"/>
      <c r="BX369" s="9"/>
      <c r="BY369" s="9"/>
      <c r="BZ369" s="9"/>
      <c r="CA369" s="9"/>
      <c r="CB369" s="9"/>
      <c r="CC369" s="9"/>
      <c r="CD369" s="9"/>
      <c r="CE369" s="9"/>
      <c r="CF369" s="9"/>
      <c r="CG369" s="9"/>
      <c r="CH369" s="9"/>
      <c r="CI369" s="9"/>
      <c r="CJ369" s="9"/>
      <c r="CK369" s="9"/>
      <c r="CL369" s="9"/>
      <c r="CM369" s="9"/>
      <c r="CN369" s="9"/>
      <c r="CO369" s="9"/>
      <c r="CP369" s="9"/>
      <c r="CQ369" s="9"/>
      <c r="CR369" s="9"/>
      <c r="CS369" s="9"/>
      <c r="CT369" s="9"/>
      <c r="CU369" s="9"/>
      <c r="CV369" s="9"/>
      <c r="CW369" s="9"/>
      <c r="CX369" s="9"/>
      <c r="CY369" s="9"/>
      <c r="CZ369" s="9"/>
      <c r="DA369" s="9"/>
      <c r="DB369" s="9"/>
      <c r="DC369" s="9"/>
      <c r="DD369" s="9"/>
      <c r="DE369" s="9"/>
      <c r="DF369" s="9"/>
      <c r="DG369" s="9"/>
      <c r="DH369" s="9"/>
      <c r="DI369" s="9"/>
      <c r="DJ369" s="9"/>
      <c r="DK369" s="9"/>
      <c r="DL369" s="9"/>
      <c r="DM369" s="9"/>
      <c r="DN369" s="9"/>
      <c r="DO369" s="9"/>
      <c r="DP369" s="9"/>
    </row>
    <row r="370" spans="7:120" x14ac:dyDescent="0.2">
      <c r="G370" s="8" t="s">
        <v>482</v>
      </c>
      <c r="H370" s="9">
        <v>6852.26</v>
      </c>
      <c r="I370" s="9">
        <f>H370/365</f>
        <v>18.773315068493151</v>
      </c>
      <c r="J370" s="9"/>
      <c r="K370" s="9">
        <v>4680.8599999999997</v>
      </c>
      <c r="L370" s="9">
        <f>K370/366</f>
        <v>12.789234972677594</v>
      </c>
      <c r="M370" s="9"/>
      <c r="N370" s="9">
        <v>1835.44</v>
      </c>
      <c r="O370" s="9">
        <f>N370/365</f>
        <v>5.0286027397260273</v>
      </c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  <c r="AX370" s="9"/>
      <c r="AY370" s="9"/>
      <c r="AZ370" s="9"/>
      <c r="BA370" s="9"/>
      <c r="BB370" s="9"/>
      <c r="BC370" s="9"/>
      <c r="BD370" s="9"/>
      <c r="BE370" s="9"/>
      <c r="BF370" s="9"/>
      <c r="BG370" s="9"/>
      <c r="BH370" s="9"/>
      <c r="BI370" s="9"/>
      <c r="BJ370" s="9"/>
      <c r="BK370" s="9"/>
      <c r="BL370" s="9"/>
      <c r="BM370" s="9"/>
      <c r="BN370" s="9"/>
      <c r="BO370" s="9"/>
      <c r="BP370" s="9"/>
      <c r="BQ370" s="9"/>
      <c r="BR370" s="9"/>
      <c r="BS370" s="9"/>
      <c r="BT370" s="9"/>
      <c r="BU370" s="9"/>
      <c r="BV370" s="9"/>
      <c r="BW370" s="9"/>
      <c r="BX370" s="9"/>
      <c r="BY370" s="9"/>
      <c r="BZ370" s="9"/>
      <c r="CA370" s="9"/>
      <c r="CB370" s="9"/>
      <c r="CC370" s="9"/>
      <c r="CD370" s="9"/>
      <c r="CE370" s="9"/>
      <c r="CF370" s="9"/>
      <c r="CG370" s="9"/>
      <c r="CH370" s="9"/>
      <c r="CI370" s="9"/>
      <c r="CJ370" s="9"/>
      <c r="CK370" s="9"/>
      <c r="CL370" s="9"/>
      <c r="CM370" s="9"/>
      <c r="CN370" s="9"/>
      <c r="CO370" s="9"/>
      <c r="CP370" s="9"/>
      <c r="CQ370" s="9"/>
      <c r="CR370" s="9"/>
      <c r="CS370" s="9"/>
      <c r="CT370" s="9"/>
      <c r="CU370" s="9"/>
      <c r="CV370" s="9"/>
      <c r="CW370" s="9"/>
      <c r="CX370" s="9"/>
      <c r="CY370" s="9"/>
      <c r="CZ370" s="9"/>
      <c r="DA370" s="9"/>
      <c r="DB370" s="9"/>
      <c r="DC370" s="9"/>
      <c r="DD370" s="9"/>
      <c r="DE370" s="9"/>
      <c r="DF370" s="9"/>
      <c r="DG370" s="9"/>
      <c r="DH370" s="9"/>
      <c r="DI370" s="9"/>
      <c r="DJ370" s="9"/>
      <c r="DK370" s="9"/>
      <c r="DL370" s="9"/>
      <c r="DM370" s="9"/>
      <c r="DN370" s="9"/>
      <c r="DO370" s="9"/>
      <c r="DP370" s="9"/>
    </row>
    <row r="371" spans="7:120" x14ac:dyDescent="0.2">
      <c r="G371" s="8" t="s">
        <v>483</v>
      </c>
      <c r="H371" s="9">
        <v>27405.51</v>
      </c>
      <c r="I371" s="9">
        <f>H371/365</f>
        <v>75.083589041095891</v>
      </c>
      <c r="J371" s="9"/>
      <c r="K371" s="9">
        <v>4067.4</v>
      </c>
      <c r="L371" s="9">
        <f>K371/366</f>
        <v>11.11311475409836</v>
      </c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  <c r="AX371" s="9"/>
      <c r="AY371" s="9"/>
      <c r="AZ371" s="9"/>
      <c r="BA371" s="9"/>
      <c r="BB371" s="9"/>
      <c r="BC371" s="9"/>
      <c r="BD371" s="9"/>
      <c r="BE371" s="9"/>
      <c r="BF371" s="9"/>
      <c r="BG371" s="9"/>
      <c r="BH371" s="9"/>
      <c r="BI371" s="9"/>
      <c r="BJ371" s="9"/>
      <c r="BK371" s="9"/>
      <c r="BL371" s="9"/>
      <c r="BM371" s="9"/>
      <c r="BN371" s="9"/>
      <c r="BO371" s="9"/>
      <c r="BP371" s="9"/>
      <c r="BQ371" s="9"/>
      <c r="BR371" s="9"/>
      <c r="BS371" s="9"/>
      <c r="BT371" s="9"/>
      <c r="BU371" s="9"/>
      <c r="BV371" s="9"/>
      <c r="BW371" s="9"/>
      <c r="BX371" s="9"/>
      <c r="BY371" s="9"/>
      <c r="BZ371" s="9"/>
      <c r="CA371" s="9"/>
      <c r="CB371" s="9"/>
      <c r="CC371" s="9"/>
      <c r="CD371" s="9"/>
      <c r="CE371" s="9"/>
      <c r="CF371" s="9"/>
      <c r="CG371" s="9"/>
      <c r="CH371" s="9"/>
      <c r="CI371" s="9"/>
      <c r="CJ371" s="9"/>
      <c r="CK371" s="9"/>
      <c r="CL371" s="9"/>
      <c r="CM371" s="9"/>
      <c r="CN371" s="9"/>
      <c r="CO371" s="9"/>
      <c r="CP371" s="9"/>
      <c r="CQ371" s="9"/>
      <c r="CR371" s="9"/>
      <c r="CS371" s="9"/>
      <c r="CT371" s="9"/>
      <c r="CU371" s="9"/>
      <c r="CV371" s="9"/>
      <c r="CW371" s="9"/>
      <c r="CX371" s="9"/>
      <c r="CY371" s="9"/>
      <c r="CZ371" s="9"/>
      <c r="DA371" s="9"/>
      <c r="DB371" s="9"/>
      <c r="DC371" s="9"/>
      <c r="DD371" s="9"/>
      <c r="DE371" s="9"/>
      <c r="DF371" s="9"/>
      <c r="DG371" s="9"/>
      <c r="DH371" s="9"/>
      <c r="DI371" s="9"/>
      <c r="DJ371" s="9"/>
      <c r="DK371" s="9"/>
      <c r="DL371" s="9"/>
      <c r="DM371" s="9"/>
      <c r="DN371" s="9"/>
      <c r="DO371" s="9"/>
      <c r="DP371" s="9"/>
    </row>
    <row r="372" spans="7:120" x14ac:dyDescent="0.2">
      <c r="G372" s="8" t="s">
        <v>484</v>
      </c>
      <c r="H372" s="9">
        <v>10106.75</v>
      </c>
      <c r="I372" s="9">
        <f>H372/365</f>
        <v>27.68972602739726</v>
      </c>
      <c r="J372" s="9"/>
      <c r="K372" s="9">
        <v>3788.38</v>
      </c>
      <c r="L372" s="9">
        <f>K372/366</f>
        <v>10.350765027322405</v>
      </c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  <c r="AW372" s="9"/>
      <c r="AX372" s="9"/>
      <c r="AY372" s="9"/>
      <c r="AZ372" s="9"/>
      <c r="BA372" s="9"/>
      <c r="BB372" s="9"/>
      <c r="BC372" s="9"/>
      <c r="BD372" s="9"/>
      <c r="BE372" s="9"/>
      <c r="BF372" s="9"/>
      <c r="BG372" s="9"/>
      <c r="BH372" s="9"/>
      <c r="BI372" s="9"/>
      <c r="BJ372" s="9"/>
      <c r="BK372" s="9"/>
      <c r="BL372" s="9"/>
      <c r="BM372" s="9"/>
      <c r="BN372" s="9"/>
      <c r="BO372" s="9"/>
      <c r="BP372" s="9"/>
      <c r="BQ372" s="9"/>
      <c r="BR372" s="9"/>
      <c r="BS372" s="9"/>
      <c r="BT372" s="9"/>
      <c r="BU372" s="9"/>
      <c r="BV372" s="9"/>
      <c r="BW372" s="9"/>
      <c r="BX372" s="9"/>
      <c r="BY372" s="9"/>
      <c r="BZ372" s="9"/>
      <c r="CA372" s="9"/>
      <c r="CB372" s="9"/>
      <c r="CC372" s="9"/>
      <c r="CD372" s="9"/>
      <c r="CE372" s="9"/>
      <c r="CF372" s="9"/>
      <c r="CG372" s="9"/>
      <c r="CH372" s="9"/>
      <c r="CI372" s="9"/>
      <c r="CJ372" s="9"/>
      <c r="CK372" s="9"/>
      <c r="CL372" s="9"/>
      <c r="CM372" s="9"/>
      <c r="CN372" s="9"/>
      <c r="CO372" s="9"/>
      <c r="CP372" s="9"/>
      <c r="CQ372" s="9"/>
      <c r="CR372" s="9"/>
      <c r="CS372" s="9"/>
      <c r="CT372" s="9"/>
      <c r="CU372" s="9"/>
      <c r="CV372" s="9"/>
      <c r="CW372" s="9"/>
      <c r="CX372" s="9"/>
      <c r="CY372" s="9"/>
      <c r="CZ372" s="9"/>
      <c r="DA372" s="9"/>
      <c r="DB372" s="9"/>
      <c r="DC372" s="9"/>
      <c r="DD372" s="9"/>
      <c r="DE372" s="9"/>
      <c r="DF372" s="9"/>
      <c r="DG372" s="9"/>
      <c r="DH372" s="9"/>
      <c r="DI372" s="9"/>
      <c r="DJ372" s="9"/>
      <c r="DK372" s="9"/>
      <c r="DL372" s="9"/>
      <c r="DM372" s="9"/>
      <c r="DN372" s="9"/>
      <c r="DO372" s="9"/>
      <c r="DP372" s="9"/>
    </row>
    <row r="373" spans="7:120" x14ac:dyDescent="0.2">
      <c r="G373" s="8" t="s">
        <v>485</v>
      </c>
      <c r="H373" s="9"/>
      <c r="I373" s="9"/>
      <c r="J373" s="9"/>
      <c r="K373" s="9"/>
      <c r="L373" s="9"/>
      <c r="M373" s="9"/>
      <c r="N373" s="9">
        <v>3641.8</v>
      </c>
      <c r="O373" s="9">
        <f>N373/365</f>
        <v>9.9775342465753436</v>
      </c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  <c r="AW373" s="9"/>
      <c r="AX373" s="9"/>
      <c r="AY373" s="9"/>
      <c r="AZ373" s="9"/>
      <c r="BA373" s="9"/>
      <c r="BB373" s="9"/>
      <c r="BC373" s="9"/>
      <c r="BD373" s="9"/>
      <c r="BE373" s="9"/>
      <c r="BF373" s="9"/>
      <c r="BG373" s="9"/>
      <c r="BH373" s="9"/>
      <c r="BI373" s="9"/>
      <c r="BJ373" s="9"/>
      <c r="BK373" s="9"/>
      <c r="BL373" s="9"/>
      <c r="BM373" s="9"/>
      <c r="BN373" s="9"/>
      <c r="BO373" s="9"/>
      <c r="BP373" s="9"/>
      <c r="BQ373" s="9"/>
      <c r="BR373" s="9"/>
      <c r="BS373" s="9"/>
      <c r="BT373" s="9"/>
      <c r="BU373" s="9"/>
      <c r="BV373" s="9"/>
      <c r="BW373" s="9"/>
      <c r="BX373" s="9"/>
      <c r="BY373" s="9"/>
      <c r="BZ373" s="9"/>
      <c r="CA373" s="9"/>
      <c r="CB373" s="9"/>
      <c r="CC373" s="9"/>
      <c r="CD373" s="9"/>
      <c r="CE373" s="9"/>
      <c r="CF373" s="9"/>
      <c r="CG373" s="9"/>
      <c r="CH373" s="9"/>
      <c r="CI373" s="9"/>
      <c r="CJ373" s="9"/>
      <c r="CK373" s="9"/>
      <c r="CL373" s="9"/>
      <c r="CM373" s="9"/>
      <c r="CN373" s="9"/>
      <c r="CO373" s="9"/>
      <c r="CP373" s="9"/>
      <c r="CQ373" s="9"/>
      <c r="CR373" s="9"/>
      <c r="CS373" s="9"/>
      <c r="CT373" s="9"/>
      <c r="CU373" s="9"/>
      <c r="CV373" s="9"/>
      <c r="CW373" s="9"/>
      <c r="CX373" s="9"/>
      <c r="CY373" s="9"/>
      <c r="CZ373" s="9"/>
      <c r="DA373" s="9"/>
      <c r="DB373" s="9"/>
      <c r="DC373" s="9"/>
      <c r="DD373" s="9"/>
      <c r="DE373" s="9"/>
      <c r="DF373" s="9"/>
      <c r="DG373" s="9"/>
      <c r="DH373" s="9"/>
      <c r="DI373" s="9"/>
      <c r="DJ373" s="9"/>
      <c r="DK373" s="9"/>
      <c r="DL373" s="9"/>
      <c r="DM373" s="9"/>
      <c r="DN373" s="9"/>
      <c r="DO373" s="9"/>
      <c r="DP373" s="9"/>
    </row>
    <row r="374" spans="7:120" x14ac:dyDescent="0.2">
      <c r="G374" s="8" t="s">
        <v>486</v>
      </c>
      <c r="H374" s="9">
        <v>11594.28</v>
      </c>
      <c r="I374" s="9">
        <f>H374/365</f>
        <v>31.765150684931509</v>
      </c>
      <c r="J374" s="9"/>
      <c r="K374" s="9">
        <v>2667.16</v>
      </c>
      <c r="L374" s="9">
        <f>K374/366</f>
        <v>7.2873224043715847</v>
      </c>
      <c r="M374" s="9"/>
      <c r="N374" s="9"/>
      <c r="O374" s="9"/>
      <c r="P374" s="9"/>
      <c r="Q374" s="9">
        <v>395.42</v>
      </c>
      <c r="R374" s="9">
        <f>Q374/181</f>
        <v>2.1846408839779006</v>
      </c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9"/>
      <c r="AX374" s="9"/>
      <c r="AY374" s="9"/>
      <c r="AZ374" s="9"/>
      <c r="BA374" s="9"/>
      <c r="BB374" s="9"/>
      <c r="BC374" s="9"/>
      <c r="BD374" s="9"/>
      <c r="BE374" s="9"/>
      <c r="BF374" s="9"/>
      <c r="BG374" s="9"/>
      <c r="BH374" s="9"/>
      <c r="BI374" s="9"/>
      <c r="BJ374" s="9"/>
      <c r="BK374" s="9"/>
      <c r="BL374" s="9"/>
      <c r="BM374" s="9"/>
      <c r="BN374" s="9"/>
      <c r="BO374" s="9"/>
      <c r="BP374" s="9"/>
      <c r="BQ374" s="9"/>
      <c r="BR374" s="9"/>
      <c r="BS374" s="9"/>
      <c r="BT374" s="9"/>
      <c r="BU374" s="9"/>
      <c r="BV374" s="9"/>
      <c r="BW374" s="9"/>
      <c r="BX374" s="9"/>
      <c r="BY374" s="9"/>
      <c r="BZ374" s="9"/>
      <c r="CA374" s="9"/>
      <c r="CB374" s="9"/>
      <c r="CC374" s="9"/>
      <c r="CD374" s="9"/>
      <c r="CE374" s="9"/>
      <c r="CF374" s="9"/>
      <c r="CG374" s="9"/>
      <c r="CH374" s="9"/>
      <c r="CI374" s="9"/>
      <c r="CJ374" s="9"/>
      <c r="CK374" s="9"/>
      <c r="CL374" s="9"/>
      <c r="CM374" s="9"/>
      <c r="CN374" s="9"/>
      <c r="CO374" s="9"/>
      <c r="CP374" s="9"/>
      <c r="CQ374" s="9"/>
      <c r="CR374" s="9"/>
      <c r="CS374" s="9"/>
      <c r="CT374" s="9"/>
      <c r="CU374" s="9"/>
      <c r="CV374" s="9"/>
      <c r="CW374" s="9"/>
      <c r="CX374" s="9"/>
      <c r="CY374" s="9"/>
      <c r="CZ374" s="9"/>
      <c r="DA374" s="9"/>
      <c r="DB374" s="9"/>
      <c r="DC374" s="9"/>
      <c r="DD374" s="9"/>
      <c r="DE374" s="9"/>
      <c r="DF374" s="9"/>
      <c r="DG374" s="9"/>
      <c r="DH374" s="9"/>
      <c r="DI374" s="9"/>
      <c r="DJ374" s="9"/>
      <c r="DK374" s="9"/>
      <c r="DL374" s="9"/>
      <c r="DM374" s="9"/>
      <c r="DN374" s="9"/>
      <c r="DO374" s="9"/>
      <c r="DP374" s="9"/>
    </row>
    <row r="375" spans="7:120" x14ac:dyDescent="0.2">
      <c r="G375" s="8" t="s">
        <v>487</v>
      </c>
      <c r="H375" s="9">
        <v>90</v>
      </c>
      <c r="I375" s="9">
        <f>H375/365</f>
        <v>0.24657534246575341</v>
      </c>
      <c r="J375" s="9"/>
      <c r="K375" s="9">
        <v>773.93</v>
      </c>
      <c r="L375" s="9">
        <f>K375/366</f>
        <v>2.1145628415300544</v>
      </c>
      <c r="M375" s="9"/>
      <c r="N375" s="9">
        <v>1110.6600000000001</v>
      </c>
      <c r="O375" s="9">
        <f>N375/365</f>
        <v>3.0429041095890415</v>
      </c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  <c r="AW375" s="9"/>
      <c r="AX375" s="9"/>
      <c r="AY375" s="9"/>
      <c r="AZ375" s="9"/>
      <c r="BA375" s="9"/>
      <c r="BB375" s="9"/>
      <c r="BC375" s="9"/>
      <c r="BD375" s="9"/>
      <c r="BE375" s="9"/>
      <c r="BF375" s="9"/>
      <c r="BG375" s="9"/>
      <c r="BH375" s="9"/>
      <c r="BI375" s="9"/>
      <c r="BJ375" s="9"/>
      <c r="BK375" s="9"/>
      <c r="BL375" s="9"/>
      <c r="BM375" s="9"/>
      <c r="BN375" s="9"/>
      <c r="BO375" s="9"/>
      <c r="BP375" s="9"/>
      <c r="BQ375" s="9"/>
      <c r="BR375" s="9"/>
      <c r="BS375" s="9"/>
      <c r="BT375" s="9"/>
      <c r="BU375" s="9"/>
      <c r="BV375" s="9"/>
      <c r="BW375" s="9"/>
      <c r="BX375" s="9"/>
      <c r="BY375" s="9"/>
      <c r="BZ375" s="9"/>
      <c r="CA375" s="9"/>
      <c r="CB375" s="9"/>
      <c r="CC375" s="9"/>
      <c r="CD375" s="9"/>
      <c r="CE375" s="9"/>
      <c r="CF375" s="9"/>
      <c r="CG375" s="9"/>
      <c r="CH375" s="9"/>
      <c r="CI375" s="9"/>
      <c r="CJ375" s="9"/>
      <c r="CK375" s="9"/>
      <c r="CL375" s="9"/>
      <c r="CM375" s="9"/>
      <c r="CN375" s="9"/>
      <c r="CO375" s="9"/>
      <c r="CP375" s="9"/>
      <c r="CQ375" s="9"/>
      <c r="CR375" s="9"/>
      <c r="CS375" s="9"/>
      <c r="CT375" s="9"/>
      <c r="CU375" s="9"/>
      <c r="CV375" s="9"/>
      <c r="CW375" s="9"/>
      <c r="CX375" s="9"/>
      <c r="CY375" s="9"/>
      <c r="CZ375" s="9"/>
      <c r="DA375" s="9"/>
      <c r="DB375" s="9"/>
      <c r="DC375" s="9"/>
      <c r="DD375" s="9"/>
      <c r="DE375" s="9"/>
      <c r="DF375" s="9"/>
      <c r="DG375" s="9"/>
      <c r="DH375" s="9"/>
      <c r="DI375" s="9"/>
      <c r="DJ375" s="9"/>
      <c r="DK375" s="9"/>
      <c r="DL375" s="9"/>
      <c r="DM375" s="9"/>
      <c r="DN375" s="9"/>
      <c r="DO375" s="9"/>
      <c r="DP375" s="9"/>
    </row>
    <row r="376" spans="7:120" x14ac:dyDescent="0.2">
      <c r="G376" s="8" t="s">
        <v>488</v>
      </c>
      <c r="H376" s="9">
        <v>1439.76</v>
      </c>
      <c r="I376" s="9">
        <f>H376/365</f>
        <v>3.9445479452054792</v>
      </c>
      <c r="J376" s="9"/>
      <c r="K376" s="9">
        <v>744.29</v>
      </c>
      <c r="L376" s="9">
        <f>K376/366</f>
        <v>2.0335792349726773</v>
      </c>
      <c r="M376" s="9"/>
      <c r="N376" s="9">
        <v>804.06</v>
      </c>
      <c r="O376" s="9">
        <f>N376/365</f>
        <v>2.2029041095890411</v>
      </c>
      <c r="P376" s="9"/>
      <c r="Q376" s="9">
        <v>224.22</v>
      </c>
      <c r="R376" s="9">
        <f>Q376/181</f>
        <v>1.2387845303867404</v>
      </c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9"/>
      <c r="AX376" s="9"/>
      <c r="AY376" s="9"/>
      <c r="AZ376" s="9"/>
      <c r="BA376" s="9"/>
      <c r="BB376" s="9"/>
      <c r="BC376" s="9"/>
      <c r="BD376" s="9"/>
      <c r="BE376" s="9"/>
      <c r="BF376" s="9"/>
      <c r="BG376" s="9"/>
      <c r="BH376" s="9"/>
      <c r="BI376" s="9"/>
      <c r="BJ376" s="9"/>
      <c r="BK376" s="9"/>
      <c r="BL376" s="9"/>
      <c r="BM376" s="9"/>
      <c r="BN376" s="9"/>
      <c r="BO376" s="9"/>
      <c r="BP376" s="9"/>
      <c r="BQ376" s="9"/>
      <c r="BR376" s="9"/>
      <c r="BS376" s="9"/>
      <c r="BT376" s="9"/>
      <c r="BU376" s="9"/>
      <c r="BV376" s="9"/>
      <c r="BW376" s="9"/>
      <c r="BX376" s="9"/>
      <c r="BY376" s="9"/>
      <c r="BZ376" s="9"/>
      <c r="CA376" s="9"/>
      <c r="CB376" s="9"/>
      <c r="CC376" s="9"/>
      <c r="CD376" s="9"/>
      <c r="CE376" s="9"/>
      <c r="CF376" s="9"/>
      <c r="CG376" s="9"/>
      <c r="CH376" s="9"/>
      <c r="CI376" s="9"/>
      <c r="CJ376" s="9"/>
      <c r="CK376" s="9"/>
      <c r="CL376" s="9"/>
      <c r="CM376" s="9"/>
      <c r="CN376" s="9"/>
      <c r="CO376" s="9"/>
      <c r="CP376" s="9"/>
      <c r="CQ376" s="9"/>
      <c r="CR376" s="9"/>
      <c r="CS376" s="9"/>
      <c r="CT376" s="9"/>
      <c r="CU376" s="9"/>
      <c r="CV376" s="9"/>
      <c r="CW376" s="9"/>
      <c r="CX376" s="9"/>
      <c r="CY376" s="9"/>
      <c r="CZ376" s="9"/>
      <c r="DA376" s="9"/>
      <c r="DB376" s="9"/>
      <c r="DC376" s="9"/>
      <c r="DD376" s="9"/>
      <c r="DE376" s="9"/>
      <c r="DF376" s="9"/>
      <c r="DG376" s="9"/>
      <c r="DH376" s="9"/>
      <c r="DI376" s="9"/>
      <c r="DJ376" s="9"/>
      <c r="DK376" s="9"/>
      <c r="DL376" s="9"/>
      <c r="DM376" s="9"/>
      <c r="DN376" s="9"/>
      <c r="DO376" s="9"/>
      <c r="DP376" s="9"/>
    </row>
    <row r="377" spans="7:120" x14ac:dyDescent="0.2">
      <c r="G377" s="8" t="s">
        <v>489</v>
      </c>
      <c r="H377" s="9"/>
      <c r="I377" s="9"/>
      <c r="J377" s="9"/>
      <c r="K377" s="9"/>
      <c r="L377" s="9"/>
      <c r="M377" s="9"/>
      <c r="N377" s="9">
        <v>3.1</v>
      </c>
      <c r="O377" s="9">
        <f>N377/365</f>
        <v>8.493150684931507E-3</v>
      </c>
      <c r="P377" s="9"/>
      <c r="Q377" s="9">
        <v>1499.63</v>
      </c>
      <c r="R377" s="9">
        <f>Q377/181</f>
        <v>8.2852486187845304</v>
      </c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9"/>
      <c r="AX377" s="9"/>
      <c r="AY377" s="9"/>
      <c r="AZ377" s="9"/>
      <c r="BA377" s="9"/>
      <c r="BB377" s="9"/>
      <c r="BC377" s="9"/>
      <c r="BD377" s="9"/>
      <c r="BE377" s="9"/>
      <c r="BF377" s="9"/>
      <c r="BG377" s="9"/>
      <c r="BH377" s="9"/>
      <c r="BI377" s="9"/>
      <c r="BJ377" s="9"/>
      <c r="BK377" s="9"/>
      <c r="BL377" s="9"/>
      <c r="BM377" s="9"/>
      <c r="BN377" s="9"/>
      <c r="BO377" s="9"/>
      <c r="BP377" s="9"/>
      <c r="BQ377" s="9"/>
      <c r="BR377" s="9"/>
      <c r="BS377" s="9"/>
      <c r="BT377" s="9"/>
      <c r="BU377" s="9"/>
      <c r="BV377" s="9"/>
      <c r="BW377" s="9"/>
      <c r="BX377" s="9"/>
      <c r="BY377" s="9"/>
      <c r="BZ377" s="9"/>
      <c r="CA377" s="9"/>
      <c r="CB377" s="9"/>
      <c r="CC377" s="9"/>
      <c r="CD377" s="9"/>
      <c r="CE377" s="9"/>
      <c r="CF377" s="9"/>
      <c r="CG377" s="9"/>
      <c r="CH377" s="9"/>
      <c r="CI377" s="9"/>
      <c r="CJ377" s="9"/>
      <c r="CK377" s="9"/>
      <c r="CL377" s="9"/>
      <c r="CM377" s="9"/>
      <c r="CN377" s="9"/>
      <c r="CO377" s="9"/>
      <c r="CP377" s="9"/>
      <c r="CQ377" s="9"/>
      <c r="CR377" s="9"/>
      <c r="CS377" s="9"/>
      <c r="CT377" s="9"/>
      <c r="CU377" s="9"/>
      <c r="CV377" s="9"/>
      <c r="CW377" s="9"/>
      <c r="CX377" s="9"/>
      <c r="CY377" s="9"/>
      <c r="CZ377" s="9"/>
      <c r="DA377" s="9"/>
      <c r="DB377" s="9"/>
      <c r="DC377" s="9"/>
      <c r="DD377" s="9"/>
      <c r="DE377" s="9"/>
      <c r="DF377" s="9"/>
      <c r="DG377" s="9"/>
      <c r="DH377" s="9"/>
      <c r="DI377" s="9"/>
      <c r="DJ377" s="9"/>
      <c r="DK377" s="9"/>
      <c r="DL377" s="9"/>
      <c r="DM377" s="9"/>
      <c r="DN377" s="9"/>
      <c r="DO377" s="9"/>
      <c r="DP377" s="9"/>
    </row>
    <row r="378" spans="7:120" x14ac:dyDescent="0.2">
      <c r="G378" s="8" t="s">
        <v>490</v>
      </c>
      <c r="H378" s="9"/>
      <c r="I378" s="9"/>
      <c r="J378" s="9"/>
      <c r="K378" s="9"/>
      <c r="L378" s="9"/>
      <c r="M378" s="9"/>
      <c r="N378" s="9">
        <v>590.11</v>
      </c>
      <c r="O378" s="9">
        <f>N378/365</f>
        <v>1.6167397260273972</v>
      </c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9"/>
      <c r="AX378" s="9"/>
      <c r="AY378" s="9"/>
      <c r="AZ378" s="9"/>
      <c r="BA378" s="9"/>
      <c r="BB378" s="9"/>
      <c r="BC378" s="9"/>
      <c r="BD378" s="9"/>
      <c r="BE378" s="9"/>
      <c r="BF378" s="9"/>
      <c r="BG378" s="9"/>
      <c r="BH378" s="9"/>
      <c r="BI378" s="9"/>
      <c r="BJ378" s="9"/>
      <c r="BK378" s="9"/>
      <c r="BL378" s="9"/>
      <c r="BM378" s="9"/>
      <c r="BN378" s="9"/>
      <c r="BO378" s="9"/>
      <c r="BP378" s="9"/>
      <c r="BQ378" s="9"/>
      <c r="BR378" s="9"/>
      <c r="BS378" s="9"/>
      <c r="BT378" s="9"/>
      <c r="BU378" s="9"/>
      <c r="BV378" s="9"/>
      <c r="BW378" s="9"/>
      <c r="BX378" s="9"/>
      <c r="BY378" s="9"/>
      <c r="BZ378" s="9"/>
      <c r="CA378" s="9"/>
      <c r="CB378" s="9"/>
      <c r="CC378" s="9"/>
      <c r="CD378" s="9"/>
      <c r="CE378" s="9"/>
      <c r="CF378" s="9"/>
      <c r="CG378" s="9"/>
      <c r="CH378" s="9"/>
      <c r="CI378" s="9"/>
      <c r="CJ378" s="9"/>
      <c r="CK378" s="9"/>
      <c r="CL378" s="9"/>
      <c r="CM378" s="9"/>
      <c r="CN378" s="9"/>
      <c r="CO378" s="9"/>
      <c r="CP378" s="9"/>
      <c r="CQ378" s="9"/>
      <c r="CR378" s="9"/>
      <c r="CS378" s="9"/>
      <c r="CT378" s="9"/>
      <c r="CU378" s="9"/>
      <c r="CV378" s="9"/>
      <c r="CW378" s="9"/>
      <c r="CX378" s="9"/>
      <c r="CY378" s="9"/>
      <c r="CZ378" s="9"/>
      <c r="DA378" s="9"/>
      <c r="DB378" s="9"/>
      <c r="DC378" s="9"/>
      <c r="DD378" s="9"/>
      <c r="DE378" s="9"/>
      <c r="DF378" s="9"/>
      <c r="DG378" s="9"/>
      <c r="DH378" s="9"/>
      <c r="DI378" s="9"/>
      <c r="DJ378" s="9"/>
      <c r="DK378" s="9"/>
      <c r="DL378" s="9"/>
      <c r="DM378" s="9"/>
      <c r="DN378" s="9"/>
      <c r="DO378" s="9"/>
      <c r="DP378" s="9"/>
    </row>
    <row r="379" spans="7:120" x14ac:dyDescent="0.2">
      <c r="G379" s="8" t="s">
        <v>491</v>
      </c>
      <c r="H379" s="9"/>
      <c r="I379" s="9"/>
      <c r="J379" s="9"/>
      <c r="K379" s="9">
        <v>565.94000000000005</v>
      </c>
      <c r="L379" s="9">
        <f t="shared" ref="L379:L384" si="399">K379/366</f>
        <v>1.5462841530054647</v>
      </c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  <c r="AW379" s="9"/>
      <c r="AX379" s="9"/>
      <c r="AY379" s="9"/>
      <c r="AZ379" s="9"/>
      <c r="BA379" s="9"/>
      <c r="BB379" s="9"/>
      <c r="BC379" s="9"/>
      <c r="BD379" s="9"/>
      <c r="BE379" s="9"/>
      <c r="BF379" s="9"/>
      <c r="BG379" s="9"/>
      <c r="BH379" s="9"/>
      <c r="BI379" s="9"/>
      <c r="BJ379" s="9"/>
      <c r="BK379" s="9"/>
      <c r="BL379" s="9"/>
      <c r="BM379" s="9"/>
      <c r="BN379" s="9"/>
      <c r="BO379" s="9"/>
      <c r="BP379" s="9"/>
      <c r="BQ379" s="9"/>
      <c r="BR379" s="9"/>
      <c r="BS379" s="9"/>
      <c r="BT379" s="9"/>
      <c r="BU379" s="9"/>
      <c r="BV379" s="9"/>
      <c r="BW379" s="9"/>
      <c r="BX379" s="9"/>
      <c r="BY379" s="9"/>
      <c r="BZ379" s="9"/>
      <c r="CA379" s="9"/>
      <c r="CB379" s="9"/>
      <c r="CC379" s="9"/>
      <c r="CD379" s="9"/>
      <c r="CE379" s="9"/>
      <c r="CF379" s="9"/>
      <c r="CG379" s="9"/>
      <c r="CH379" s="9"/>
      <c r="CI379" s="9"/>
      <c r="CJ379" s="9"/>
      <c r="CK379" s="9"/>
      <c r="CL379" s="9"/>
      <c r="CM379" s="9"/>
      <c r="CN379" s="9"/>
      <c r="CO379" s="9"/>
      <c r="CP379" s="9"/>
      <c r="CQ379" s="9"/>
      <c r="CR379" s="9"/>
      <c r="CS379" s="9"/>
      <c r="CT379" s="9"/>
      <c r="CU379" s="9"/>
      <c r="CV379" s="9"/>
      <c r="CW379" s="9"/>
      <c r="CX379" s="9"/>
      <c r="CY379" s="9"/>
      <c r="CZ379" s="9"/>
      <c r="DA379" s="9"/>
      <c r="DB379" s="9"/>
      <c r="DC379" s="9"/>
      <c r="DD379" s="9"/>
      <c r="DE379" s="9"/>
      <c r="DF379" s="9"/>
      <c r="DG379" s="9"/>
      <c r="DH379" s="9"/>
      <c r="DI379" s="9"/>
      <c r="DJ379" s="9"/>
      <c r="DK379" s="9"/>
      <c r="DL379" s="9"/>
      <c r="DM379" s="9"/>
      <c r="DN379" s="9"/>
      <c r="DO379" s="9"/>
      <c r="DP379" s="9"/>
    </row>
    <row r="380" spans="7:120" x14ac:dyDescent="0.2">
      <c r="G380" s="8" t="s">
        <v>492</v>
      </c>
      <c r="H380" s="9"/>
      <c r="I380" s="9"/>
      <c r="J380" s="9"/>
      <c r="K380" s="9">
        <v>492.62</v>
      </c>
      <c r="L380" s="9">
        <f t="shared" si="399"/>
        <v>1.3459562841530055</v>
      </c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  <c r="AX380" s="9"/>
      <c r="AY380" s="9"/>
      <c r="AZ380" s="9"/>
      <c r="BA380" s="9"/>
      <c r="BB380" s="9"/>
      <c r="BC380" s="9"/>
      <c r="BD380" s="9"/>
      <c r="BE380" s="9"/>
      <c r="BF380" s="9"/>
      <c r="BG380" s="9"/>
      <c r="BH380" s="9"/>
      <c r="BI380" s="9"/>
      <c r="BJ380" s="9"/>
      <c r="BK380" s="9"/>
      <c r="BL380" s="9"/>
      <c r="BM380" s="9"/>
      <c r="BN380" s="9"/>
      <c r="BO380" s="9"/>
      <c r="BP380" s="9"/>
      <c r="BQ380" s="9"/>
      <c r="BR380" s="9"/>
      <c r="BS380" s="9"/>
      <c r="BT380" s="9"/>
      <c r="BU380" s="9"/>
      <c r="BV380" s="9"/>
      <c r="BW380" s="9"/>
      <c r="BX380" s="9"/>
      <c r="BY380" s="9"/>
      <c r="BZ380" s="9"/>
      <c r="CA380" s="9"/>
      <c r="CB380" s="9"/>
      <c r="CC380" s="9"/>
      <c r="CD380" s="9"/>
      <c r="CE380" s="9"/>
      <c r="CF380" s="9"/>
      <c r="CG380" s="9"/>
      <c r="CH380" s="9"/>
      <c r="CI380" s="9"/>
      <c r="CJ380" s="9"/>
      <c r="CK380" s="9"/>
      <c r="CL380" s="9"/>
      <c r="CM380" s="9"/>
      <c r="CN380" s="9"/>
      <c r="CO380" s="9"/>
      <c r="CP380" s="9"/>
      <c r="CQ380" s="9"/>
      <c r="CR380" s="9"/>
      <c r="CS380" s="9"/>
      <c r="CT380" s="9"/>
      <c r="CU380" s="9"/>
      <c r="CV380" s="9"/>
      <c r="CW380" s="9"/>
      <c r="CX380" s="9"/>
      <c r="CY380" s="9"/>
      <c r="CZ380" s="9"/>
      <c r="DA380" s="9"/>
      <c r="DB380" s="9"/>
      <c r="DC380" s="9"/>
      <c r="DD380" s="9"/>
      <c r="DE380" s="9"/>
      <c r="DF380" s="9"/>
      <c r="DG380" s="9"/>
      <c r="DH380" s="9"/>
      <c r="DI380" s="9"/>
      <c r="DJ380" s="9"/>
      <c r="DK380" s="9"/>
      <c r="DL380" s="9"/>
      <c r="DM380" s="9"/>
      <c r="DN380" s="9"/>
      <c r="DO380" s="9"/>
      <c r="DP380" s="9"/>
    </row>
    <row r="381" spans="7:120" x14ac:dyDescent="0.2">
      <c r="G381" s="8" t="s">
        <v>493</v>
      </c>
      <c r="H381" s="9">
        <v>130.16</v>
      </c>
      <c r="I381" s="9">
        <f>H381/365</f>
        <v>0.35660273972602741</v>
      </c>
      <c r="J381" s="9"/>
      <c r="K381" s="9">
        <v>387.46</v>
      </c>
      <c r="L381" s="9">
        <f t="shared" si="399"/>
        <v>1.0586338797814208</v>
      </c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  <c r="AX381" s="9"/>
      <c r="AY381" s="9"/>
      <c r="AZ381" s="9"/>
      <c r="BA381" s="9"/>
      <c r="BB381" s="9"/>
      <c r="BC381" s="9"/>
      <c r="BD381" s="9"/>
      <c r="BE381" s="9"/>
      <c r="BF381" s="9"/>
      <c r="BG381" s="9"/>
      <c r="BH381" s="9"/>
      <c r="BI381" s="9"/>
      <c r="BJ381" s="9"/>
      <c r="BK381" s="9"/>
      <c r="BL381" s="9"/>
      <c r="BM381" s="9"/>
      <c r="BN381" s="9"/>
      <c r="BO381" s="9"/>
      <c r="BP381" s="9"/>
      <c r="BQ381" s="9"/>
      <c r="BR381" s="9"/>
      <c r="BS381" s="9"/>
      <c r="BT381" s="9"/>
      <c r="BU381" s="9"/>
      <c r="BV381" s="9"/>
      <c r="BW381" s="9"/>
      <c r="BX381" s="9"/>
      <c r="BY381" s="9"/>
      <c r="BZ381" s="9"/>
      <c r="CA381" s="9"/>
      <c r="CB381" s="9"/>
      <c r="CC381" s="9"/>
      <c r="CD381" s="9"/>
      <c r="CE381" s="9"/>
      <c r="CF381" s="9"/>
      <c r="CG381" s="9"/>
      <c r="CH381" s="9"/>
      <c r="CI381" s="9"/>
      <c r="CJ381" s="9"/>
      <c r="CK381" s="9"/>
      <c r="CL381" s="9"/>
      <c r="CM381" s="9"/>
      <c r="CN381" s="9"/>
      <c r="CO381" s="9"/>
      <c r="CP381" s="9"/>
      <c r="CQ381" s="9"/>
      <c r="CR381" s="9"/>
      <c r="CS381" s="9"/>
      <c r="CT381" s="9"/>
      <c r="CU381" s="9"/>
      <c r="CV381" s="9"/>
      <c r="CW381" s="9"/>
      <c r="CX381" s="9"/>
      <c r="CY381" s="9"/>
      <c r="CZ381" s="9"/>
      <c r="DA381" s="9"/>
      <c r="DB381" s="9"/>
      <c r="DC381" s="9"/>
      <c r="DD381" s="9"/>
      <c r="DE381" s="9"/>
      <c r="DF381" s="9"/>
      <c r="DG381" s="9"/>
      <c r="DH381" s="9"/>
      <c r="DI381" s="9"/>
      <c r="DJ381" s="9"/>
      <c r="DK381" s="9"/>
      <c r="DL381" s="9"/>
      <c r="DM381" s="9"/>
      <c r="DN381" s="9"/>
      <c r="DO381" s="9"/>
      <c r="DP381" s="9"/>
    </row>
    <row r="382" spans="7:120" x14ac:dyDescent="0.2">
      <c r="G382" s="8" t="s">
        <v>494</v>
      </c>
      <c r="H382" s="9">
        <v>324.22000000000003</v>
      </c>
      <c r="I382" s="9">
        <f>H382/365</f>
        <v>0.88827397260273977</v>
      </c>
      <c r="J382" s="9"/>
      <c r="K382" s="9">
        <v>136.26</v>
      </c>
      <c r="L382" s="9">
        <f t="shared" si="399"/>
        <v>0.37229508196721312</v>
      </c>
      <c r="M382" s="9"/>
      <c r="N382" s="9"/>
      <c r="O382" s="9"/>
      <c r="P382" s="9"/>
      <c r="Q382" s="9">
        <v>248.49</v>
      </c>
      <c r="R382" s="9">
        <f>Q382/181</f>
        <v>1.3728729281767957</v>
      </c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  <c r="AX382" s="9"/>
      <c r="AY382" s="9"/>
      <c r="AZ382" s="9"/>
      <c r="BA382" s="9"/>
      <c r="BB382" s="9"/>
      <c r="BC382" s="9"/>
      <c r="BD382" s="9"/>
      <c r="BE382" s="9"/>
      <c r="BF382" s="9"/>
      <c r="BG382" s="9"/>
      <c r="BH382" s="9"/>
      <c r="BI382" s="9"/>
      <c r="BJ382" s="9"/>
      <c r="BK382" s="9"/>
      <c r="BL382" s="9"/>
      <c r="BM382" s="9"/>
      <c r="BN382" s="9"/>
      <c r="BO382" s="9"/>
      <c r="BP382" s="9"/>
      <c r="BQ382" s="9"/>
      <c r="BR382" s="9"/>
      <c r="BS382" s="9"/>
      <c r="BT382" s="9"/>
      <c r="BU382" s="9"/>
      <c r="BV382" s="9"/>
      <c r="BW382" s="9"/>
      <c r="BX382" s="9"/>
      <c r="BY382" s="9"/>
      <c r="BZ382" s="9"/>
      <c r="CA382" s="9"/>
      <c r="CB382" s="9"/>
      <c r="CC382" s="9"/>
      <c r="CD382" s="9"/>
      <c r="CE382" s="9"/>
      <c r="CF382" s="9"/>
      <c r="CG382" s="9"/>
      <c r="CH382" s="9"/>
      <c r="CI382" s="9"/>
      <c r="CJ382" s="9"/>
      <c r="CK382" s="9"/>
      <c r="CL382" s="9"/>
      <c r="CM382" s="9"/>
      <c r="CN382" s="9"/>
      <c r="CO382" s="9"/>
      <c r="CP382" s="9"/>
      <c r="CQ382" s="9"/>
      <c r="CR382" s="9"/>
      <c r="CS382" s="9"/>
      <c r="CT382" s="9"/>
      <c r="CU382" s="9"/>
      <c r="CV382" s="9"/>
      <c r="CW382" s="9"/>
      <c r="CX382" s="9"/>
      <c r="CY382" s="9"/>
      <c r="CZ382" s="9"/>
      <c r="DA382" s="9"/>
      <c r="DB382" s="9"/>
      <c r="DC382" s="9"/>
      <c r="DD382" s="9"/>
      <c r="DE382" s="9"/>
      <c r="DF382" s="9"/>
      <c r="DG382" s="9"/>
      <c r="DH382" s="9"/>
      <c r="DI382" s="9"/>
      <c r="DJ382" s="9"/>
      <c r="DK382" s="9"/>
      <c r="DL382" s="9"/>
      <c r="DM382" s="9"/>
      <c r="DN382" s="9"/>
      <c r="DO382" s="9"/>
      <c r="DP382" s="9"/>
    </row>
    <row r="383" spans="7:120" x14ac:dyDescent="0.2">
      <c r="G383" s="8" t="s">
        <v>495</v>
      </c>
      <c r="H383" s="9">
        <v>241.92</v>
      </c>
      <c r="I383" s="9">
        <f>H383/365</f>
        <v>0.66279452054794519</v>
      </c>
      <c r="J383" s="9"/>
      <c r="K383" s="9">
        <v>184.4</v>
      </c>
      <c r="L383" s="9">
        <f t="shared" si="399"/>
        <v>0.50382513661202188</v>
      </c>
      <c r="M383" s="9"/>
      <c r="N383" s="9">
        <v>96.76</v>
      </c>
      <c r="O383" s="9">
        <f>N383/365</f>
        <v>0.26509589041095893</v>
      </c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  <c r="AX383" s="9"/>
      <c r="AY383" s="9"/>
      <c r="AZ383" s="9"/>
      <c r="BA383" s="9"/>
      <c r="BB383" s="9"/>
      <c r="BC383" s="9"/>
      <c r="BD383" s="9"/>
      <c r="BE383" s="9"/>
      <c r="BF383" s="9"/>
      <c r="BG383" s="9"/>
      <c r="BH383" s="9"/>
      <c r="BI383" s="9"/>
      <c r="BJ383" s="9"/>
      <c r="BK383" s="9"/>
      <c r="BL383" s="9"/>
      <c r="BM383" s="9"/>
      <c r="BN383" s="9"/>
      <c r="BO383" s="9"/>
      <c r="BP383" s="9"/>
      <c r="BQ383" s="9"/>
      <c r="BR383" s="9"/>
      <c r="BS383" s="9"/>
      <c r="BT383" s="9"/>
      <c r="BU383" s="9"/>
      <c r="BV383" s="9"/>
      <c r="BW383" s="9"/>
      <c r="BX383" s="9"/>
      <c r="BY383" s="9"/>
      <c r="BZ383" s="9"/>
      <c r="CA383" s="9"/>
      <c r="CB383" s="9"/>
      <c r="CC383" s="9"/>
      <c r="CD383" s="9"/>
      <c r="CE383" s="9"/>
      <c r="CF383" s="9"/>
      <c r="CG383" s="9"/>
      <c r="CH383" s="9"/>
      <c r="CI383" s="9"/>
      <c r="CJ383" s="9"/>
      <c r="CK383" s="9"/>
      <c r="CL383" s="9"/>
      <c r="CM383" s="9"/>
      <c r="CN383" s="9"/>
      <c r="CO383" s="9"/>
      <c r="CP383" s="9"/>
      <c r="CQ383" s="9"/>
      <c r="CR383" s="9"/>
      <c r="CS383" s="9"/>
      <c r="CT383" s="9"/>
      <c r="CU383" s="9"/>
      <c r="CV383" s="9"/>
      <c r="CW383" s="9"/>
      <c r="CX383" s="9"/>
      <c r="CY383" s="9"/>
      <c r="CZ383" s="9"/>
      <c r="DA383" s="9"/>
      <c r="DB383" s="9"/>
      <c r="DC383" s="9"/>
      <c r="DD383" s="9"/>
      <c r="DE383" s="9"/>
      <c r="DF383" s="9"/>
      <c r="DG383" s="9"/>
      <c r="DH383" s="9"/>
      <c r="DI383" s="9"/>
      <c r="DJ383" s="9"/>
      <c r="DK383" s="9"/>
      <c r="DL383" s="9"/>
      <c r="DM383" s="9"/>
      <c r="DN383" s="9"/>
      <c r="DO383" s="9"/>
      <c r="DP383" s="9"/>
    </row>
    <row r="384" spans="7:120" x14ac:dyDescent="0.2">
      <c r="G384" s="8" t="s">
        <v>496</v>
      </c>
      <c r="H384" s="9">
        <v>262.32</v>
      </c>
      <c r="I384" s="9">
        <f>H384/365</f>
        <v>0.71868493150684931</v>
      </c>
      <c r="J384" s="9"/>
      <c r="K384" s="9">
        <v>162.54</v>
      </c>
      <c r="L384" s="9">
        <f t="shared" si="399"/>
        <v>0.44409836065573766</v>
      </c>
      <c r="M384" s="9"/>
      <c r="N384" s="9">
        <v>75</v>
      </c>
      <c r="O384" s="9">
        <f>N384/365</f>
        <v>0.20547945205479451</v>
      </c>
      <c r="P384" s="9"/>
      <c r="Q384" s="9">
        <v>35.450000000000003</v>
      </c>
      <c r="R384" s="9">
        <f>Q384/181</f>
        <v>0.19585635359116024</v>
      </c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  <c r="AX384" s="9"/>
      <c r="AY384" s="9"/>
      <c r="AZ384" s="9"/>
      <c r="BA384" s="9"/>
      <c r="BB384" s="9"/>
      <c r="BC384" s="9"/>
      <c r="BD384" s="9"/>
      <c r="BE384" s="9"/>
      <c r="BF384" s="9"/>
      <c r="BG384" s="9"/>
      <c r="BH384" s="9"/>
      <c r="BI384" s="9"/>
      <c r="BJ384" s="9"/>
      <c r="BK384" s="9"/>
      <c r="BL384" s="9"/>
      <c r="BM384" s="9"/>
      <c r="BN384" s="9"/>
      <c r="BO384" s="9"/>
      <c r="BP384" s="9"/>
      <c r="BQ384" s="9"/>
      <c r="BR384" s="9"/>
      <c r="BS384" s="9"/>
      <c r="BT384" s="9"/>
      <c r="BU384" s="9"/>
      <c r="BV384" s="9"/>
      <c r="BW384" s="9"/>
      <c r="BX384" s="9"/>
      <c r="BY384" s="9"/>
      <c r="BZ384" s="9"/>
      <c r="CA384" s="9"/>
      <c r="CB384" s="9"/>
      <c r="CC384" s="9"/>
      <c r="CD384" s="9"/>
      <c r="CE384" s="9"/>
      <c r="CF384" s="9"/>
      <c r="CG384" s="9"/>
      <c r="CH384" s="9"/>
      <c r="CI384" s="9"/>
      <c r="CJ384" s="9"/>
      <c r="CK384" s="9"/>
      <c r="CL384" s="9"/>
      <c r="CM384" s="9"/>
      <c r="CN384" s="9"/>
      <c r="CO384" s="9"/>
      <c r="CP384" s="9"/>
      <c r="CQ384" s="9"/>
      <c r="CR384" s="9"/>
      <c r="CS384" s="9"/>
      <c r="CT384" s="9"/>
      <c r="CU384" s="9"/>
      <c r="CV384" s="9"/>
      <c r="CW384" s="9"/>
      <c r="CX384" s="9"/>
      <c r="CY384" s="9"/>
      <c r="CZ384" s="9"/>
      <c r="DA384" s="9"/>
      <c r="DB384" s="9"/>
      <c r="DC384" s="9"/>
      <c r="DD384" s="9"/>
      <c r="DE384" s="9"/>
      <c r="DF384" s="9"/>
      <c r="DG384" s="9"/>
      <c r="DH384" s="9"/>
      <c r="DI384" s="9"/>
      <c r="DJ384" s="9"/>
      <c r="DK384" s="9"/>
      <c r="DL384" s="9"/>
      <c r="DM384" s="9"/>
      <c r="DN384" s="9"/>
      <c r="DO384" s="9"/>
      <c r="DP384" s="9"/>
    </row>
    <row r="385" spans="7:120" x14ac:dyDescent="0.2">
      <c r="G385" s="8" t="s">
        <v>497</v>
      </c>
      <c r="H385" s="9"/>
      <c r="I385" s="9"/>
      <c r="J385" s="9"/>
      <c r="K385" s="9"/>
      <c r="L385" s="9"/>
      <c r="M385" s="9"/>
      <c r="N385" s="9">
        <v>243.53</v>
      </c>
      <c r="O385" s="9">
        <f>N385/365</f>
        <v>0.66720547945205477</v>
      </c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  <c r="AX385" s="9"/>
      <c r="AY385" s="9"/>
      <c r="AZ385" s="9"/>
      <c r="BA385" s="9"/>
      <c r="BB385" s="9"/>
      <c r="BC385" s="9"/>
      <c r="BD385" s="9"/>
      <c r="BE385" s="9"/>
      <c r="BF385" s="9"/>
      <c r="BG385" s="9"/>
      <c r="BH385" s="9"/>
      <c r="BI385" s="9"/>
      <c r="BJ385" s="9"/>
      <c r="BK385" s="9"/>
      <c r="BL385" s="9"/>
      <c r="BM385" s="9"/>
      <c r="BN385" s="9"/>
      <c r="BO385" s="9"/>
      <c r="BP385" s="9"/>
      <c r="BQ385" s="9"/>
      <c r="BR385" s="9"/>
      <c r="BS385" s="9"/>
      <c r="BT385" s="9"/>
      <c r="BU385" s="9"/>
      <c r="BV385" s="9"/>
      <c r="BW385" s="9"/>
      <c r="BX385" s="9"/>
      <c r="BY385" s="9"/>
      <c r="BZ385" s="9"/>
      <c r="CA385" s="9"/>
      <c r="CB385" s="9"/>
      <c r="CC385" s="9"/>
      <c r="CD385" s="9"/>
      <c r="CE385" s="9"/>
      <c r="CF385" s="9"/>
      <c r="CG385" s="9"/>
      <c r="CH385" s="9"/>
      <c r="CI385" s="9"/>
      <c r="CJ385" s="9"/>
      <c r="CK385" s="9"/>
      <c r="CL385" s="9"/>
      <c r="CM385" s="9"/>
      <c r="CN385" s="9"/>
      <c r="CO385" s="9"/>
      <c r="CP385" s="9"/>
      <c r="CQ385" s="9"/>
      <c r="CR385" s="9"/>
      <c r="CS385" s="9"/>
      <c r="CT385" s="9"/>
      <c r="CU385" s="9"/>
      <c r="CV385" s="9"/>
      <c r="CW385" s="9"/>
      <c r="CX385" s="9"/>
      <c r="CY385" s="9"/>
      <c r="CZ385" s="9"/>
      <c r="DA385" s="9"/>
      <c r="DB385" s="9"/>
      <c r="DC385" s="9"/>
      <c r="DD385" s="9"/>
      <c r="DE385" s="9"/>
      <c r="DF385" s="9"/>
      <c r="DG385" s="9"/>
      <c r="DH385" s="9"/>
      <c r="DI385" s="9"/>
      <c r="DJ385" s="9"/>
      <c r="DK385" s="9"/>
      <c r="DL385" s="9"/>
      <c r="DM385" s="9"/>
      <c r="DN385" s="9"/>
      <c r="DO385" s="9"/>
      <c r="DP385" s="9"/>
    </row>
    <row r="386" spans="7:120" x14ac:dyDescent="0.2">
      <c r="G386" s="8" t="s">
        <v>498</v>
      </c>
      <c r="H386" s="9"/>
      <c r="I386" s="9"/>
      <c r="J386" s="9"/>
      <c r="K386" s="9">
        <v>218.53</v>
      </c>
      <c r="L386" s="9">
        <f>K386/366</f>
        <v>0.59707650273224044</v>
      </c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  <c r="AX386" s="9"/>
      <c r="AY386" s="9"/>
      <c r="AZ386" s="9"/>
      <c r="BA386" s="9"/>
      <c r="BB386" s="9"/>
      <c r="BC386" s="9"/>
      <c r="BD386" s="9"/>
      <c r="BE386" s="9"/>
      <c r="BF386" s="9"/>
      <c r="BG386" s="9"/>
      <c r="BH386" s="9"/>
      <c r="BI386" s="9"/>
      <c r="BJ386" s="9"/>
      <c r="BK386" s="9"/>
      <c r="BL386" s="9"/>
      <c r="BM386" s="9"/>
      <c r="BN386" s="9"/>
      <c r="BO386" s="9"/>
      <c r="BP386" s="9"/>
      <c r="BQ386" s="9"/>
      <c r="BR386" s="9"/>
      <c r="BS386" s="9"/>
      <c r="BT386" s="9"/>
      <c r="BU386" s="9"/>
      <c r="BV386" s="9"/>
      <c r="BW386" s="9"/>
      <c r="BX386" s="9"/>
      <c r="BY386" s="9"/>
      <c r="BZ386" s="9"/>
      <c r="CA386" s="9"/>
      <c r="CB386" s="9"/>
      <c r="CC386" s="9"/>
      <c r="CD386" s="9"/>
      <c r="CE386" s="9"/>
      <c r="CF386" s="9"/>
      <c r="CG386" s="9"/>
      <c r="CH386" s="9"/>
      <c r="CI386" s="9"/>
      <c r="CJ386" s="9"/>
      <c r="CK386" s="9"/>
      <c r="CL386" s="9"/>
      <c r="CM386" s="9"/>
      <c r="CN386" s="9"/>
      <c r="CO386" s="9"/>
      <c r="CP386" s="9"/>
      <c r="CQ386" s="9"/>
      <c r="CR386" s="9"/>
      <c r="CS386" s="9"/>
      <c r="CT386" s="9"/>
      <c r="CU386" s="9"/>
      <c r="CV386" s="9"/>
      <c r="CW386" s="9"/>
      <c r="CX386" s="9"/>
      <c r="CY386" s="9"/>
      <c r="CZ386" s="9"/>
      <c r="DA386" s="9"/>
      <c r="DB386" s="9"/>
      <c r="DC386" s="9"/>
      <c r="DD386" s="9"/>
      <c r="DE386" s="9"/>
      <c r="DF386" s="9"/>
      <c r="DG386" s="9"/>
      <c r="DH386" s="9"/>
      <c r="DI386" s="9"/>
      <c r="DJ386" s="9"/>
      <c r="DK386" s="9"/>
      <c r="DL386" s="9"/>
      <c r="DM386" s="9"/>
      <c r="DN386" s="9"/>
      <c r="DO386" s="9"/>
      <c r="DP386" s="9"/>
    </row>
    <row r="387" spans="7:120" x14ac:dyDescent="0.2">
      <c r="G387" s="8" t="s">
        <v>499</v>
      </c>
      <c r="H387" s="9">
        <v>1728.51</v>
      </c>
      <c r="I387" s="9">
        <f>H387/365</f>
        <v>4.7356438356164388</v>
      </c>
      <c r="J387" s="9"/>
      <c r="K387" s="9">
        <v>183.86</v>
      </c>
      <c r="L387" s="9">
        <f>K387/366</f>
        <v>0.50234972677595635</v>
      </c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  <c r="AX387" s="9"/>
      <c r="AY387" s="9"/>
      <c r="AZ387" s="9"/>
      <c r="BA387" s="9"/>
      <c r="BB387" s="9"/>
      <c r="BC387" s="9"/>
      <c r="BD387" s="9"/>
      <c r="BE387" s="9"/>
      <c r="BF387" s="9"/>
      <c r="BG387" s="9"/>
      <c r="BH387" s="9"/>
      <c r="BI387" s="9"/>
      <c r="BJ387" s="9"/>
      <c r="BK387" s="9"/>
      <c r="BL387" s="9"/>
      <c r="BM387" s="9"/>
      <c r="BN387" s="9"/>
      <c r="BO387" s="9"/>
      <c r="BP387" s="9"/>
      <c r="BQ387" s="9"/>
      <c r="BR387" s="9"/>
      <c r="BS387" s="9"/>
      <c r="BT387" s="9"/>
      <c r="BU387" s="9"/>
      <c r="BV387" s="9"/>
      <c r="BW387" s="9"/>
      <c r="BX387" s="9"/>
      <c r="BY387" s="9"/>
      <c r="BZ387" s="9"/>
      <c r="CA387" s="9"/>
      <c r="CB387" s="9"/>
      <c r="CC387" s="9"/>
      <c r="CD387" s="9"/>
      <c r="CE387" s="9"/>
      <c r="CF387" s="9"/>
      <c r="CG387" s="9"/>
      <c r="CH387" s="9"/>
      <c r="CI387" s="9"/>
      <c r="CJ387" s="9"/>
      <c r="CK387" s="9"/>
      <c r="CL387" s="9"/>
      <c r="CM387" s="9"/>
      <c r="CN387" s="9"/>
      <c r="CO387" s="9"/>
      <c r="CP387" s="9"/>
      <c r="CQ387" s="9"/>
      <c r="CR387" s="9"/>
      <c r="CS387" s="9"/>
      <c r="CT387" s="9"/>
      <c r="CU387" s="9"/>
      <c r="CV387" s="9"/>
      <c r="CW387" s="9"/>
      <c r="CX387" s="9"/>
      <c r="CY387" s="9"/>
      <c r="CZ387" s="9"/>
      <c r="DA387" s="9"/>
      <c r="DB387" s="9"/>
      <c r="DC387" s="9"/>
      <c r="DD387" s="9"/>
      <c r="DE387" s="9"/>
      <c r="DF387" s="9"/>
      <c r="DG387" s="9"/>
      <c r="DH387" s="9"/>
      <c r="DI387" s="9"/>
      <c r="DJ387" s="9"/>
      <c r="DK387" s="9"/>
      <c r="DL387" s="9"/>
      <c r="DM387" s="9"/>
      <c r="DN387" s="9"/>
      <c r="DO387" s="9"/>
      <c r="DP387" s="9"/>
    </row>
    <row r="388" spans="7:120" x14ac:dyDescent="0.2">
      <c r="G388" s="8" t="s">
        <v>500</v>
      </c>
      <c r="H388" s="9"/>
      <c r="I388" s="9"/>
      <c r="J388" s="9"/>
      <c r="K388" s="9"/>
      <c r="L388" s="9"/>
      <c r="M388" s="9"/>
      <c r="N388" s="9">
        <v>35.42</v>
      </c>
      <c r="O388" s="9">
        <f>N388/365</f>
        <v>9.7041095890410961E-2</v>
      </c>
      <c r="P388" s="9"/>
      <c r="Q388" s="9">
        <v>89.17</v>
      </c>
      <c r="R388" s="9">
        <f>Q388/181</f>
        <v>0.49265193370165744</v>
      </c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  <c r="AX388" s="9"/>
      <c r="AY388" s="9"/>
      <c r="AZ388" s="9"/>
      <c r="BA388" s="9"/>
      <c r="BB388" s="9"/>
      <c r="BC388" s="9"/>
      <c r="BD388" s="9"/>
      <c r="BE388" s="9"/>
      <c r="BF388" s="9"/>
      <c r="BG388" s="9"/>
      <c r="BH388" s="9"/>
      <c r="BI388" s="9"/>
      <c r="BJ388" s="9"/>
      <c r="BK388" s="9"/>
      <c r="BL388" s="9"/>
      <c r="BM388" s="9"/>
      <c r="BN388" s="9"/>
      <c r="BO388" s="9"/>
      <c r="BP388" s="9"/>
      <c r="BQ388" s="9"/>
      <c r="BR388" s="9"/>
      <c r="BS388" s="9"/>
      <c r="BT388" s="9"/>
      <c r="BU388" s="9"/>
      <c r="BV388" s="9"/>
      <c r="BW388" s="9"/>
      <c r="BX388" s="9"/>
      <c r="BY388" s="9"/>
      <c r="BZ388" s="9"/>
      <c r="CA388" s="9"/>
      <c r="CB388" s="9"/>
      <c r="CC388" s="9"/>
      <c r="CD388" s="9"/>
      <c r="CE388" s="9"/>
      <c r="CF388" s="9"/>
      <c r="CG388" s="9"/>
      <c r="CH388" s="9"/>
      <c r="CI388" s="9"/>
      <c r="CJ388" s="9"/>
      <c r="CK388" s="9"/>
      <c r="CL388" s="9"/>
      <c r="CM388" s="9"/>
      <c r="CN388" s="9"/>
      <c r="CO388" s="9"/>
      <c r="CP388" s="9"/>
      <c r="CQ388" s="9"/>
      <c r="CR388" s="9"/>
      <c r="CS388" s="9"/>
      <c r="CT388" s="9"/>
      <c r="CU388" s="9"/>
      <c r="CV388" s="9"/>
      <c r="CW388" s="9"/>
      <c r="CX388" s="9"/>
      <c r="CY388" s="9"/>
      <c r="CZ388" s="9"/>
      <c r="DA388" s="9"/>
      <c r="DB388" s="9"/>
      <c r="DC388" s="9"/>
      <c r="DD388" s="9"/>
      <c r="DE388" s="9"/>
      <c r="DF388" s="9"/>
      <c r="DG388" s="9"/>
      <c r="DH388" s="9"/>
      <c r="DI388" s="9"/>
      <c r="DJ388" s="9"/>
      <c r="DK388" s="9"/>
      <c r="DL388" s="9"/>
      <c r="DM388" s="9"/>
      <c r="DN388" s="9"/>
      <c r="DO388" s="9"/>
      <c r="DP388" s="9"/>
    </row>
    <row r="389" spans="7:120" x14ac:dyDescent="0.2">
      <c r="G389" s="8" t="s">
        <v>501</v>
      </c>
      <c r="H389" s="9">
        <v>777.94</v>
      </c>
      <c r="I389" s="9">
        <f>H389/365</f>
        <v>2.1313424657534248</v>
      </c>
      <c r="J389" s="9"/>
      <c r="K389" s="9">
        <v>82.21</v>
      </c>
      <c r="L389" s="9">
        <f>K389/366</f>
        <v>0.2246174863387978</v>
      </c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  <c r="AX389" s="9"/>
      <c r="AY389" s="9"/>
      <c r="AZ389" s="9"/>
      <c r="BA389" s="9"/>
      <c r="BB389" s="9"/>
      <c r="BC389" s="9"/>
      <c r="BD389" s="9"/>
      <c r="BE389" s="9"/>
      <c r="BF389" s="9"/>
      <c r="BG389" s="9"/>
      <c r="BH389" s="9"/>
      <c r="BI389" s="9"/>
      <c r="BJ389" s="9"/>
      <c r="BK389" s="9"/>
      <c r="BL389" s="9"/>
      <c r="BM389" s="9"/>
      <c r="BN389" s="9"/>
      <c r="BO389" s="9"/>
      <c r="BP389" s="9"/>
      <c r="BQ389" s="9"/>
      <c r="BR389" s="9"/>
      <c r="BS389" s="9"/>
      <c r="BT389" s="9"/>
      <c r="BU389" s="9"/>
      <c r="BV389" s="9"/>
      <c r="BW389" s="9"/>
      <c r="BX389" s="9"/>
      <c r="BY389" s="9"/>
      <c r="BZ389" s="9"/>
      <c r="CA389" s="9"/>
      <c r="CB389" s="9"/>
      <c r="CC389" s="9"/>
      <c r="CD389" s="9"/>
      <c r="CE389" s="9"/>
      <c r="CF389" s="9"/>
      <c r="CG389" s="9"/>
      <c r="CH389" s="9"/>
      <c r="CI389" s="9"/>
      <c r="CJ389" s="9"/>
      <c r="CK389" s="9"/>
      <c r="CL389" s="9"/>
      <c r="CM389" s="9"/>
      <c r="CN389" s="9"/>
      <c r="CO389" s="9"/>
      <c r="CP389" s="9"/>
      <c r="CQ389" s="9"/>
      <c r="CR389" s="9"/>
      <c r="CS389" s="9"/>
      <c r="CT389" s="9"/>
      <c r="CU389" s="9"/>
      <c r="CV389" s="9"/>
      <c r="CW389" s="9"/>
      <c r="CX389" s="9"/>
      <c r="CY389" s="9"/>
      <c r="CZ389" s="9"/>
      <c r="DA389" s="9"/>
      <c r="DB389" s="9"/>
      <c r="DC389" s="9"/>
      <c r="DD389" s="9"/>
      <c r="DE389" s="9"/>
      <c r="DF389" s="9"/>
      <c r="DG389" s="9"/>
      <c r="DH389" s="9"/>
      <c r="DI389" s="9"/>
      <c r="DJ389" s="9"/>
      <c r="DK389" s="9"/>
      <c r="DL389" s="9"/>
      <c r="DM389" s="9"/>
      <c r="DN389" s="9"/>
      <c r="DO389" s="9"/>
      <c r="DP389" s="9"/>
    </row>
    <row r="390" spans="7:120" x14ac:dyDescent="0.2">
      <c r="G390" s="8" t="s">
        <v>502</v>
      </c>
      <c r="H390" s="9"/>
      <c r="I390" s="9"/>
      <c r="J390" s="9"/>
      <c r="K390" s="9"/>
      <c r="L390" s="9"/>
      <c r="M390" s="9"/>
      <c r="N390" s="9">
        <v>38.229999999999997</v>
      </c>
      <c r="O390" s="9">
        <f>N390/365</f>
        <v>0.10473972602739726</v>
      </c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  <c r="AW390" s="9"/>
      <c r="AX390" s="9"/>
      <c r="AY390" s="9"/>
      <c r="AZ390" s="9"/>
      <c r="BA390" s="9"/>
      <c r="BB390" s="9"/>
      <c r="BC390" s="9"/>
      <c r="BD390" s="9"/>
      <c r="BE390" s="9"/>
      <c r="BF390" s="9"/>
      <c r="BG390" s="9"/>
      <c r="BH390" s="9"/>
      <c r="BI390" s="9"/>
      <c r="BJ390" s="9"/>
      <c r="BK390" s="9"/>
      <c r="BL390" s="9"/>
      <c r="BM390" s="9"/>
      <c r="BN390" s="9"/>
      <c r="BO390" s="9"/>
      <c r="BP390" s="9"/>
      <c r="BQ390" s="9"/>
      <c r="BR390" s="9"/>
      <c r="BS390" s="9"/>
      <c r="BT390" s="9"/>
      <c r="BU390" s="9"/>
      <c r="BV390" s="9"/>
      <c r="BW390" s="9"/>
      <c r="BX390" s="9"/>
      <c r="BY390" s="9"/>
      <c r="BZ390" s="9"/>
      <c r="CA390" s="9"/>
      <c r="CB390" s="9"/>
      <c r="CC390" s="9"/>
      <c r="CD390" s="9"/>
      <c r="CE390" s="9"/>
      <c r="CF390" s="9"/>
      <c r="CG390" s="9"/>
      <c r="CH390" s="9"/>
      <c r="CI390" s="9"/>
      <c r="CJ390" s="9"/>
      <c r="CK390" s="9"/>
      <c r="CL390" s="9"/>
      <c r="CM390" s="9"/>
      <c r="CN390" s="9"/>
      <c r="CO390" s="9"/>
      <c r="CP390" s="9"/>
      <c r="CQ390" s="9"/>
      <c r="CR390" s="9"/>
      <c r="CS390" s="9"/>
      <c r="CT390" s="9"/>
      <c r="CU390" s="9"/>
      <c r="CV390" s="9"/>
      <c r="CW390" s="9"/>
      <c r="CX390" s="9"/>
      <c r="CY390" s="9"/>
      <c r="CZ390" s="9"/>
      <c r="DA390" s="9"/>
      <c r="DB390" s="9"/>
      <c r="DC390" s="9"/>
      <c r="DD390" s="9"/>
      <c r="DE390" s="9"/>
      <c r="DF390" s="9"/>
      <c r="DG390" s="9"/>
      <c r="DH390" s="9"/>
      <c r="DI390" s="9"/>
      <c r="DJ390" s="9"/>
      <c r="DK390" s="9"/>
      <c r="DL390" s="9"/>
      <c r="DM390" s="9"/>
      <c r="DN390" s="9"/>
      <c r="DO390" s="9"/>
      <c r="DP390" s="9"/>
    </row>
    <row r="391" spans="7:120" x14ac:dyDescent="0.2">
      <c r="G391" s="8" t="s">
        <v>503</v>
      </c>
      <c r="H391" s="9"/>
      <c r="I391" s="9"/>
      <c r="J391" s="9"/>
      <c r="K391" s="9"/>
      <c r="L391" s="9"/>
      <c r="M391" s="9"/>
      <c r="N391" s="9">
        <v>22.64</v>
      </c>
      <c r="O391" s="9">
        <f>N391/365</f>
        <v>6.2027397260273974E-2</v>
      </c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  <c r="AW391" s="9"/>
      <c r="AX391" s="9"/>
      <c r="AY391" s="9"/>
      <c r="AZ391" s="9"/>
      <c r="BA391" s="9"/>
      <c r="BB391" s="9"/>
      <c r="BC391" s="9"/>
      <c r="BD391" s="9"/>
      <c r="BE391" s="9"/>
      <c r="BF391" s="9"/>
      <c r="BG391" s="9"/>
      <c r="BH391" s="9"/>
      <c r="BI391" s="9"/>
      <c r="BJ391" s="9"/>
      <c r="BK391" s="9"/>
      <c r="BL391" s="9"/>
      <c r="BM391" s="9"/>
      <c r="BN391" s="9"/>
      <c r="BO391" s="9"/>
      <c r="BP391" s="9"/>
      <c r="BQ391" s="9"/>
      <c r="BR391" s="9"/>
      <c r="BS391" s="9"/>
      <c r="BT391" s="9"/>
      <c r="BU391" s="9"/>
      <c r="BV391" s="9"/>
      <c r="BW391" s="9"/>
      <c r="BX391" s="9"/>
      <c r="BY391" s="9"/>
      <c r="BZ391" s="9"/>
      <c r="CA391" s="9"/>
      <c r="CB391" s="9"/>
      <c r="CC391" s="9"/>
      <c r="CD391" s="9"/>
      <c r="CE391" s="9"/>
      <c r="CF391" s="9"/>
      <c r="CG391" s="9"/>
      <c r="CH391" s="9"/>
      <c r="CI391" s="9"/>
      <c r="CJ391" s="9"/>
      <c r="CK391" s="9"/>
      <c r="CL391" s="9"/>
      <c r="CM391" s="9"/>
      <c r="CN391" s="9"/>
      <c r="CO391" s="9"/>
      <c r="CP391" s="9"/>
      <c r="CQ391" s="9"/>
      <c r="CR391" s="9"/>
      <c r="CS391" s="9"/>
      <c r="CT391" s="9"/>
      <c r="CU391" s="9"/>
      <c r="CV391" s="9"/>
      <c r="CW391" s="9"/>
      <c r="CX391" s="9"/>
      <c r="CY391" s="9"/>
      <c r="CZ391" s="9"/>
      <c r="DA391" s="9"/>
      <c r="DB391" s="9"/>
      <c r="DC391" s="9"/>
      <c r="DD391" s="9"/>
      <c r="DE391" s="9"/>
      <c r="DF391" s="9"/>
      <c r="DG391" s="9"/>
      <c r="DH391" s="9"/>
      <c r="DI391" s="9"/>
      <c r="DJ391" s="9"/>
      <c r="DK391" s="9"/>
      <c r="DL391" s="9"/>
      <c r="DM391" s="9"/>
      <c r="DN391" s="9"/>
      <c r="DO391" s="9"/>
      <c r="DP391" s="9"/>
    </row>
    <row r="392" spans="7:120" x14ac:dyDescent="0.2">
      <c r="G392" s="10"/>
      <c r="H392" s="11">
        <f t="shared" ref="H392:AM392" si="400">SUM(H2:H391)</f>
        <v>283304349.78000003</v>
      </c>
      <c r="I392" s="11">
        <f t="shared" si="400"/>
        <v>776176.30076712416</v>
      </c>
      <c r="J392" s="11">
        <f t="shared" si="400"/>
        <v>286669945.29470015</v>
      </c>
      <c r="K392" s="11">
        <f t="shared" si="400"/>
        <v>282805613.16000009</v>
      </c>
      <c r="L392" s="11">
        <f t="shared" si="400"/>
        <v>772692.93213114701</v>
      </c>
      <c r="M392" s="11">
        <f t="shared" si="400"/>
        <v>264893139.12920004</v>
      </c>
      <c r="N392" s="11">
        <f t="shared" si="400"/>
        <v>272464017.28000003</v>
      </c>
      <c r="O392" s="11">
        <f t="shared" si="400"/>
        <v>746476.7596712329</v>
      </c>
      <c r="P392" s="11">
        <f t="shared" si="400"/>
        <v>238887185.19600016</v>
      </c>
      <c r="Q392" s="11">
        <f t="shared" si="400"/>
        <v>131769764.18999998</v>
      </c>
      <c r="R392" s="11">
        <f t="shared" si="400"/>
        <v>728009.74690607714</v>
      </c>
      <c r="S392" s="11">
        <f t="shared" si="400"/>
        <v>212450574.96420002</v>
      </c>
      <c r="T392" s="11">
        <f t="shared" si="400"/>
        <v>212450574.96420002</v>
      </c>
      <c r="U392" s="11">
        <f t="shared" si="400"/>
        <v>582056.36976493092</v>
      </c>
      <c r="V392" s="11">
        <f t="shared" si="400"/>
        <v>183036452.97</v>
      </c>
      <c r="W392" s="11">
        <f t="shared" si="400"/>
        <v>183036452.97</v>
      </c>
      <c r="X392" s="11">
        <f t="shared" si="400"/>
        <v>501469.73416438367</v>
      </c>
      <c r="Y392" s="11">
        <f t="shared" si="400"/>
        <v>151547206.14390004</v>
      </c>
      <c r="Z392" s="11">
        <f t="shared" si="400"/>
        <v>151547206.14390004</v>
      </c>
      <c r="AA392" s="11">
        <f t="shared" si="400"/>
        <v>415197.82505178085</v>
      </c>
      <c r="AB392" s="11">
        <f t="shared" si="400"/>
        <v>124747867.31709996</v>
      </c>
      <c r="AC392" s="11">
        <f t="shared" si="400"/>
        <v>124747867.31709996</v>
      </c>
      <c r="AD392" s="11">
        <f t="shared" si="400"/>
        <v>341774.97895095882</v>
      </c>
      <c r="AE392" s="11">
        <f t="shared" si="400"/>
        <v>101909092.95</v>
      </c>
      <c r="AF392" s="11">
        <f t="shared" si="400"/>
        <v>101909092.95</v>
      </c>
      <c r="AG392" s="11">
        <f t="shared" si="400"/>
        <v>279202.99438356166</v>
      </c>
      <c r="AH392" s="11">
        <f t="shared" si="400"/>
        <v>78720125.188000023</v>
      </c>
      <c r="AI392" s="11">
        <f t="shared" si="400"/>
        <v>78720125.188000023</v>
      </c>
      <c r="AJ392" s="11">
        <f t="shared" si="400"/>
        <v>215671.57585753419</v>
      </c>
      <c r="AK392" s="11">
        <f t="shared" si="400"/>
        <v>62524684.4978</v>
      </c>
      <c r="AL392" s="11">
        <f t="shared" si="400"/>
        <v>62524684.4978</v>
      </c>
      <c r="AM392" s="11">
        <f t="shared" si="400"/>
        <v>171300.50547342462</v>
      </c>
      <c r="AN392" s="11">
        <f t="shared" ref="AN392:BS392" si="401">SUM(AN2:AN391)</f>
        <v>56035939.768400013</v>
      </c>
      <c r="AO392" s="11">
        <f t="shared" si="401"/>
        <v>56035939.768400013</v>
      </c>
      <c r="AP392" s="11">
        <f t="shared" si="401"/>
        <v>153523.1226531507</v>
      </c>
      <c r="AQ392" s="11">
        <f t="shared" si="401"/>
        <v>48206709.610400006</v>
      </c>
      <c r="AR392" s="11">
        <f t="shared" si="401"/>
        <v>48206709.610400006</v>
      </c>
      <c r="AS392" s="11">
        <f t="shared" si="401"/>
        <v>132073.17701479449</v>
      </c>
      <c r="AT392" s="11">
        <f t="shared" si="401"/>
        <v>38706966.379199997</v>
      </c>
      <c r="AU392" s="11">
        <f t="shared" si="401"/>
        <v>38706966.379199997</v>
      </c>
      <c r="AV392" s="11">
        <f t="shared" si="401"/>
        <v>106046.48323068491</v>
      </c>
      <c r="AW392" s="11">
        <f t="shared" si="401"/>
        <v>31173338.910599999</v>
      </c>
      <c r="AX392" s="11">
        <f t="shared" si="401"/>
        <v>31173338.910599999</v>
      </c>
      <c r="AY392" s="11">
        <f t="shared" si="401"/>
        <v>85406.407974246598</v>
      </c>
      <c r="AZ392" s="11">
        <f t="shared" si="401"/>
        <v>24443370.962200008</v>
      </c>
      <c r="BA392" s="11">
        <f t="shared" si="401"/>
        <v>24443370.962200008</v>
      </c>
      <c r="BB392" s="11">
        <f t="shared" si="401"/>
        <v>66968.139622465766</v>
      </c>
      <c r="BC392" s="11">
        <f t="shared" si="401"/>
        <v>19640948.419300001</v>
      </c>
      <c r="BD392" s="11">
        <f t="shared" si="401"/>
        <v>19640948.419300001</v>
      </c>
      <c r="BE392" s="11">
        <f t="shared" si="401"/>
        <v>53810.817587123296</v>
      </c>
      <c r="BF392" s="11">
        <f t="shared" si="401"/>
        <v>13141220.070199998</v>
      </c>
      <c r="BG392" s="11">
        <f t="shared" si="401"/>
        <v>13141220.070199998</v>
      </c>
      <c r="BH392" s="11">
        <f t="shared" si="401"/>
        <v>36003.342658082176</v>
      </c>
      <c r="BI392" s="11">
        <f t="shared" si="401"/>
        <v>6691955.3981999997</v>
      </c>
      <c r="BJ392" s="11">
        <f t="shared" si="401"/>
        <v>6691955.3981999997</v>
      </c>
      <c r="BK392" s="11">
        <f t="shared" si="401"/>
        <v>18334.124378630138</v>
      </c>
      <c r="BL392" s="11">
        <f t="shared" si="401"/>
        <v>5702514.5076000011</v>
      </c>
      <c r="BM392" s="11">
        <f t="shared" si="401"/>
        <v>5702514.5076000011</v>
      </c>
      <c r="BN392" s="11">
        <f t="shared" si="401"/>
        <v>15623.327418082194</v>
      </c>
      <c r="BO392" s="11">
        <f t="shared" si="401"/>
        <v>4730369.1666000001</v>
      </c>
      <c r="BP392" s="11">
        <f t="shared" si="401"/>
        <v>4730369.1666000001</v>
      </c>
      <c r="BQ392" s="11">
        <f t="shared" si="401"/>
        <v>12959.915524931508</v>
      </c>
      <c r="BR392" s="11">
        <f t="shared" si="401"/>
        <v>3928800.3854</v>
      </c>
      <c r="BS392" s="11">
        <f t="shared" si="401"/>
        <v>3928800.3854</v>
      </c>
      <c r="BT392" s="11">
        <f t="shared" ref="BT392:CY392" si="402">SUM(BT2:BT391)</f>
        <v>10763.836672328769</v>
      </c>
      <c r="BU392" s="11">
        <f t="shared" si="402"/>
        <v>3363979.6795000001</v>
      </c>
      <c r="BV392" s="11">
        <f t="shared" si="402"/>
        <v>3363979.6795000001</v>
      </c>
      <c r="BW392" s="11">
        <f t="shared" si="402"/>
        <v>9216.3826835616437</v>
      </c>
      <c r="BX392" s="11">
        <f t="shared" si="402"/>
        <v>2880015.4258000003</v>
      </c>
      <c r="BY392" s="11">
        <f t="shared" si="402"/>
        <v>2880015.4258000003</v>
      </c>
      <c r="BZ392" s="11">
        <f t="shared" si="402"/>
        <v>7890.4532213698621</v>
      </c>
      <c r="CA392" s="11">
        <f t="shared" si="402"/>
        <v>1894764.9828999999</v>
      </c>
      <c r="CB392" s="11">
        <f t="shared" si="402"/>
        <v>1894764.9828999999</v>
      </c>
      <c r="CC392" s="11">
        <f t="shared" si="402"/>
        <v>5191.1369394520534</v>
      </c>
      <c r="CD392" s="11">
        <f t="shared" si="402"/>
        <v>494664.98969999998</v>
      </c>
      <c r="CE392" s="11">
        <f t="shared" si="402"/>
        <v>494664.98969999998</v>
      </c>
      <c r="CF392" s="11">
        <f t="shared" si="402"/>
        <v>1355.2465471232874</v>
      </c>
      <c r="CG392" s="11">
        <f t="shared" si="402"/>
        <v>258662.30799999999</v>
      </c>
      <c r="CH392" s="11">
        <f t="shared" si="402"/>
        <v>258662.30799999999</v>
      </c>
      <c r="CI392" s="11">
        <f t="shared" si="402"/>
        <v>708.66385753424663</v>
      </c>
      <c r="CJ392" s="11">
        <f t="shared" si="402"/>
        <v>243935.11989999999</v>
      </c>
      <c r="CK392" s="11">
        <f t="shared" si="402"/>
        <v>243935.11989999999</v>
      </c>
      <c r="CL392" s="11">
        <f t="shared" si="402"/>
        <v>668.31539698630138</v>
      </c>
      <c r="CM392" s="11">
        <f t="shared" si="402"/>
        <v>190483.36190000002</v>
      </c>
      <c r="CN392" s="11">
        <f t="shared" si="402"/>
        <v>190483.36190000002</v>
      </c>
      <c r="CO392" s="11">
        <f t="shared" si="402"/>
        <v>521.87222438356162</v>
      </c>
      <c r="CP392" s="11">
        <f t="shared" si="402"/>
        <v>176637.21679999999</v>
      </c>
      <c r="CQ392" s="11">
        <f t="shared" si="402"/>
        <v>176637.21679999999</v>
      </c>
      <c r="CR392" s="11">
        <f t="shared" si="402"/>
        <v>483.93758027397257</v>
      </c>
      <c r="CS392" s="11">
        <f t="shared" si="402"/>
        <v>164442.81940000001</v>
      </c>
      <c r="CT392" s="11">
        <f t="shared" si="402"/>
        <v>164442.81940000001</v>
      </c>
      <c r="CU392" s="11">
        <f t="shared" si="402"/>
        <v>450.52827232876712</v>
      </c>
      <c r="CV392" s="11">
        <f t="shared" si="402"/>
        <v>151708.47409999999</v>
      </c>
      <c r="CW392" s="11">
        <f t="shared" si="402"/>
        <v>151708.47409999999</v>
      </c>
      <c r="CX392" s="11">
        <f t="shared" si="402"/>
        <v>415.63965506849314</v>
      </c>
      <c r="CY392" s="11">
        <f t="shared" si="402"/>
        <v>139833.9356</v>
      </c>
      <c r="CZ392" s="11">
        <f t="shared" ref="CZ392:EE392" si="403">SUM(CZ2:CZ391)</f>
        <v>139833.9356</v>
      </c>
      <c r="DA392" s="11">
        <f t="shared" si="403"/>
        <v>383.10667287671231</v>
      </c>
      <c r="DB392" s="11">
        <f t="shared" si="403"/>
        <v>46700</v>
      </c>
      <c r="DC392" s="11">
        <f t="shared" si="403"/>
        <v>46700</v>
      </c>
      <c r="DD392" s="11">
        <f t="shared" si="403"/>
        <v>127.94520547945206</v>
      </c>
      <c r="DE392" s="11">
        <f t="shared" si="403"/>
        <v>0</v>
      </c>
      <c r="DF392" s="11">
        <f t="shared" si="403"/>
        <v>0</v>
      </c>
      <c r="DG392" s="11">
        <f t="shared" si="403"/>
        <v>0</v>
      </c>
      <c r="DH392" s="11">
        <f t="shared" si="403"/>
        <v>0</v>
      </c>
      <c r="DI392" s="11">
        <f t="shared" si="403"/>
        <v>0</v>
      </c>
      <c r="DJ392" s="11">
        <f t="shared" si="403"/>
        <v>0</v>
      </c>
      <c r="DK392" s="11">
        <f t="shared" si="403"/>
        <v>0</v>
      </c>
      <c r="DL392" s="11">
        <f t="shared" si="403"/>
        <v>0</v>
      </c>
      <c r="DM392" s="11">
        <f t="shared" si="403"/>
        <v>0</v>
      </c>
      <c r="DN392" s="11">
        <f t="shared" si="403"/>
        <v>0</v>
      </c>
      <c r="DO392" s="11">
        <f t="shared" si="403"/>
        <v>0</v>
      </c>
      <c r="DP392" s="11">
        <f t="shared" si="403"/>
        <v>0</v>
      </c>
    </row>
    <row r="394" spans="7:120" x14ac:dyDescent="0.2">
      <c r="G394" s="12" t="s">
        <v>504</v>
      </c>
    </row>
    <row r="395" spans="7:120" x14ac:dyDescent="0.2">
      <c r="G395" s="12" t="s">
        <v>505</v>
      </c>
    </row>
  </sheetData>
  <autoFilter ref="G1:DP391" xr:uid="{00000000-0009-0000-0000-000000000000}"/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Q326"/>
  <sheetViews>
    <sheetView showGridLines="0" zoomScaleNormal="100" workbookViewId="0">
      <pane xSplit="4" ySplit="1" topLeftCell="AH127" activePane="bottomRight" state="frozen"/>
      <selection pane="topRight" activeCell="AH1" sqref="AH1"/>
      <selection pane="bottomLeft" activeCell="A127" sqref="A127"/>
      <selection pane="bottomRight" activeCell="S10" sqref="S10"/>
    </sheetView>
  </sheetViews>
  <sheetFormatPr baseColWidth="10" defaultColWidth="11.5" defaultRowHeight="15" x14ac:dyDescent="0.2"/>
  <cols>
    <col min="1" max="1" width="36.6640625" style="13" customWidth="1"/>
    <col min="2" max="2" width="27.1640625" style="13" customWidth="1"/>
    <col min="3" max="3" width="28.6640625" style="13" customWidth="1"/>
    <col min="4" max="4" width="14.33203125" style="13" customWidth="1"/>
    <col min="5" max="41" width="13.5" style="13" customWidth="1"/>
    <col min="42" max="42" width="14.1640625" style="13" customWidth="1"/>
    <col min="43" max="43" width="9" style="13" hidden="1" customWidth="1"/>
    <col min="44" max="16384" width="11.5" style="13"/>
  </cols>
  <sheetData>
    <row r="1" spans="1:42" ht="15" customHeight="1" x14ac:dyDescent="0.2">
      <c r="A1" s="14" t="s">
        <v>506</v>
      </c>
      <c r="B1" s="15" t="s">
        <v>507</v>
      </c>
      <c r="C1" s="15" t="s">
        <v>0</v>
      </c>
      <c r="D1" s="15" t="s">
        <v>508</v>
      </c>
      <c r="E1" s="15">
        <v>2024</v>
      </c>
      <c r="F1" s="15">
        <v>2025</v>
      </c>
      <c r="G1" s="15">
        <v>2026</v>
      </c>
      <c r="H1" s="15">
        <v>2027</v>
      </c>
      <c r="I1" s="15">
        <v>2028</v>
      </c>
      <c r="J1" s="15">
        <v>2029</v>
      </c>
      <c r="K1" s="15">
        <v>2030</v>
      </c>
      <c r="L1" s="15">
        <v>2031</v>
      </c>
      <c r="M1" s="15">
        <v>2032</v>
      </c>
      <c r="N1" s="15">
        <v>2033</v>
      </c>
      <c r="O1" s="15">
        <v>2034</v>
      </c>
      <c r="P1" s="15">
        <v>2035</v>
      </c>
      <c r="Q1" s="15">
        <v>2036</v>
      </c>
      <c r="R1" s="15">
        <v>2037</v>
      </c>
      <c r="S1" s="15">
        <v>2038</v>
      </c>
      <c r="T1" s="15">
        <v>2039</v>
      </c>
      <c r="U1" s="15">
        <v>2040</v>
      </c>
      <c r="V1" s="15">
        <v>2041</v>
      </c>
      <c r="W1" s="15">
        <v>2042</v>
      </c>
      <c r="X1" s="15">
        <v>2043</v>
      </c>
      <c r="Y1" s="15">
        <v>2044</v>
      </c>
      <c r="Z1" s="15">
        <v>2045</v>
      </c>
      <c r="AA1" s="15">
        <v>2046</v>
      </c>
      <c r="AB1" s="15">
        <v>2047</v>
      </c>
      <c r="AC1" s="15">
        <v>2048</v>
      </c>
      <c r="AD1" s="15">
        <v>2049</v>
      </c>
      <c r="AE1" s="15">
        <v>2050</v>
      </c>
      <c r="AF1" s="15">
        <v>2051</v>
      </c>
      <c r="AG1" s="15">
        <v>2052</v>
      </c>
      <c r="AH1" s="15">
        <v>2053</v>
      </c>
      <c r="AI1" s="15">
        <v>2054</v>
      </c>
      <c r="AJ1" s="15">
        <v>2055</v>
      </c>
      <c r="AK1" s="15">
        <v>2056</v>
      </c>
      <c r="AL1" s="15">
        <v>2057</v>
      </c>
      <c r="AM1" s="15">
        <v>2058</v>
      </c>
      <c r="AN1" s="15">
        <v>2059</v>
      </c>
      <c r="AO1" s="15">
        <v>2060</v>
      </c>
      <c r="AP1" s="15" t="s">
        <v>509</v>
      </c>
    </row>
    <row r="2" spans="1:42" ht="15" customHeight="1" x14ac:dyDescent="0.2">
      <c r="A2" s="16" t="s">
        <v>510</v>
      </c>
      <c r="B2" s="16" t="s">
        <v>355</v>
      </c>
      <c r="C2" s="16" t="s">
        <v>355</v>
      </c>
      <c r="D2" s="16" t="s">
        <v>511</v>
      </c>
      <c r="E2" s="17">
        <v>611454</v>
      </c>
      <c r="F2" s="17">
        <v>564211</v>
      </c>
      <c r="G2" s="17">
        <v>506357</v>
      </c>
      <c r="H2" s="17">
        <v>396194</v>
      </c>
      <c r="I2" s="17">
        <v>323351</v>
      </c>
      <c r="J2" s="17">
        <v>271338</v>
      </c>
      <c r="K2" s="17">
        <v>234247</v>
      </c>
      <c r="L2" s="17">
        <v>205022</v>
      </c>
      <c r="M2" s="17">
        <v>184021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  <c r="AC2" s="17">
        <v>0</v>
      </c>
      <c r="AD2" s="17">
        <v>0</v>
      </c>
      <c r="AE2" s="17">
        <v>0</v>
      </c>
      <c r="AF2" s="17">
        <v>0</v>
      </c>
      <c r="AG2" s="17">
        <v>0</v>
      </c>
      <c r="AH2" s="17">
        <v>0</v>
      </c>
      <c r="AI2" s="17">
        <v>0</v>
      </c>
      <c r="AJ2" s="17">
        <v>0</v>
      </c>
      <c r="AK2" s="17">
        <v>0</v>
      </c>
      <c r="AL2" s="17">
        <v>0</v>
      </c>
      <c r="AM2" s="17">
        <v>0</v>
      </c>
      <c r="AN2" s="17">
        <v>0</v>
      </c>
      <c r="AO2" s="17">
        <v>0</v>
      </c>
      <c r="AP2" s="18">
        <f t="shared" ref="AP2:AP65" si="0">SUM(E2:AO2)</f>
        <v>3296195</v>
      </c>
    </row>
    <row r="3" spans="1:42" ht="15" customHeight="1" x14ac:dyDescent="0.2">
      <c r="A3" s="16" t="s">
        <v>512</v>
      </c>
      <c r="B3" s="16" t="s">
        <v>366</v>
      </c>
      <c r="C3" s="16" t="s">
        <v>366</v>
      </c>
      <c r="D3" s="16" t="s">
        <v>511</v>
      </c>
      <c r="E3" s="17">
        <v>533004</v>
      </c>
      <c r="F3" s="17">
        <v>421008</v>
      </c>
      <c r="G3" s="17">
        <v>337000</v>
      </c>
      <c r="H3" s="17">
        <v>278000</v>
      </c>
      <c r="I3" s="17">
        <v>225000</v>
      </c>
      <c r="J3" s="17">
        <v>189000</v>
      </c>
      <c r="K3" s="17">
        <v>158000</v>
      </c>
      <c r="L3" s="17">
        <v>100000</v>
      </c>
      <c r="M3" s="17">
        <v>0</v>
      </c>
      <c r="N3" s="17">
        <v>0</v>
      </c>
      <c r="O3" s="17">
        <v>0</v>
      </c>
      <c r="P3" s="17">
        <v>0</v>
      </c>
      <c r="Q3" s="17">
        <v>0</v>
      </c>
      <c r="R3" s="17">
        <v>0</v>
      </c>
      <c r="S3" s="17">
        <v>0</v>
      </c>
      <c r="T3" s="17">
        <v>0</v>
      </c>
      <c r="U3" s="17">
        <v>0</v>
      </c>
      <c r="V3" s="17">
        <v>0</v>
      </c>
      <c r="W3" s="17">
        <v>0</v>
      </c>
      <c r="X3" s="17">
        <v>0</v>
      </c>
      <c r="Y3" s="17">
        <v>0</v>
      </c>
      <c r="Z3" s="17">
        <v>0</v>
      </c>
      <c r="AA3" s="17">
        <v>0</v>
      </c>
      <c r="AB3" s="17">
        <v>0</v>
      </c>
      <c r="AC3" s="17">
        <v>0</v>
      </c>
      <c r="AD3" s="17">
        <v>0</v>
      </c>
      <c r="AE3" s="17">
        <v>0</v>
      </c>
      <c r="AF3" s="17">
        <v>0</v>
      </c>
      <c r="AG3" s="17">
        <v>0</v>
      </c>
      <c r="AH3" s="17">
        <v>0</v>
      </c>
      <c r="AI3" s="17">
        <v>0</v>
      </c>
      <c r="AJ3" s="17">
        <v>0</v>
      </c>
      <c r="AK3" s="17">
        <v>0</v>
      </c>
      <c r="AL3" s="17">
        <v>0</v>
      </c>
      <c r="AM3" s="17">
        <v>0</v>
      </c>
      <c r="AN3" s="17">
        <v>0</v>
      </c>
      <c r="AO3" s="17">
        <v>0</v>
      </c>
      <c r="AP3" s="18">
        <f t="shared" si="0"/>
        <v>2241012</v>
      </c>
    </row>
    <row r="4" spans="1:42" ht="15" customHeight="1" x14ac:dyDescent="0.2">
      <c r="A4" s="16" t="s">
        <v>513</v>
      </c>
      <c r="B4" s="16" t="s">
        <v>514</v>
      </c>
      <c r="C4" s="16" t="s">
        <v>332</v>
      </c>
      <c r="D4" s="16" t="s">
        <v>511</v>
      </c>
      <c r="E4" s="17">
        <v>104975.4222</v>
      </c>
      <c r="F4" s="17">
        <v>84831.327699999994</v>
      </c>
      <c r="G4" s="17">
        <v>60706.835500000001</v>
      </c>
      <c r="H4" s="17">
        <v>45045.084799999997</v>
      </c>
      <c r="I4" s="17">
        <v>33718.550000000003</v>
      </c>
      <c r="J4" s="17">
        <v>23962.894199999999</v>
      </c>
      <c r="K4" s="17">
        <v>19496.259399999999</v>
      </c>
      <c r="L4" s="17">
        <v>6996.4574000000002</v>
      </c>
      <c r="M4" s="17">
        <v>0</v>
      </c>
      <c r="N4" s="17">
        <v>0</v>
      </c>
      <c r="O4" s="17">
        <v>0</v>
      </c>
      <c r="P4" s="17">
        <v>0</v>
      </c>
      <c r="Q4" s="17">
        <v>0</v>
      </c>
      <c r="R4" s="17">
        <v>0</v>
      </c>
      <c r="S4" s="17">
        <v>0</v>
      </c>
      <c r="T4" s="17">
        <v>0</v>
      </c>
      <c r="U4" s="17">
        <v>0</v>
      </c>
      <c r="V4" s="17">
        <v>0</v>
      </c>
      <c r="W4" s="17">
        <v>0</v>
      </c>
      <c r="X4" s="17">
        <v>0</v>
      </c>
      <c r="Y4" s="17">
        <v>0</v>
      </c>
      <c r="Z4" s="17">
        <v>0</v>
      </c>
      <c r="AA4" s="17">
        <v>0</v>
      </c>
      <c r="AB4" s="17">
        <v>0</v>
      </c>
      <c r="AC4" s="17">
        <v>0</v>
      </c>
      <c r="AD4" s="17">
        <v>0</v>
      </c>
      <c r="AE4" s="17">
        <v>0</v>
      </c>
      <c r="AF4" s="17">
        <v>0</v>
      </c>
      <c r="AG4" s="17">
        <v>0</v>
      </c>
      <c r="AH4" s="17">
        <v>0</v>
      </c>
      <c r="AI4" s="17">
        <v>0</v>
      </c>
      <c r="AJ4" s="17">
        <v>0</v>
      </c>
      <c r="AK4" s="17">
        <v>0</v>
      </c>
      <c r="AL4" s="17">
        <v>0</v>
      </c>
      <c r="AM4" s="17">
        <v>0</v>
      </c>
      <c r="AN4" s="17">
        <v>0</v>
      </c>
      <c r="AO4" s="17">
        <v>0</v>
      </c>
      <c r="AP4" s="18">
        <f t="shared" si="0"/>
        <v>379732.83119999996</v>
      </c>
    </row>
    <row r="5" spans="1:42" ht="15" customHeight="1" x14ac:dyDescent="0.2">
      <c r="A5" s="16" t="s">
        <v>515</v>
      </c>
      <c r="B5" s="16" t="s">
        <v>516</v>
      </c>
      <c r="C5" s="16" t="s">
        <v>171</v>
      </c>
      <c r="D5" s="16" t="s">
        <v>511</v>
      </c>
      <c r="E5" s="17">
        <v>495855.7095</v>
      </c>
      <c r="F5" s="17">
        <v>425040.11949999997</v>
      </c>
      <c r="G5" s="17">
        <v>390272.24550000002</v>
      </c>
      <c r="H5" s="17">
        <v>335239.89569999999</v>
      </c>
      <c r="I5" s="17">
        <v>283033.46230000001</v>
      </c>
      <c r="J5" s="17">
        <v>62292.409899999999</v>
      </c>
      <c r="K5" s="17">
        <v>0</v>
      </c>
      <c r="L5" s="17">
        <v>0</v>
      </c>
      <c r="M5" s="17">
        <v>0</v>
      </c>
      <c r="N5" s="17">
        <v>0</v>
      </c>
      <c r="O5" s="17">
        <v>0</v>
      </c>
      <c r="P5" s="17">
        <v>0</v>
      </c>
      <c r="Q5" s="17">
        <v>0</v>
      </c>
      <c r="R5" s="17">
        <v>0</v>
      </c>
      <c r="S5" s="17">
        <v>0</v>
      </c>
      <c r="T5" s="17">
        <v>0</v>
      </c>
      <c r="U5" s="17">
        <v>0</v>
      </c>
      <c r="V5" s="17">
        <v>0</v>
      </c>
      <c r="W5" s="17">
        <v>0</v>
      </c>
      <c r="X5" s="17">
        <v>0</v>
      </c>
      <c r="Y5" s="17">
        <v>0</v>
      </c>
      <c r="Z5" s="17">
        <v>0</v>
      </c>
      <c r="AA5" s="17">
        <v>0</v>
      </c>
      <c r="AB5" s="17">
        <v>0</v>
      </c>
      <c r="AC5" s="17">
        <v>0</v>
      </c>
      <c r="AD5" s="17">
        <v>0</v>
      </c>
      <c r="AE5" s="17">
        <v>0</v>
      </c>
      <c r="AF5" s="17">
        <v>0</v>
      </c>
      <c r="AG5" s="17">
        <v>0</v>
      </c>
      <c r="AH5" s="17">
        <v>0</v>
      </c>
      <c r="AI5" s="17">
        <v>0</v>
      </c>
      <c r="AJ5" s="17">
        <v>0</v>
      </c>
      <c r="AK5" s="17">
        <v>0</v>
      </c>
      <c r="AL5" s="17">
        <v>0</v>
      </c>
      <c r="AM5" s="17">
        <v>0</v>
      </c>
      <c r="AN5" s="17">
        <v>0</v>
      </c>
      <c r="AO5" s="17">
        <v>0</v>
      </c>
      <c r="AP5" s="18">
        <f t="shared" si="0"/>
        <v>1991733.8424</v>
      </c>
    </row>
    <row r="6" spans="1:42" ht="15" customHeight="1" x14ac:dyDescent="0.2">
      <c r="A6" s="16" t="s">
        <v>515</v>
      </c>
      <c r="B6" s="16" t="s">
        <v>516</v>
      </c>
      <c r="C6" s="16" t="s">
        <v>172</v>
      </c>
      <c r="D6" s="16" t="s">
        <v>511</v>
      </c>
      <c r="E6" s="17">
        <v>369640.02879999997</v>
      </c>
      <c r="F6" s="17">
        <v>312716.69510000001</v>
      </c>
      <c r="G6" s="17">
        <v>269860.72710000002</v>
      </c>
      <c r="H6" s="17">
        <v>234274.68040000001</v>
      </c>
      <c r="I6" s="17">
        <v>205345.87890000001</v>
      </c>
      <c r="J6" s="17">
        <v>46530.021500000003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  <c r="AC6" s="17">
        <v>0</v>
      </c>
      <c r="AD6" s="17">
        <v>0</v>
      </c>
      <c r="AE6" s="17">
        <v>0</v>
      </c>
      <c r="AF6" s="17">
        <v>0</v>
      </c>
      <c r="AG6" s="17">
        <v>0</v>
      </c>
      <c r="AH6" s="17">
        <v>0</v>
      </c>
      <c r="AI6" s="17">
        <v>0</v>
      </c>
      <c r="AJ6" s="17">
        <v>0</v>
      </c>
      <c r="AK6" s="17">
        <v>0</v>
      </c>
      <c r="AL6" s="17">
        <v>0</v>
      </c>
      <c r="AM6" s="17">
        <v>0</v>
      </c>
      <c r="AN6" s="17">
        <v>0</v>
      </c>
      <c r="AO6" s="17">
        <v>0</v>
      </c>
      <c r="AP6" s="18">
        <f t="shared" si="0"/>
        <v>1438368.0318000002</v>
      </c>
    </row>
    <row r="7" spans="1:42" ht="15" customHeight="1" x14ac:dyDescent="0.2">
      <c r="A7" s="16" t="s">
        <v>515</v>
      </c>
      <c r="B7" s="16" t="s">
        <v>516</v>
      </c>
      <c r="C7" s="16" t="s">
        <v>234</v>
      </c>
      <c r="D7" s="16" t="s">
        <v>511</v>
      </c>
      <c r="E7" s="17">
        <v>208722.92139999999</v>
      </c>
      <c r="F7" s="17">
        <v>185133.62659999999</v>
      </c>
      <c r="G7" s="17">
        <v>163521.44099999999</v>
      </c>
      <c r="H7" s="17">
        <v>144687.84640000001</v>
      </c>
      <c r="I7" s="17">
        <v>127473.8547</v>
      </c>
      <c r="J7" s="17">
        <v>27761.575000000001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  <c r="AC7" s="17">
        <v>0</v>
      </c>
      <c r="AD7" s="17">
        <v>0</v>
      </c>
      <c r="AE7" s="17">
        <v>0</v>
      </c>
      <c r="AF7" s="17">
        <v>0</v>
      </c>
      <c r="AG7" s="17">
        <v>0</v>
      </c>
      <c r="AH7" s="17">
        <v>0</v>
      </c>
      <c r="AI7" s="17">
        <v>0</v>
      </c>
      <c r="AJ7" s="17">
        <v>0</v>
      </c>
      <c r="AK7" s="17">
        <v>0</v>
      </c>
      <c r="AL7" s="17">
        <v>0</v>
      </c>
      <c r="AM7" s="17">
        <v>0</v>
      </c>
      <c r="AN7" s="17">
        <v>0</v>
      </c>
      <c r="AO7" s="17">
        <v>0</v>
      </c>
      <c r="AP7" s="18">
        <f t="shared" si="0"/>
        <v>857301.26509999996</v>
      </c>
    </row>
    <row r="8" spans="1:42" ht="15" customHeight="1" x14ac:dyDescent="0.2">
      <c r="A8" s="16" t="s">
        <v>515</v>
      </c>
      <c r="B8" s="16" t="s">
        <v>516</v>
      </c>
      <c r="C8" s="16" t="s">
        <v>344</v>
      </c>
      <c r="D8" s="16" t="s">
        <v>511</v>
      </c>
      <c r="E8" s="17">
        <v>475203.3088</v>
      </c>
      <c r="F8" s="17">
        <v>428898.36580000003</v>
      </c>
      <c r="G8" s="17">
        <v>367260.87089999998</v>
      </c>
      <c r="H8" s="17">
        <v>328419.56890000001</v>
      </c>
      <c r="I8" s="17">
        <v>287346.22590000002</v>
      </c>
      <c r="J8" s="17">
        <v>64510.417699999998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  <c r="AC8" s="17">
        <v>0</v>
      </c>
      <c r="AD8" s="17">
        <v>0</v>
      </c>
      <c r="AE8" s="17">
        <v>0</v>
      </c>
      <c r="AF8" s="17">
        <v>0</v>
      </c>
      <c r="AG8" s="17">
        <v>0</v>
      </c>
      <c r="AH8" s="17">
        <v>0</v>
      </c>
      <c r="AI8" s="17">
        <v>0</v>
      </c>
      <c r="AJ8" s="17">
        <v>0</v>
      </c>
      <c r="AK8" s="17">
        <v>0</v>
      </c>
      <c r="AL8" s="17">
        <v>0</v>
      </c>
      <c r="AM8" s="17">
        <v>0</v>
      </c>
      <c r="AN8" s="17">
        <v>0</v>
      </c>
      <c r="AO8" s="17">
        <v>0</v>
      </c>
      <c r="AP8" s="18">
        <f t="shared" si="0"/>
        <v>1951638.7580000001</v>
      </c>
    </row>
    <row r="9" spans="1:42" ht="15" customHeight="1" x14ac:dyDescent="0.2">
      <c r="A9" s="16" t="s">
        <v>515</v>
      </c>
      <c r="B9" s="16" t="s">
        <v>516</v>
      </c>
      <c r="C9" s="16" t="s">
        <v>345</v>
      </c>
      <c r="D9" s="16" t="s">
        <v>511</v>
      </c>
      <c r="E9" s="17">
        <v>195164.0257</v>
      </c>
      <c r="F9" s="17">
        <v>169165.99290000001</v>
      </c>
      <c r="G9" s="17">
        <v>144852.06460000001</v>
      </c>
      <c r="H9" s="17">
        <v>123447.3887</v>
      </c>
      <c r="I9" s="17">
        <v>108622.4813</v>
      </c>
      <c r="J9" s="17">
        <v>24624.9133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7">
        <v>0</v>
      </c>
      <c r="R9" s="17">
        <v>0</v>
      </c>
      <c r="S9" s="17">
        <v>0</v>
      </c>
      <c r="T9" s="17">
        <v>0</v>
      </c>
      <c r="U9" s="17">
        <v>0</v>
      </c>
      <c r="V9" s="17">
        <v>0</v>
      </c>
      <c r="W9" s="17">
        <v>0</v>
      </c>
      <c r="X9" s="17">
        <v>0</v>
      </c>
      <c r="Y9" s="17">
        <v>0</v>
      </c>
      <c r="Z9" s="17">
        <v>0</v>
      </c>
      <c r="AA9" s="17">
        <v>0</v>
      </c>
      <c r="AB9" s="17">
        <v>0</v>
      </c>
      <c r="AC9" s="17">
        <v>0</v>
      </c>
      <c r="AD9" s="17">
        <v>0</v>
      </c>
      <c r="AE9" s="17">
        <v>0</v>
      </c>
      <c r="AF9" s="17">
        <v>0</v>
      </c>
      <c r="AG9" s="17">
        <v>0</v>
      </c>
      <c r="AH9" s="17">
        <v>0</v>
      </c>
      <c r="AI9" s="17">
        <v>0</v>
      </c>
      <c r="AJ9" s="17">
        <v>0</v>
      </c>
      <c r="AK9" s="17">
        <v>0</v>
      </c>
      <c r="AL9" s="17">
        <v>0</v>
      </c>
      <c r="AM9" s="17">
        <v>0</v>
      </c>
      <c r="AN9" s="17">
        <v>0</v>
      </c>
      <c r="AO9" s="17">
        <v>0</v>
      </c>
      <c r="AP9" s="18">
        <f t="shared" si="0"/>
        <v>765876.8665</v>
      </c>
    </row>
    <row r="10" spans="1:42" ht="15" customHeight="1" x14ac:dyDescent="0.2">
      <c r="A10" s="16" t="s">
        <v>515</v>
      </c>
      <c r="B10" s="16" t="s">
        <v>516</v>
      </c>
      <c r="C10" s="16" t="s">
        <v>346</v>
      </c>
      <c r="D10" s="16" t="s">
        <v>511</v>
      </c>
      <c r="E10" s="17">
        <v>204987.3046</v>
      </c>
      <c r="F10" s="17">
        <v>177182.23490000001</v>
      </c>
      <c r="G10" s="17">
        <v>148844.97990000001</v>
      </c>
      <c r="H10" s="17">
        <v>125627.20050000001</v>
      </c>
      <c r="I10" s="17">
        <v>101782.8285</v>
      </c>
      <c r="J10" s="17">
        <v>21739.209200000001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0</v>
      </c>
      <c r="AC10" s="17">
        <v>0</v>
      </c>
      <c r="AD10" s="17">
        <v>0</v>
      </c>
      <c r="AE10" s="17">
        <v>0</v>
      </c>
      <c r="AF10" s="17">
        <v>0</v>
      </c>
      <c r="AG10" s="17">
        <v>0</v>
      </c>
      <c r="AH10" s="17">
        <v>0</v>
      </c>
      <c r="AI10" s="17">
        <v>0</v>
      </c>
      <c r="AJ10" s="17">
        <v>0</v>
      </c>
      <c r="AK10" s="17">
        <v>0</v>
      </c>
      <c r="AL10" s="17">
        <v>0</v>
      </c>
      <c r="AM10" s="17">
        <v>0</v>
      </c>
      <c r="AN10" s="17">
        <v>0</v>
      </c>
      <c r="AO10" s="17">
        <v>0</v>
      </c>
      <c r="AP10" s="18">
        <f t="shared" si="0"/>
        <v>780163.75760000001</v>
      </c>
    </row>
    <row r="11" spans="1:42" ht="15" customHeight="1" x14ac:dyDescent="0.2">
      <c r="A11" s="16" t="s">
        <v>515</v>
      </c>
      <c r="B11" s="16" t="s">
        <v>516</v>
      </c>
      <c r="C11" s="16" t="s">
        <v>347</v>
      </c>
      <c r="D11" s="16" t="s">
        <v>511</v>
      </c>
      <c r="E11" s="17">
        <v>184240.58369999999</v>
      </c>
      <c r="F11" s="17">
        <v>150025.5699</v>
      </c>
      <c r="G11" s="17">
        <v>124671.4342</v>
      </c>
      <c r="H11" s="17">
        <v>104264.079</v>
      </c>
      <c r="I11" s="17">
        <v>82270.815499999997</v>
      </c>
      <c r="J11" s="17">
        <v>18022.675800000001</v>
      </c>
      <c r="K11" s="17">
        <v>0</v>
      </c>
      <c r="L11" s="17">
        <v>0</v>
      </c>
      <c r="M11" s="17">
        <v>0</v>
      </c>
      <c r="N11" s="17">
        <v>0</v>
      </c>
      <c r="O11" s="17">
        <v>0</v>
      </c>
      <c r="P11" s="17">
        <v>0</v>
      </c>
      <c r="Q11" s="17">
        <v>0</v>
      </c>
      <c r="R11" s="17">
        <v>0</v>
      </c>
      <c r="S11" s="17">
        <v>0</v>
      </c>
      <c r="T11" s="17">
        <v>0</v>
      </c>
      <c r="U11" s="17">
        <v>0</v>
      </c>
      <c r="V11" s="17">
        <v>0</v>
      </c>
      <c r="W11" s="17">
        <v>0</v>
      </c>
      <c r="X11" s="17">
        <v>0</v>
      </c>
      <c r="Y11" s="17">
        <v>0</v>
      </c>
      <c r="Z11" s="17">
        <v>0</v>
      </c>
      <c r="AA11" s="17">
        <v>0</v>
      </c>
      <c r="AB11" s="17">
        <v>0</v>
      </c>
      <c r="AC11" s="17">
        <v>0</v>
      </c>
      <c r="AD11" s="17">
        <v>0</v>
      </c>
      <c r="AE11" s="17">
        <v>0</v>
      </c>
      <c r="AF11" s="17">
        <v>0</v>
      </c>
      <c r="AG11" s="17">
        <v>0</v>
      </c>
      <c r="AH11" s="17">
        <v>0</v>
      </c>
      <c r="AI11" s="17">
        <v>0</v>
      </c>
      <c r="AJ11" s="17">
        <v>0</v>
      </c>
      <c r="AK11" s="17">
        <v>0</v>
      </c>
      <c r="AL11" s="17">
        <v>0</v>
      </c>
      <c r="AM11" s="17">
        <v>0</v>
      </c>
      <c r="AN11" s="17">
        <v>0</v>
      </c>
      <c r="AO11" s="17">
        <v>0</v>
      </c>
      <c r="AP11" s="18">
        <f t="shared" si="0"/>
        <v>663495.1581</v>
      </c>
    </row>
    <row r="12" spans="1:42" ht="15" customHeight="1" x14ac:dyDescent="0.2">
      <c r="A12" s="16" t="s">
        <v>515</v>
      </c>
      <c r="B12" s="16" t="s">
        <v>516</v>
      </c>
      <c r="C12" s="16" t="s">
        <v>367</v>
      </c>
      <c r="D12" s="16" t="s">
        <v>511</v>
      </c>
      <c r="E12" s="17">
        <v>24077.555499999999</v>
      </c>
      <c r="F12" s="17">
        <v>21205.043900000001</v>
      </c>
      <c r="G12" s="17">
        <v>18758.2042</v>
      </c>
      <c r="H12" s="17">
        <v>16618.3688</v>
      </c>
      <c r="I12" s="17">
        <v>14782.031499999999</v>
      </c>
      <c r="J12" s="17">
        <v>3373.5045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  <c r="X12" s="17">
        <v>0</v>
      </c>
      <c r="Y12" s="17">
        <v>0</v>
      </c>
      <c r="Z12" s="17">
        <v>0</v>
      </c>
      <c r="AA12" s="17">
        <v>0</v>
      </c>
      <c r="AB12" s="17">
        <v>0</v>
      </c>
      <c r="AC12" s="17">
        <v>0</v>
      </c>
      <c r="AD12" s="17">
        <v>0</v>
      </c>
      <c r="AE12" s="17">
        <v>0</v>
      </c>
      <c r="AF12" s="17">
        <v>0</v>
      </c>
      <c r="AG12" s="17">
        <v>0</v>
      </c>
      <c r="AH12" s="17">
        <v>0</v>
      </c>
      <c r="AI12" s="17">
        <v>0</v>
      </c>
      <c r="AJ12" s="17">
        <v>0</v>
      </c>
      <c r="AK12" s="17">
        <v>0</v>
      </c>
      <c r="AL12" s="17">
        <v>0</v>
      </c>
      <c r="AM12" s="17">
        <v>0</v>
      </c>
      <c r="AN12" s="17">
        <v>0</v>
      </c>
      <c r="AO12" s="17">
        <v>0</v>
      </c>
      <c r="AP12" s="18">
        <f t="shared" si="0"/>
        <v>98814.708399999989</v>
      </c>
    </row>
    <row r="13" spans="1:42" ht="15" customHeight="1" x14ac:dyDescent="0.2">
      <c r="A13" s="16" t="s">
        <v>515</v>
      </c>
      <c r="B13" s="16" t="s">
        <v>516</v>
      </c>
      <c r="C13" s="16" t="s">
        <v>409</v>
      </c>
      <c r="D13" s="16" t="s">
        <v>511</v>
      </c>
      <c r="E13" s="17">
        <v>64109.393400000001</v>
      </c>
      <c r="F13" s="17">
        <v>54377.976799999997</v>
      </c>
      <c r="G13" s="17">
        <v>46448.022599999997</v>
      </c>
      <c r="H13" s="17">
        <v>39826.6031</v>
      </c>
      <c r="I13" s="17">
        <v>34360.292999999998</v>
      </c>
      <c r="J13" s="17">
        <v>7698.7530999999999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  <c r="AE13" s="17">
        <v>0</v>
      </c>
      <c r="AF13" s="17">
        <v>0</v>
      </c>
      <c r="AG13" s="17">
        <v>0</v>
      </c>
      <c r="AH13" s="17">
        <v>0</v>
      </c>
      <c r="AI13" s="17">
        <v>0</v>
      </c>
      <c r="AJ13" s="17">
        <v>0</v>
      </c>
      <c r="AK13" s="17">
        <v>0</v>
      </c>
      <c r="AL13" s="17">
        <v>0</v>
      </c>
      <c r="AM13" s="17">
        <v>0</v>
      </c>
      <c r="AN13" s="17">
        <v>0</v>
      </c>
      <c r="AO13" s="17">
        <v>0</v>
      </c>
      <c r="AP13" s="18">
        <f t="shared" si="0"/>
        <v>246821.04200000002</v>
      </c>
    </row>
    <row r="14" spans="1:42" ht="15" customHeight="1" x14ac:dyDescent="0.2">
      <c r="A14" s="16" t="s">
        <v>515</v>
      </c>
      <c r="B14" s="16" t="s">
        <v>516</v>
      </c>
      <c r="C14" s="16" t="s">
        <v>410</v>
      </c>
      <c r="D14" s="16" t="s">
        <v>511</v>
      </c>
      <c r="E14" s="17">
        <v>151382.7439</v>
      </c>
      <c r="F14" s="17">
        <v>141423.42060000001</v>
      </c>
      <c r="G14" s="17">
        <v>126676.16009999999</v>
      </c>
      <c r="H14" s="17">
        <v>110880.7629</v>
      </c>
      <c r="I14" s="17">
        <v>97484.971099999995</v>
      </c>
      <c r="J14" s="17">
        <v>22088.120800000001</v>
      </c>
      <c r="K14" s="17">
        <v>0</v>
      </c>
      <c r="L14" s="17">
        <v>0</v>
      </c>
      <c r="M14" s="17">
        <v>0</v>
      </c>
      <c r="N14" s="17">
        <v>0</v>
      </c>
      <c r="O14" s="17">
        <v>0</v>
      </c>
      <c r="P14" s="17">
        <v>0</v>
      </c>
      <c r="Q14" s="17">
        <v>0</v>
      </c>
      <c r="R14" s="17">
        <v>0</v>
      </c>
      <c r="S14" s="17">
        <v>0</v>
      </c>
      <c r="T14" s="17">
        <v>0</v>
      </c>
      <c r="U14" s="17">
        <v>0</v>
      </c>
      <c r="V14" s="17">
        <v>0</v>
      </c>
      <c r="W14" s="17">
        <v>0</v>
      </c>
      <c r="X14" s="17">
        <v>0</v>
      </c>
      <c r="Y14" s="17">
        <v>0</v>
      </c>
      <c r="Z14" s="17">
        <v>0</v>
      </c>
      <c r="AA14" s="17">
        <v>0</v>
      </c>
      <c r="AB14" s="17">
        <v>0</v>
      </c>
      <c r="AC14" s="17">
        <v>0</v>
      </c>
      <c r="AD14" s="17">
        <v>0</v>
      </c>
      <c r="AE14" s="17">
        <v>0</v>
      </c>
      <c r="AF14" s="17">
        <v>0</v>
      </c>
      <c r="AG14" s="17">
        <v>0</v>
      </c>
      <c r="AH14" s="17">
        <v>0</v>
      </c>
      <c r="AI14" s="17">
        <v>0</v>
      </c>
      <c r="AJ14" s="17">
        <v>0</v>
      </c>
      <c r="AK14" s="17">
        <v>0</v>
      </c>
      <c r="AL14" s="17">
        <v>0</v>
      </c>
      <c r="AM14" s="17">
        <v>0</v>
      </c>
      <c r="AN14" s="17">
        <v>0</v>
      </c>
      <c r="AO14" s="17">
        <v>0</v>
      </c>
      <c r="AP14" s="18">
        <f t="shared" si="0"/>
        <v>649936.17940000002</v>
      </c>
    </row>
    <row r="15" spans="1:42" ht="15" customHeight="1" x14ac:dyDescent="0.2">
      <c r="A15" s="16" t="s">
        <v>515</v>
      </c>
      <c r="B15" s="16" t="s">
        <v>516</v>
      </c>
      <c r="C15" s="16" t="s">
        <v>411</v>
      </c>
      <c r="D15" s="16" t="s">
        <v>511</v>
      </c>
      <c r="E15" s="17">
        <v>34043.079299999998</v>
      </c>
      <c r="F15" s="17">
        <v>27918.674900000002</v>
      </c>
      <c r="G15" s="17">
        <v>21945.960899999998</v>
      </c>
      <c r="H15" s="17">
        <v>18597.756799999999</v>
      </c>
      <c r="I15" s="17">
        <v>15842.8233</v>
      </c>
      <c r="J15" s="17">
        <v>3519.7692999999999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  <c r="AE15" s="17">
        <v>0</v>
      </c>
      <c r="AF15" s="17">
        <v>0</v>
      </c>
      <c r="AG15" s="17">
        <v>0</v>
      </c>
      <c r="AH15" s="17">
        <v>0</v>
      </c>
      <c r="AI15" s="17">
        <v>0</v>
      </c>
      <c r="AJ15" s="17">
        <v>0</v>
      </c>
      <c r="AK15" s="17">
        <v>0</v>
      </c>
      <c r="AL15" s="17">
        <v>0</v>
      </c>
      <c r="AM15" s="17">
        <v>0</v>
      </c>
      <c r="AN15" s="17">
        <v>0</v>
      </c>
      <c r="AO15" s="17">
        <v>0</v>
      </c>
      <c r="AP15" s="18">
        <f t="shared" si="0"/>
        <v>121868.06450000001</v>
      </c>
    </row>
    <row r="16" spans="1:42" ht="15" customHeight="1" x14ac:dyDescent="0.2">
      <c r="A16" s="16" t="s">
        <v>515</v>
      </c>
      <c r="B16" s="16" t="s">
        <v>516</v>
      </c>
      <c r="C16" s="16" t="s">
        <v>419</v>
      </c>
      <c r="D16" s="16" t="s">
        <v>511</v>
      </c>
      <c r="E16" s="17">
        <v>10267.6054</v>
      </c>
      <c r="F16" s="17">
        <v>8963.0488999999998</v>
      </c>
      <c r="G16" s="17">
        <v>7874.2498999999998</v>
      </c>
      <c r="H16" s="17">
        <v>4716.0043999999998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  <c r="AE16" s="17">
        <v>0</v>
      </c>
      <c r="AF16" s="17">
        <v>0</v>
      </c>
      <c r="AG16" s="17">
        <v>0</v>
      </c>
      <c r="AH16" s="17">
        <v>0</v>
      </c>
      <c r="AI16" s="17">
        <v>0</v>
      </c>
      <c r="AJ16" s="17">
        <v>0</v>
      </c>
      <c r="AK16" s="17">
        <v>0</v>
      </c>
      <c r="AL16" s="17">
        <v>0</v>
      </c>
      <c r="AM16" s="17">
        <v>0</v>
      </c>
      <c r="AN16" s="17">
        <v>0</v>
      </c>
      <c r="AO16" s="17">
        <v>0</v>
      </c>
      <c r="AP16" s="18">
        <f t="shared" si="0"/>
        <v>31820.908600000002</v>
      </c>
    </row>
    <row r="17" spans="1:42" ht="15" customHeight="1" x14ac:dyDescent="0.2">
      <c r="A17" s="16" t="s">
        <v>515</v>
      </c>
      <c r="B17" s="16" t="s">
        <v>517</v>
      </c>
      <c r="C17" s="16" t="s">
        <v>365</v>
      </c>
      <c r="D17" s="16" t="s">
        <v>511</v>
      </c>
      <c r="E17" s="17">
        <v>87354.378500000006</v>
      </c>
      <c r="F17" s="17">
        <v>0</v>
      </c>
      <c r="G17" s="17">
        <v>0</v>
      </c>
      <c r="H17" s="17">
        <v>0</v>
      </c>
      <c r="I17" s="17">
        <v>0</v>
      </c>
      <c r="J17" s="17">
        <v>0</v>
      </c>
      <c r="K17" s="17">
        <v>0</v>
      </c>
      <c r="L17" s="17">
        <v>0</v>
      </c>
      <c r="M17" s="17">
        <v>0</v>
      </c>
      <c r="N17" s="17">
        <v>0</v>
      </c>
      <c r="O17" s="17">
        <v>0</v>
      </c>
      <c r="P17" s="17">
        <v>0</v>
      </c>
      <c r="Q17" s="17">
        <v>0</v>
      </c>
      <c r="R17" s="17">
        <v>0</v>
      </c>
      <c r="S17" s="17">
        <v>0</v>
      </c>
      <c r="T17" s="17">
        <v>0</v>
      </c>
      <c r="U17" s="17">
        <v>0</v>
      </c>
      <c r="V17" s="17">
        <v>0</v>
      </c>
      <c r="W17" s="17">
        <v>0</v>
      </c>
      <c r="X17" s="17">
        <v>0</v>
      </c>
      <c r="Y17" s="17">
        <v>0</v>
      </c>
      <c r="Z17" s="17">
        <v>0</v>
      </c>
      <c r="AA17" s="17">
        <v>0</v>
      </c>
      <c r="AB17" s="17">
        <v>0</v>
      </c>
      <c r="AC17" s="17">
        <v>0</v>
      </c>
      <c r="AD17" s="17">
        <v>0</v>
      </c>
      <c r="AE17" s="17">
        <v>0</v>
      </c>
      <c r="AF17" s="17">
        <v>0</v>
      </c>
      <c r="AG17" s="17">
        <v>0</v>
      </c>
      <c r="AH17" s="17">
        <v>0</v>
      </c>
      <c r="AI17" s="17">
        <v>0</v>
      </c>
      <c r="AJ17" s="17">
        <v>0</v>
      </c>
      <c r="AK17" s="17">
        <v>0</v>
      </c>
      <c r="AL17" s="17">
        <v>0</v>
      </c>
      <c r="AM17" s="17">
        <v>0</v>
      </c>
      <c r="AN17" s="17">
        <v>0</v>
      </c>
      <c r="AO17" s="17">
        <v>0</v>
      </c>
      <c r="AP17" s="18">
        <f t="shared" si="0"/>
        <v>87354.378500000006</v>
      </c>
    </row>
    <row r="18" spans="1:42" ht="15" customHeight="1" x14ac:dyDescent="0.2">
      <c r="A18" s="16" t="s">
        <v>518</v>
      </c>
      <c r="B18" s="16" t="s">
        <v>519</v>
      </c>
      <c r="C18" s="16" t="s">
        <v>156</v>
      </c>
      <c r="D18" s="16" t="s">
        <v>511</v>
      </c>
      <c r="E18" s="17">
        <v>109329.6652</v>
      </c>
      <c r="F18" s="17">
        <v>94781.655299999999</v>
      </c>
      <c r="G18" s="17">
        <v>105260</v>
      </c>
      <c r="H18" s="17">
        <v>138548</v>
      </c>
      <c r="I18" s="17">
        <v>83779</v>
      </c>
      <c r="J18" s="17">
        <v>45605</v>
      </c>
      <c r="K18" s="17">
        <v>28537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  <c r="AE18" s="17">
        <v>0</v>
      </c>
      <c r="AF18" s="17">
        <v>0</v>
      </c>
      <c r="AG18" s="17">
        <v>0</v>
      </c>
      <c r="AH18" s="17">
        <v>0</v>
      </c>
      <c r="AI18" s="17">
        <v>0</v>
      </c>
      <c r="AJ18" s="17">
        <v>0</v>
      </c>
      <c r="AK18" s="17">
        <v>0</v>
      </c>
      <c r="AL18" s="17">
        <v>0</v>
      </c>
      <c r="AM18" s="17">
        <v>0</v>
      </c>
      <c r="AN18" s="17">
        <v>0</v>
      </c>
      <c r="AO18" s="17">
        <v>0</v>
      </c>
      <c r="AP18" s="18">
        <f t="shared" si="0"/>
        <v>605840.32050000003</v>
      </c>
    </row>
    <row r="19" spans="1:42" ht="15" customHeight="1" x14ac:dyDescent="0.2">
      <c r="A19" s="16" t="s">
        <v>518</v>
      </c>
      <c r="B19" s="16" t="s">
        <v>519</v>
      </c>
      <c r="C19" s="16" t="s">
        <v>237</v>
      </c>
      <c r="D19" s="16" t="s">
        <v>511</v>
      </c>
      <c r="E19" s="17">
        <v>93307.665399999998</v>
      </c>
      <c r="F19" s="17">
        <v>117836.74189999999</v>
      </c>
      <c r="G19" s="17">
        <v>170076</v>
      </c>
      <c r="H19" s="17">
        <v>143592</v>
      </c>
      <c r="I19" s="17">
        <v>102870</v>
      </c>
      <c r="J19" s="17">
        <v>72178</v>
      </c>
      <c r="K19" s="17">
        <v>52683</v>
      </c>
      <c r="L19" s="17">
        <v>40002</v>
      </c>
      <c r="M19" s="17">
        <v>31210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17">
        <v>0</v>
      </c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8">
        <f t="shared" si="0"/>
        <v>823755.40729999996</v>
      </c>
    </row>
    <row r="20" spans="1:42" ht="15" customHeight="1" x14ac:dyDescent="0.2">
      <c r="A20" s="16" t="s">
        <v>518</v>
      </c>
      <c r="B20" s="16" t="s">
        <v>520</v>
      </c>
      <c r="C20" s="16" t="s">
        <v>226</v>
      </c>
      <c r="D20" s="16" t="s">
        <v>511</v>
      </c>
      <c r="E20" s="17">
        <v>98729.029200000004</v>
      </c>
      <c r="F20" s="17">
        <v>70807.967600000004</v>
      </c>
      <c r="G20" s="17">
        <v>153757</v>
      </c>
      <c r="H20" s="17">
        <v>119957</v>
      </c>
      <c r="I20" s="17">
        <v>77861</v>
      </c>
      <c r="J20" s="17">
        <v>51473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17">
        <v>0</v>
      </c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17">
        <v>0</v>
      </c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8">
        <f t="shared" si="0"/>
        <v>572584.99680000008</v>
      </c>
    </row>
    <row r="21" spans="1:42" ht="15" customHeight="1" x14ac:dyDescent="0.2">
      <c r="A21" s="16" t="s">
        <v>518</v>
      </c>
      <c r="B21" s="16" t="s">
        <v>520</v>
      </c>
      <c r="C21" s="16" t="s">
        <v>286</v>
      </c>
      <c r="D21" s="16" t="s">
        <v>511</v>
      </c>
      <c r="E21" s="17">
        <v>218528.63589999999</v>
      </c>
      <c r="F21" s="17">
        <v>295638.53049999999</v>
      </c>
      <c r="G21" s="17">
        <v>196404</v>
      </c>
      <c r="H21" s="17">
        <v>159658</v>
      </c>
      <c r="I21" s="17">
        <v>117858</v>
      </c>
      <c r="J21" s="17">
        <v>76525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17">
        <v>0</v>
      </c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8">
        <f t="shared" si="0"/>
        <v>1064612.1664</v>
      </c>
    </row>
    <row r="22" spans="1:42" ht="15" customHeight="1" x14ac:dyDescent="0.2">
      <c r="A22" s="16" t="s">
        <v>518</v>
      </c>
      <c r="B22" s="16" t="s">
        <v>520</v>
      </c>
      <c r="C22" s="16" t="s">
        <v>289</v>
      </c>
      <c r="D22" s="16" t="s">
        <v>511</v>
      </c>
      <c r="E22" s="17">
        <v>32626.07</v>
      </c>
      <c r="F22" s="17">
        <v>54946.2042</v>
      </c>
      <c r="G22" s="17">
        <v>144693</v>
      </c>
      <c r="H22" s="17">
        <v>170616</v>
      </c>
      <c r="I22" s="17">
        <v>99076</v>
      </c>
      <c r="J22" s="17">
        <v>51385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17">
        <v>0</v>
      </c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8">
        <f t="shared" si="0"/>
        <v>553342.27419999999</v>
      </c>
    </row>
    <row r="23" spans="1:42" ht="15" customHeight="1" x14ac:dyDescent="0.2">
      <c r="A23" s="16" t="s">
        <v>518</v>
      </c>
      <c r="B23" s="16" t="s">
        <v>520</v>
      </c>
      <c r="C23" s="16" t="s">
        <v>358</v>
      </c>
      <c r="D23" s="16" t="s">
        <v>511</v>
      </c>
      <c r="E23" s="17">
        <v>197432.15760000001</v>
      </c>
      <c r="F23" s="17">
        <v>118087.3325</v>
      </c>
      <c r="G23" s="17">
        <v>175972</v>
      </c>
      <c r="H23" s="17">
        <v>128236</v>
      </c>
      <c r="I23" s="17">
        <v>81732</v>
      </c>
      <c r="J23" s="17">
        <v>52212</v>
      </c>
      <c r="K23" s="17">
        <v>33452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17">
        <v>0</v>
      </c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17">
        <v>0</v>
      </c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8">
        <f t="shared" si="0"/>
        <v>787123.49010000005</v>
      </c>
    </row>
    <row r="24" spans="1:42" ht="15" customHeight="1" x14ac:dyDescent="0.2">
      <c r="A24" s="16" t="s">
        <v>518</v>
      </c>
      <c r="B24" s="16" t="s">
        <v>300</v>
      </c>
      <c r="C24" s="16" t="s">
        <v>300</v>
      </c>
      <c r="D24" s="16" t="s">
        <v>511</v>
      </c>
      <c r="E24" s="17">
        <v>12091.6729</v>
      </c>
      <c r="F24" s="17">
        <v>83121.758499999996</v>
      </c>
      <c r="G24" s="17">
        <v>77058</v>
      </c>
      <c r="H24" s="17">
        <v>53551</v>
      </c>
      <c r="I24" s="17">
        <v>37805</v>
      </c>
      <c r="J24" s="17">
        <v>26933</v>
      </c>
      <c r="K24" s="17">
        <v>19594</v>
      </c>
      <c r="L24" s="17">
        <v>14545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17">
        <v>0</v>
      </c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17">
        <v>0</v>
      </c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8">
        <f t="shared" si="0"/>
        <v>324699.4314</v>
      </c>
    </row>
    <row r="25" spans="1:42" ht="15" customHeight="1" x14ac:dyDescent="0.2">
      <c r="A25" s="16" t="s">
        <v>518</v>
      </c>
      <c r="B25" s="16" t="s">
        <v>521</v>
      </c>
      <c r="C25" s="16" t="s">
        <v>148</v>
      </c>
      <c r="D25" s="16" t="s">
        <v>511</v>
      </c>
      <c r="E25" s="17">
        <v>326263.86729999998</v>
      </c>
      <c r="F25" s="17">
        <v>210190.25810000001</v>
      </c>
      <c r="G25" s="17">
        <v>136378</v>
      </c>
      <c r="H25" s="17">
        <v>88806</v>
      </c>
      <c r="I25" s="17">
        <v>58158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17">
        <v>0</v>
      </c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8">
        <f t="shared" si="0"/>
        <v>819796.12540000002</v>
      </c>
    </row>
    <row r="26" spans="1:42" ht="15" customHeight="1" x14ac:dyDescent="0.2">
      <c r="A26" s="16" t="s">
        <v>518</v>
      </c>
      <c r="B26" s="16" t="s">
        <v>521</v>
      </c>
      <c r="C26" s="16" t="s">
        <v>404</v>
      </c>
      <c r="D26" s="16" t="s">
        <v>511</v>
      </c>
      <c r="E26" s="17">
        <v>734304.31660000002</v>
      </c>
      <c r="F26" s="17">
        <v>545292.79269999999</v>
      </c>
      <c r="G26" s="17">
        <v>390036</v>
      </c>
      <c r="H26" s="17">
        <v>439958</v>
      </c>
      <c r="I26" s="17">
        <v>364166</v>
      </c>
      <c r="J26" s="17">
        <v>256710</v>
      </c>
      <c r="K26" s="17">
        <v>183738</v>
      </c>
      <c r="L26" s="17">
        <v>131531</v>
      </c>
      <c r="M26" s="17">
        <v>0</v>
      </c>
      <c r="N26" s="17">
        <v>0</v>
      </c>
      <c r="O26" s="17">
        <v>0</v>
      </c>
      <c r="P26" s="17">
        <v>0</v>
      </c>
      <c r="Q26" s="17">
        <v>0</v>
      </c>
      <c r="R26" s="17">
        <v>0</v>
      </c>
      <c r="S26" s="17">
        <v>0</v>
      </c>
      <c r="T26" s="17">
        <v>0</v>
      </c>
      <c r="U26" s="17">
        <v>0</v>
      </c>
      <c r="V26" s="17">
        <v>0</v>
      </c>
      <c r="W26" s="17">
        <v>0</v>
      </c>
      <c r="X26" s="17">
        <v>0</v>
      </c>
      <c r="Y26" s="17">
        <v>0</v>
      </c>
      <c r="Z26" s="17">
        <v>0</v>
      </c>
      <c r="AA26" s="17">
        <v>0</v>
      </c>
      <c r="AB26" s="17">
        <v>0</v>
      </c>
      <c r="AC26" s="17">
        <v>0</v>
      </c>
      <c r="AD26" s="17">
        <v>0</v>
      </c>
      <c r="AE26" s="17">
        <v>0</v>
      </c>
      <c r="AF26" s="17">
        <v>0</v>
      </c>
      <c r="AG26" s="17">
        <v>0</v>
      </c>
      <c r="AH26" s="17">
        <v>0</v>
      </c>
      <c r="AI26" s="17">
        <v>0</v>
      </c>
      <c r="AJ26" s="17">
        <v>0</v>
      </c>
      <c r="AK26" s="17">
        <v>0</v>
      </c>
      <c r="AL26" s="17">
        <v>0</v>
      </c>
      <c r="AM26" s="17">
        <v>0</v>
      </c>
      <c r="AN26" s="17">
        <v>0</v>
      </c>
      <c r="AO26" s="17">
        <v>0</v>
      </c>
      <c r="AP26" s="18">
        <f t="shared" si="0"/>
        <v>3045736.1093000001</v>
      </c>
    </row>
    <row r="27" spans="1:42" ht="15" customHeight="1" x14ac:dyDescent="0.2">
      <c r="A27" s="16" t="s">
        <v>522</v>
      </c>
      <c r="B27" s="16" t="s">
        <v>114</v>
      </c>
      <c r="C27" s="16" t="s">
        <v>114</v>
      </c>
      <c r="D27" s="16" t="s">
        <v>511</v>
      </c>
      <c r="E27" s="17">
        <v>120400</v>
      </c>
      <c r="F27" s="17">
        <v>102732</v>
      </c>
      <c r="G27" s="17">
        <v>86088</v>
      </c>
      <c r="H27" s="17">
        <v>72293</v>
      </c>
      <c r="I27" s="17">
        <v>61021</v>
      </c>
      <c r="J27" s="17">
        <v>50900</v>
      </c>
      <c r="K27" s="17">
        <v>41973</v>
      </c>
      <c r="L27" s="17">
        <v>35673</v>
      </c>
      <c r="M27" s="17">
        <v>20514</v>
      </c>
      <c r="N27" s="17">
        <v>0</v>
      </c>
      <c r="O27" s="17">
        <v>0</v>
      </c>
      <c r="P27" s="17">
        <v>0</v>
      </c>
      <c r="Q27" s="17">
        <v>0</v>
      </c>
      <c r="R27" s="17">
        <v>0</v>
      </c>
      <c r="S27" s="17">
        <v>0</v>
      </c>
      <c r="T27" s="17">
        <v>0</v>
      </c>
      <c r="U27" s="17">
        <v>0</v>
      </c>
      <c r="V27" s="17">
        <v>0</v>
      </c>
      <c r="W27" s="17">
        <v>0</v>
      </c>
      <c r="X27" s="17">
        <v>0</v>
      </c>
      <c r="Y27" s="17">
        <v>0</v>
      </c>
      <c r="Z27" s="17">
        <v>0</v>
      </c>
      <c r="AA27" s="17">
        <v>0</v>
      </c>
      <c r="AB27" s="17">
        <v>0</v>
      </c>
      <c r="AC27" s="17">
        <v>0</v>
      </c>
      <c r="AD27" s="17">
        <v>0</v>
      </c>
      <c r="AE27" s="17">
        <v>0</v>
      </c>
      <c r="AF27" s="17">
        <v>0</v>
      </c>
      <c r="AG27" s="17">
        <v>0</v>
      </c>
      <c r="AH27" s="17">
        <v>0</v>
      </c>
      <c r="AI27" s="17">
        <v>0</v>
      </c>
      <c r="AJ27" s="17">
        <v>0</v>
      </c>
      <c r="AK27" s="17">
        <v>0</v>
      </c>
      <c r="AL27" s="17">
        <v>0</v>
      </c>
      <c r="AM27" s="17">
        <v>0</v>
      </c>
      <c r="AN27" s="17">
        <v>0</v>
      </c>
      <c r="AO27" s="17">
        <v>0</v>
      </c>
      <c r="AP27" s="18">
        <f t="shared" si="0"/>
        <v>591594</v>
      </c>
    </row>
    <row r="28" spans="1:42" ht="15" customHeight="1" x14ac:dyDescent="0.2">
      <c r="A28" s="16" t="s">
        <v>522</v>
      </c>
      <c r="B28" s="16" t="s">
        <v>130</v>
      </c>
      <c r="C28" s="16" t="s">
        <v>130</v>
      </c>
      <c r="D28" s="16" t="s">
        <v>511</v>
      </c>
      <c r="E28" s="17">
        <v>2205470.2198999999</v>
      </c>
      <c r="F28" s="17">
        <v>2475240.5241</v>
      </c>
      <c r="G28" s="17">
        <v>1895818.7653000001</v>
      </c>
      <c r="H28" s="17">
        <v>1408339.3541000001</v>
      </c>
      <c r="I28" s="17">
        <v>1159015.3077</v>
      </c>
      <c r="J28" s="17">
        <v>864030.43810000003</v>
      </c>
      <c r="K28" s="17">
        <v>627748.81310000003</v>
      </c>
      <c r="L28" s="17">
        <v>457194.20130000002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  <c r="AE28" s="17">
        <v>0</v>
      </c>
      <c r="AF28" s="17">
        <v>0</v>
      </c>
      <c r="AG28" s="17">
        <v>0</v>
      </c>
      <c r="AH28" s="17">
        <v>0</v>
      </c>
      <c r="AI28" s="17">
        <v>0</v>
      </c>
      <c r="AJ28" s="17">
        <v>0</v>
      </c>
      <c r="AK28" s="17">
        <v>0</v>
      </c>
      <c r="AL28" s="17">
        <v>0</v>
      </c>
      <c r="AM28" s="17">
        <v>0</v>
      </c>
      <c r="AN28" s="17">
        <v>0</v>
      </c>
      <c r="AO28" s="17">
        <v>0</v>
      </c>
      <c r="AP28" s="18">
        <f t="shared" si="0"/>
        <v>11092857.623600002</v>
      </c>
    </row>
    <row r="29" spans="1:42" ht="15" customHeight="1" x14ac:dyDescent="0.2">
      <c r="A29" s="16" t="s">
        <v>522</v>
      </c>
      <c r="B29" s="16" t="s">
        <v>130</v>
      </c>
      <c r="C29" s="16" t="s">
        <v>290</v>
      </c>
      <c r="D29" s="16" t="s">
        <v>511</v>
      </c>
      <c r="E29" s="17">
        <v>70993.48</v>
      </c>
      <c r="F29" s="17">
        <v>46870.09</v>
      </c>
      <c r="G29" s="17">
        <v>31149</v>
      </c>
      <c r="H29" s="17">
        <v>14735</v>
      </c>
      <c r="I29" s="17">
        <v>0</v>
      </c>
      <c r="J29" s="17">
        <v>0</v>
      </c>
      <c r="K29" s="17">
        <v>0</v>
      </c>
      <c r="L29" s="17">
        <v>0</v>
      </c>
      <c r="M29" s="17">
        <v>0</v>
      </c>
      <c r="N29" s="17">
        <v>0</v>
      </c>
      <c r="O29" s="17">
        <v>0</v>
      </c>
      <c r="P29" s="17">
        <v>0</v>
      </c>
      <c r="Q29" s="17">
        <v>0</v>
      </c>
      <c r="R29" s="17">
        <v>0</v>
      </c>
      <c r="S29" s="17">
        <v>0</v>
      </c>
      <c r="T29" s="17">
        <v>0</v>
      </c>
      <c r="U29" s="17">
        <v>0</v>
      </c>
      <c r="V29" s="17">
        <v>0</v>
      </c>
      <c r="W29" s="17">
        <v>0</v>
      </c>
      <c r="X29" s="17">
        <v>0</v>
      </c>
      <c r="Y29" s="17">
        <v>0</v>
      </c>
      <c r="Z29" s="17">
        <v>0</v>
      </c>
      <c r="AA29" s="17">
        <v>0</v>
      </c>
      <c r="AB29" s="17">
        <v>0</v>
      </c>
      <c r="AC29" s="17">
        <v>0</v>
      </c>
      <c r="AD29" s="17">
        <v>0</v>
      </c>
      <c r="AE29" s="17">
        <v>0</v>
      </c>
      <c r="AF29" s="17">
        <v>0</v>
      </c>
      <c r="AG29" s="17">
        <v>0</v>
      </c>
      <c r="AH29" s="17">
        <v>0</v>
      </c>
      <c r="AI29" s="17">
        <v>0</v>
      </c>
      <c r="AJ29" s="17">
        <v>0</v>
      </c>
      <c r="AK29" s="17">
        <v>0</v>
      </c>
      <c r="AL29" s="17">
        <v>0</v>
      </c>
      <c r="AM29" s="17">
        <v>0</v>
      </c>
      <c r="AN29" s="17">
        <v>0</v>
      </c>
      <c r="AO29" s="17">
        <v>0</v>
      </c>
      <c r="AP29" s="18">
        <f t="shared" si="0"/>
        <v>163747.57</v>
      </c>
    </row>
    <row r="30" spans="1:42" ht="15" customHeight="1" x14ac:dyDescent="0.2">
      <c r="A30" s="16" t="s">
        <v>522</v>
      </c>
      <c r="B30" s="16" t="s">
        <v>130</v>
      </c>
      <c r="C30" s="16" t="s">
        <v>291</v>
      </c>
      <c r="D30" s="16" t="s">
        <v>511</v>
      </c>
      <c r="E30" s="17">
        <v>93016.05</v>
      </c>
      <c r="F30" s="17">
        <v>66751.59</v>
      </c>
      <c r="G30" s="17">
        <v>49204.06</v>
      </c>
      <c r="H30" s="17">
        <v>25738.54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  <c r="Q30" s="17">
        <v>0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0</v>
      </c>
      <c r="X30" s="17">
        <v>0</v>
      </c>
      <c r="Y30" s="17">
        <v>0</v>
      </c>
      <c r="Z30" s="17">
        <v>0</v>
      </c>
      <c r="AA30" s="17">
        <v>0</v>
      </c>
      <c r="AB30" s="17">
        <v>0</v>
      </c>
      <c r="AC30" s="17">
        <v>0</v>
      </c>
      <c r="AD30" s="17">
        <v>0</v>
      </c>
      <c r="AE30" s="17">
        <v>0</v>
      </c>
      <c r="AF30" s="17">
        <v>0</v>
      </c>
      <c r="AG30" s="17">
        <v>0</v>
      </c>
      <c r="AH30" s="17">
        <v>0</v>
      </c>
      <c r="AI30" s="17">
        <v>0</v>
      </c>
      <c r="AJ30" s="17">
        <v>0</v>
      </c>
      <c r="AK30" s="17">
        <v>0</v>
      </c>
      <c r="AL30" s="17">
        <v>0</v>
      </c>
      <c r="AM30" s="17">
        <v>0</v>
      </c>
      <c r="AN30" s="17">
        <v>0</v>
      </c>
      <c r="AO30" s="17">
        <v>0</v>
      </c>
      <c r="AP30" s="18">
        <f t="shared" si="0"/>
        <v>234710.24000000002</v>
      </c>
    </row>
    <row r="31" spans="1:42" ht="15" customHeight="1" x14ac:dyDescent="0.2">
      <c r="A31" s="16" t="s">
        <v>522</v>
      </c>
      <c r="B31" s="16" t="s">
        <v>130</v>
      </c>
      <c r="C31" s="16" t="s">
        <v>334</v>
      </c>
      <c r="D31" s="16" t="s">
        <v>511</v>
      </c>
      <c r="E31" s="17">
        <v>148670.69</v>
      </c>
      <c r="F31" s="17">
        <v>7496.9</v>
      </c>
      <c r="G31" s="17">
        <v>0</v>
      </c>
      <c r="H31" s="17">
        <v>0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0</v>
      </c>
      <c r="X31" s="17">
        <v>0</v>
      </c>
      <c r="Y31" s="17">
        <v>0</v>
      </c>
      <c r="Z31" s="17">
        <v>0</v>
      </c>
      <c r="AA31" s="17">
        <v>0</v>
      </c>
      <c r="AB31" s="17">
        <v>0</v>
      </c>
      <c r="AC31" s="17">
        <v>0</v>
      </c>
      <c r="AD31" s="17">
        <v>0</v>
      </c>
      <c r="AE31" s="17">
        <v>0</v>
      </c>
      <c r="AF31" s="17">
        <v>0</v>
      </c>
      <c r="AG31" s="17">
        <v>0</v>
      </c>
      <c r="AH31" s="17">
        <v>0</v>
      </c>
      <c r="AI31" s="17">
        <v>0</v>
      </c>
      <c r="AJ31" s="17">
        <v>0</v>
      </c>
      <c r="AK31" s="17">
        <v>0</v>
      </c>
      <c r="AL31" s="17">
        <v>0</v>
      </c>
      <c r="AM31" s="17">
        <v>0</v>
      </c>
      <c r="AN31" s="17">
        <v>0</v>
      </c>
      <c r="AO31" s="17">
        <v>0</v>
      </c>
      <c r="AP31" s="18">
        <f t="shared" si="0"/>
        <v>156167.59</v>
      </c>
    </row>
    <row r="32" spans="1:42" ht="15" customHeight="1" x14ac:dyDescent="0.2">
      <c r="A32" s="16" t="s">
        <v>522</v>
      </c>
      <c r="B32" s="16" t="s">
        <v>130</v>
      </c>
      <c r="C32" s="16" t="s">
        <v>394</v>
      </c>
      <c r="D32" s="16" t="s">
        <v>511</v>
      </c>
      <c r="E32" s="17">
        <v>1722066.83</v>
      </c>
      <c r="F32" s="17">
        <v>1357959.8191</v>
      </c>
      <c r="G32" s="17">
        <v>1055251.4258999999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  <c r="Y32" s="17">
        <v>0</v>
      </c>
      <c r="Z32" s="17">
        <v>0</v>
      </c>
      <c r="AA32" s="17">
        <v>0</v>
      </c>
      <c r="AB32" s="17">
        <v>0</v>
      </c>
      <c r="AC32" s="17">
        <v>0</v>
      </c>
      <c r="AD32" s="17">
        <v>0</v>
      </c>
      <c r="AE32" s="17">
        <v>0</v>
      </c>
      <c r="AF32" s="17">
        <v>0</v>
      </c>
      <c r="AG32" s="17">
        <v>0</v>
      </c>
      <c r="AH32" s="17">
        <v>0</v>
      </c>
      <c r="AI32" s="17">
        <v>0</v>
      </c>
      <c r="AJ32" s="17">
        <v>0</v>
      </c>
      <c r="AK32" s="17">
        <v>0</v>
      </c>
      <c r="AL32" s="17">
        <v>0</v>
      </c>
      <c r="AM32" s="17">
        <v>0</v>
      </c>
      <c r="AN32" s="17">
        <v>0</v>
      </c>
      <c r="AO32" s="17">
        <v>0</v>
      </c>
      <c r="AP32" s="18">
        <f t="shared" si="0"/>
        <v>4135278.0750000002</v>
      </c>
    </row>
    <row r="33" spans="1:42" ht="15" customHeight="1" x14ac:dyDescent="0.2">
      <c r="A33" s="16" t="s">
        <v>522</v>
      </c>
      <c r="B33" s="16" t="s">
        <v>523</v>
      </c>
      <c r="C33" s="16" t="s">
        <v>125</v>
      </c>
      <c r="D33" s="16" t="s">
        <v>511</v>
      </c>
      <c r="E33" s="17">
        <v>82213</v>
      </c>
      <c r="F33" s="17">
        <v>52965</v>
      </c>
      <c r="G33" s="17">
        <v>41386</v>
      </c>
      <c r="H33" s="17">
        <v>32398</v>
      </c>
      <c r="I33" s="17">
        <v>17632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17">
        <v>0</v>
      </c>
      <c r="P33" s="17">
        <v>0</v>
      </c>
      <c r="Q33" s="17">
        <v>0</v>
      </c>
      <c r="R33" s="17">
        <v>0</v>
      </c>
      <c r="S33" s="17">
        <v>0</v>
      </c>
      <c r="T33" s="17">
        <v>0</v>
      </c>
      <c r="U33" s="17">
        <v>0</v>
      </c>
      <c r="V33" s="17">
        <v>0</v>
      </c>
      <c r="W33" s="17">
        <v>0</v>
      </c>
      <c r="X33" s="17">
        <v>0</v>
      </c>
      <c r="Y33" s="17">
        <v>0</v>
      </c>
      <c r="Z33" s="17">
        <v>0</v>
      </c>
      <c r="AA33" s="17">
        <v>0</v>
      </c>
      <c r="AB33" s="17">
        <v>0</v>
      </c>
      <c r="AC33" s="17">
        <v>0</v>
      </c>
      <c r="AD33" s="17">
        <v>0</v>
      </c>
      <c r="AE33" s="17">
        <v>0</v>
      </c>
      <c r="AF33" s="17">
        <v>0</v>
      </c>
      <c r="AG33" s="17">
        <v>0</v>
      </c>
      <c r="AH33" s="17">
        <v>0</v>
      </c>
      <c r="AI33" s="17">
        <v>0</v>
      </c>
      <c r="AJ33" s="17">
        <v>0</v>
      </c>
      <c r="AK33" s="17">
        <v>0</v>
      </c>
      <c r="AL33" s="17">
        <v>0</v>
      </c>
      <c r="AM33" s="17">
        <v>0</v>
      </c>
      <c r="AN33" s="17">
        <v>0</v>
      </c>
      <c r="AO33" s="17">
        <v>0</v>
      </c>
      <c r="AP33" s="18">
        <f t="shared" si="0"/>
        <v>226594</v>
      </c>
    </row>
    <row r="34" spans="1:42" ht="15" customHeight="1" x14ac:dyDescent="0.2">
      <c r="A34" s="16" t="s">
        <v>522</v>
      </c>
      <c r="B34" s="16" t="s">
        <v>523</v>
      </c>
      <c r="C34" s="16" t="s">
        <v>174</v>
      </c>
      <c r="D34" s="16" t="s">
        <v>511</v>
      </c>
      <c r="E34" s="17">
        <v>404335</v>
      </c>
      <c r="F34" s="17">
        <v>348026</v>
      </c>
      <c r="G34" s="17">
        <v>302444</v>
      </c>
      <c r="H34" s="17">
        <v>264294</v>
      </c>
      <c r="I34" s="17">
        <v>232634</v>
      </c>
      <c r="J34" s="17">
        <v>204459</v>
      </c>
      <c r="K34" s="17">
        <v>180830</v>
      </c>
      <c r="L34" s="17">
        <v>160395</v>
      </c>
      <c r="M34" s="17">
        <v>142990</v>
      </c>
      <c r="N34" s="17">
        <v>127051</v>
      </c>
      <c r="O34" s="17">
        <v>113426</v>
      </c>
      <c r="P34" s="17">
        <v>101426</v>
      </c>
      <c r="Q34" s="17">
        <v>91067</v>
      </c>
      <c r="R34" s="17">
        <v>81415</v>
      </c>
      <c r="S34" s="17">
        <v>73080</v>
      </c>
      <c r="T34" s="17">
        <v>65663</v>
      </c>
      <c r="U34" s="17">
        <v>58950</v>
      </c>
      <c r="V34" s="17">
        <v>52843</v>
      </c>
      <c r="W34" s="17">
        <v>47612</v>
      </c>
      <c r="X34" s="17">
        <v>42923</v>
      </c>
      <c r="Y34" s="17">
        <v>0</v>
      </c>
      <c r="Z34" s="17">
        <v>0</v>
      </c>
      <c r="AA34" s="17">
        <v>0</v>
      </c>
      <c r="AB34" s="17">
        <v>0</v>
      </c>
      <c r="AC34" s="17">
        <v>0</v>
      </c>
      <c r="AD34" s="17">
        <v>0</v>
      </c>
      <c r="AE34" s="17">
        <v>0</v>
      </c>
      <c r="AF34" s="17">
        <v>0</v>
      </c>
      <c r="AG34" s="17">
        <v>0</v>
      </c>
      <c r="AH34" s="17">
        <v>0</v>
      </c>
      <c r="AI34" s="17">
        <v>0</v>
      </c>
      <c r="AJ34" s="17">
        <v>0</v>
      </c>
      <c r="AK34" s="17">
        <v>0</v>
      </c>
      <c r="AL34" s="17">
        <v>0</v>
      </c>
      <c r="AM34" s="17">
        <v>0</v>
      </c>
      <c r="AN34" s="17">
        <v>0</v>
      </c>
      <c r="AO34" s="17">
        <v>0</v>
      </c>
      <c r="AP34" s="18">
        <f t="shared" si="0"/>
        <v>3095863</v>
      </c>
    </row>
    <row r="35" spans="1:42" ht="15" customHeight="1" x14ac:dyDescent="0.2">
      <c r="A35" s="16" t="s">
        <v>522</v>
      </c>
      <c r="B35" s="16" t="s">
        <v>523</v>
      </c>
      <c r="C35" s="16" t="s">
        <v>364</v>
      </c>
      <c r="D35" s="16" t="s">
        <v>511</v>
      </c>
      <c r="E35" s="17">
        <v>205296</v>
      </c>
      <c r="F35" s="17">
        <v>137963</v>
      </c>
      <c r="G35" s="17">
        <v>93025</v>
      </c>
      <c r="H35" s="17">
        <v>62722</v>
      </c>
      <c r="I35" s="17">
        <v>30072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  <c r="Y35" s="17">
        <v>0</v>
      </c>
      <c r="Z35" s="17">
        <v>0</v>
      </c>
      <c r="AA35" s="17">
        <v>0</v>
      </c>
      <c r="AB35" s="17">
        <v>0</v>
      </c>
      <c r="AC35" s="17">
        <v>0</v>
      </c>
      <c r="AD35" s="17">
        <v>0</v>
      </c>
      <c r="AE35" s="17">
        <v>0</v>
      </c>
      <c r="AF35" s="17">
        <v>0</v>
      </c>
      <c r="AG35" s="17">
        <v>0</v>
      </c>
      <c r="AH35" s="17">
        <v>0</v>
      </c>
      <c r="AI35" s="17">
        <v>0</v>
      </c>
      <c r="AJ35" s="17">
        <v>0</v>
      </c>
      <c r="AK35" s="17">
        <v>0</v>
      </c>
      <c r="AL35" s="17">
        <v>0</v>
      </c>
      <c r="AM35" s="17">
        <v>0</v>
      </c>
      <c r="AN35" s="17">
        <v>0</v>
      </c>
      <c r="AO35" s="17">
        <v>0</v>
      </c>
      <c r="AP35" s="18">
        <f t="shared" si="0"/>
        <v>529078</v>
      </c>
    </row>
    <row r="36" spans="1:42" ht="15" customHeight="1" x14ac:dyDescent="0.2">
      <c r="A36" s="16" t="s">
        <v>522</v>
      </c>
      <c r="B36" s="16" t="s">
        <v>523</v>
      </c>
      <c r="C36" s="16" t="s">
        <v>384</v>
      </c>
      <c r="D36" s="16" t="s">
        <v>511</v>
      </c>
      <c r="E36" s="17">
        <v>30560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  <c r="Y36" s="17">
        <v>0</v>
      </c>
      <c r="Z36" s="17">
        <v>0</v>
      </c>
      <c r="AA36" s="17">
        <v>0</v>
      </c>
      <c r="AB36" s="17">
        <v>0</v>
      </c>
      <c r="AC36" s="17">
        <v>0</v>
      </c>
      <c r="AD36" s="17">
        <v>0</v>
      </c>
      <c r="AE36" s="17">
        <v>0</v>
      </c>
      <c r="AF36" s="17">
        <v>0</v>
      </c>
      <c r="AG36" s="17">
        <v>0</v>
      </c>
      <c r="AH36" s="17">
        <v>0</v>
      </c>
      <c r="AI36" s="17">
        <v>0</v>
      </c>
      <c r="AJ36" s="17">
        <v>0</v>
      </c>
      <c r="AK36" s="17">
        <v>0</v>
      </c>
      <c r="AL36" s="17">
        <v>0</v>
      </c>
      <c r="AM36" s="17">
        <v>0</v>
      </c>
      <c r="AN36" s="17">
        <v>0</v>
      </c>
      <c r="AO36" s="17">
        <v>0</v>
      </c>
      <c r="AP36" s="18">
        <f t="shared" si="0"/>
        <v>30560</v>
      </c>
    </row>
    <row r="37" spans="1:42" ht="15" customHeight="1" x14ac:dyDescent="0.2">
      <c r="A37" s="16" t="s">
        <v>522</v>
      </c>
      <c r="B37" s="16" t="s">
        <v>523</v>
      </c>
      <c r="C37" s="16" t="s">
        <v>393</v>
      </c>
      <c r="D37" s="16" t="s">
        <v>511</v>
      </c>
      <c r="E37" s="17">
        <v>32859</v>
      </c>
      <c r="F37" s="17">
        <v>30310</v>
      </c>
      <c r="G37" s="17">
        <v>28037</v>
      </c>
      <c r="H37" s="17">
        <v>25936</v>
      </c>
      <c r="I37" s="17">
        <v>24054</v>
      </c>
      <c r="J37" s="17">
        <v>22189</v>
      </c>
      <c r="K37" s="17">
        <v>20527</v>
      </c>
      <c r="L37" s="17">
        <v>18988</v>
      </c>
      <c r="M37" s="17">
        <v>17613</v>
      </c>
      <c r="N37" s="17">
        <v>16245</v>
      </c>
      <c r="O37" s="17">
        <v>15026</v>
      </c>
      <c r="P37" s="17">
        <v>13900</v>
      </c>
      <c r="Q37" s="17">
        <v>12892</v>
      </c>
      <c r="R37" s="17">
        <v>11892</v>
      </c>
      <c r="S37" s="17">
        <v>11001</v>
      </c>
      <c r="T37" s="17">
        <v>10177</v>
      </c>
      <c r="U37" s="17">
        <v>7590</v>
      </c>
      <c r="V37" s="17">
        <v>0</v>
      </c>
      <c r="W37" s="17">
        <v>0</v>
      </c>
      <c r="X37" s="17">
        <v>0</v>
      </c>
      <c r="Y37" s="17">
        <v>0</v>
      </c>
      <c r="Z37" s="17">
        <v>0</v>
      </c>
      <c r="AA37" s="17">
        <v>0</v>
      </c>
      <c r="AB37" s="17">
        <v>0</v>
      </c>
      <c r="AC37" s="17">
        <v>0</v>
      </c>
      <c r="AD37" s="17">
        <v>0</v>
      </c>
      <c r="AE37" s="17">
        <v>0</v>
      </c>
      <c r="AF37" s="17">
        <v>0</v>
      </c>
      <c r="AG37" s="17">
        <v>0</v>
      </c>
      <c r="AH37" s="17">
        <v>0</v>
      </c>
      <c r="AI37" s="17">
        <v>0</v>
      </c>
      <c r="AJ37" s="17">
        <v>0</v>
      </c>
      <c r="AK37" s="17">
        <v>0</v>
      </c>
      <c r="AL37" s="17">
        <v>0</v>
      </c>
      <c r="AM37" s="17">
        <v>0</v>
      </c>
      <c r="AN37" s="17">
        <v>0</v>
      </c>
      <c r="AO37" s="17">
        <v>0</v>
      </c>
      <c r="AP37" s="18">
        <f t="shared" si="0"/>
        <v>319236</v>
      </c>
    </row>
    <row r="38" spans="1:42" ht="15" customHeight="1" x14ac:dyDescent="0.2">
      <c r="A38" s="16" t="s">
        <v>522</v>
      </c>
      <c r="B38" s="16" t="s">
        <v>524</v>
      </c>
      <c r="C38" s="16" t="s">
        <v>117</v>
      </c>
      <c r="D38" s="16" t="s">
        <v>511</v>
      </c>
      <c r="E38" s="17">
        <v>314910.52240000002</v>
      </c>
      <c r="F38" s="17">
        <v>265458.68119999999</v>
      </c>
      <c r="G38" s="17">
        <v>220031.35800000001</v>
      </c>
      <c r="H38" s="17">
        <v>182701.7696</v>
      </c>
      <c r="I38" s="17">
        <v>152404.59239999999</v>
      </c>
      <c r="J38" s="17">
        <v>0</v>
      </c>
      <c r="K38" s="17">
        <v>0</v>
      </c>
      <c r="L38" s="17">
        <v>0</v>
      </c>
      <c r="M38" s="17">
        <v>0</v>
      </c>
      <c r="N38" s="17">
        <v>0</v>
      </c>
      <c r="O38" s="17">
        <v>0</v>
      </c>
      <c r="P38" s="17">
        <v>0</v>
      </c>
      <c r="Q38" s="17">
        <v>0</v>
      </c>
      <c r="R38" s="17">
        <v>0</v>
      </c>
      <c r="S38" s="17">
        <v>0</v>
      </c>
      <c r="T38" s="17">
        <v>0</v>
      </c>
      <c r="U38" s="17">
        <v>0</v>
      </c>
      <c r="V38" s="17">
        <v>0</v>
      </c>
      <c r="W38" s="17">
        <v>0</v>
      </c>
      <c r="X38" s="17">
        <v>0</v>
      </c>
      <c r="Y38" s="17">
        <v>0</v>
      </c>
      <c r="Z38" s="17">
        <v>0</v>
      </c>
      <c r="AA38" s="17">
        <v>0</v>
      </c>
      <c r="AB38" s="17">
        <v>0</v>
      </c>
      <c r="AC38" s="17">
        <v>0</v>
      </c>
      <c r="AD38" s="17">
        <v>0</v>
      </c>
      <c r="AE38" s="17">
        <v>0</v>
      </c>
      <c r="AF38" s="17">
        <v>0</v>
      </c>
      <c r="AG38" s="17">
        <v>0</v>
      </c>
      <c r="AH38" s="17">
        <v>0</v>
      </c>
      <c r="AI38" s="17">
        <v>0</v>
      </c>
      <c r="AJ38" s="17">
        <v>0</v>
      </c>
      <c r="AK38" s="17">
        <v>0</v>
      </c>
      <c r="AL38" s="17">
        <v>0</v>
      </c>
      <c r="AM38" s="17">
        <v>0</v>
      </c>
      <c r="AN38" s="17">
        <v>0</v>
      </c>
      <c r="AO38" s="17">
        <v>0</v>
      </c>
      <c r="AP38" s="18">
        <f t="shared" si="0"/>
        <v>1135506.9236000001</v>
      </c>
    </row>
    <row r="39" spans="1:42" ht="15" customHeight="1" x14ac:dyDescent="0.2">
      <c r="A39" s="16" t="s">
        <v>522</v>
      </c>
      <c r="B39" s="16" t="s">
        <v>524</v>
      </c>
      <c r="C39" s="16" t="s">
        <v>261</v>
      </c>
      <c r="D39" s="16" t="s">
        <v>511</v>
      </c>
      <c r="E39" s="17">
        <v>8767.52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  <c r="Y39" s="17">
        <v>0</v>
      </c>
      <c r="Z39" s="17">
        <v>0</v>
      </c>
      <c r="AA39" s="17">
        <v>0</v>
      </c>
      <c r="AB39" s="17">
        <v>0</v>
      </c>
      <c r="AC39" s="17">
        <v>0</v>
      </c>
      <c r="AD39" s="17">
        <v>0</v>
      </c>
      <c r="AE39" s="17">
        <v>0</v>
      </c>
      <c r="AF39" s="17">
        <v>0</v>
      </c>
      <c r="AG39" s="17">
        <v>0</v>
      </c>
      <c r="AH39" s="17">
        <v>0</v>
      </c>
      <c r="AI39" s="17">
        <v>0</v>
      </c>
      <c r="AJ39" s="17">
        <v>0</v>
      </c>
      <c r="AK39" s="17">
        <v>0</v>
      </c>
      <c r="AL39" s="17">
        <v>0</v>
      </c>
      <c r="AM39" s="17">
        <v>0</v>
      </c>
      <c r="AN39" s="17">
        <v>0</v>
      </c>
      <c r="AO39" s="17">
        <v>0</v>
      </c>
      <c r="AP39" s="18">
        <f t="shared" si="0"/>
        <v>8767.52</v>
      </c>
    </row>
    <row r="40" spans="1:42" ht="15" customHeight="1" x14ac:dyDescent="0.2">
      <c r="A40" s="16" t="s">
        <v>522</v>
      </c>
      <c r="B40" s="16" t="s">
        <v>524</v>
      </c>
      <c r="C40" s="16" t="s">
        <v>297</v>
      </c>
      <c r="D40" s="16" t="s">
        <v>511</v>
      </c>
      <c r="E40" s="17">
        <v>156974.9</v>
      </c>
      <c r="F40" s="17">
        <v>126256.47</v>
      </c>
      <c r="G40" s="17">
        <v>102537.26</v>
      </c>
      <c r="H40" s="17">
        <v>83826.27</v>
      </c>
      <c r="I40" s="17">
        <v>69174.100000000006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>
        <v>0</v>
      </c>
      <c r="Y40" s="17">
        <v>0</v>
      </c>
      <c r="Z40" s="17">
        <v>0</v>
      </c>
      <c r="AA40" s="17">
        <v>0</v>
      </c>
      <c r="AB40" s="17">
        <v>0</v>
      </c>
      <c r="AC40" s="17">
        <v>0</v>
      </c>
      <c r="AD40" s="17">
        <v>0</v>
      </c>
      <c r="AE40" s="17">
        <v>0</v>
      </c>
      <c r="AF40" s="17">
        <v>0</v>
      </c>
      <c r="AG40" s="17">
        <v>0</v>
      </c>
      <c r="AH40" s="17">
        <v>0</v>
      </c>
      <c r="AI40" s="17">
        <v>0</v>
      </c>
      <c r="AJ40" s="17">
        <v>0</v>
      </c>
      <c r="AK40" s="17">
        <v>0</v>
      </c>
      <c r="AL40" s="17">
        <v>0</v>
      </c>
      <c r="AM40" s="17">
        <v>0</v>
      </c>
      <c r="AN40" s="17">
        <v>0</v>
      </c>
      <c r="AO40" s="17">
        <v>0</v>
      </c>
      <c r="AP40" s="18">
        <f t="shared" si="0"/>
        <v>538769</v>
      </c>
    </row>
    <row r="41" spans="1:42" ht="15" customHeight="1" x14ac:dyDescent="0.2">
      <c r="A41" s="16" t="s">
        <v>522</v>
      </c>
      <c r="B41" s="16" t="s">
        <v>525</v>
      </c>
      <c r="C41" s="16" t="s">
        <v>233</v>
      </c>
      <c r="D41" s="16" t="s">
        <v>511</v>
      </c>
      <c r="E41" s="17">
        <v>58501</v>
      </c>
      <c r="F41" s="17">
        <v>32623</v>
      </c>
      <c r="G41" s="17">
        <v>18257</v>
      </c>
      <c r="H41" s="17">
        <v>6637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  <c r="AE41" s="17">
        <v>0</v>
      </c>
      <c r="AF41" s="17">
        <v>0</v>
      </c>
      <c r="AG41" s="17">
        <v>0</v>
      </c>
      <c r="AH41" s="17">
        <v>0</v>
      </c>
      <c r="AI41" s="17">
        <v>0</v>
      </c>
      <c r="AJ41" s="17">
        <v>0</v>
      </c>
      <c r="AK41" s="17">
        <v>0</v>
      </c>
      <c r="AL41" s="17">
        <v>0</v>
      </c>
      <c r="AM41" s="17">
        <v>0</v>
      </c>
      <c r="AN41" s="17">
        <v>0</v>
      </c>
      <c r="AO41" s="17">
        <v>0</v>
      </c>
      <c r="AP41" s="18">
        <f t="shared" si="0"/>
        <v>116018</v>
      </c>
    </row>
    <row r="42" spans="1:42" ht="15" customHeight="1" x14ac:dyDescent="0.2">
      <c r="A42" s="16" t="s">
        <v>522</v>
      </c>
      <c r="B42" s="16" t="s">
        <v>525</v>
      </c>
      <c r="C42" s="16" t="s">
        <v>251</v>
      </c>
      <c r="D42" s="16" t="s">
        <v>511</v>
      </c>
      <c r="E42" s="17">
        <v>1217453</v>
      </c>
      <c r="F42" s="17">
        <v>997890</v>
      </c>
      <c r="G42" s="17">
        <v>816319</v>
      </c>
      <c r="H42" s="17">
        <v>674913</v>
      </c>
      <c r="I42" s="17">
        <v>556463</v>
      </c>
      <c r="J42" s="17">
        <v>445853</v>
      </c>
      <c r="K42" s="17">
        <v>370161</v>
      </c>
      <c r="L42" s="17">
        <v>300998</v>
      </c>
      <c r="M42" s="17">
        <v>233065</v>
      </c>
      <c r="N42" s="17">
        <v>185523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17">
        <v>0</v>
      </c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8">
        <f t="shared" si="0"/>
        <v>5798638</v>
      </c>
    </row>
    <row r="43" spans="1:42" ht="15" customHeight="1" x14ac:dyDescent="0.2">
      <c r="A43" s="16" t="s">
        <v>522</v>
      </c>
      <c r="B43" s="16" t="s">
        <v>525</v>
      </c>
      <c r="C43" s="16" t="s">
        <v>252</v>
      </c>
      <c r="D43" s="16" t="s">
        <v>511</v>
      </c>
      <c r="E43" s="17">
        <v>504587</v>
      </c>
      <c r="F43" s="17">
        <v>408160</v>
      </c>
      <c r="G43" s="17">
        <v>320010</v>
      </c>
      <c r="H43" s="17">
        <v>251704</v>
      </c>
      <c r="I43" s="17">
        <v>198262</v>
      </c>
      <c r="J43" s="17">
        <v>156456</v>
      </c>
      <c r="K43" s="17">
        <v>123665</v>
      </c>
      <c r="L43" s="17">
        <v>98230</v>
      </c>
      <c r="M43" s="17">
        <v>78725</v>
      </c>
      <c r="N43" s="17">
        <v>62931</v>
      </c>
      <c r="O43" s="17">
        <v>50109</v>
      </c>
      <c r="P43" s="17">
        <v>39295</v>
      </c>
      <c r="Q43" s="17">
        <v>31420</v>
      </c>
      <c r="R43" s="17">
        <v>0</v>
      </c>
      <c r="S43" s="17">
        <v>0</v>
      </c>
      <c r="T43" s="17">
        <v>0</v>
      </c>
      <c r="U43" s="17">
        <v>0</v>
      </c>
      <c r="V43" s="17">
        <v>0</v>
      </c>
      <c r="W43" s="17">
        <v>0</v>
      </c>
      <c r="X43" s="17">
        <v>0</v>
      </c>
      <c r="Y43" s="17">
        <v>0</v>
      </c>
      <c r="Z43" s="17">
        <v>0</v>
      </c>
      <c r="AA43" s="17">
        <v>0</v>
      </c>
      <c r="AB43" s="17">
        <v>0</v>
      </c>
      <c r="AC43" s="17">
        <v>0</v>
      </c>
      <c r="AD43" s="17">
        <v>0</v>
      </c>
      <c r="AE43" s="17">
        <v>0</v>
      </c>
      <c r="AF43" s="17">
        <v>0</v>
      </c>
      <c r="AG43" s="17">
        <v>0</v>
      </c>
      <c r="AH43" s="17">
        <v>0</v>
      </c>
      <c r="AI43" s="17">
        <v>0</v>
      </c>
      <c r="AJ43" s="17">
        <v>0</v>
      </c>
      <c r="AK43" s="17">
        <v>0</v>
      </c>
      <c r="AL43" s="17">
        <v>0</v>
      </c>
      <c r="AM43" s="17">
        <v>0</v>
      </c>
      <c r="AN43" s="17">
        <v>0</v>
      </c>
      <c r="AO43" s="17">
        <v>0</v>
      </c>
      <c r="AP43" s="18">
        <f t="shared" si="0"/>
        <v>2323554</v>
      </c>
    </row>
    <row r="44" spans="1:42" ht="15" customHeight="1" x14ac:dyDescent="0.2">
      <c r="A44" s="16" t="s">
        <v>522</v>
      </c>
      <c r="B44" s="16" t="s">
        <v>526</v>
      </c>
      <c r="C44" s="16" t="s">
        <v>236</v>
      </c>
      <c r="D44" s="16" t="s">
        <v>511</v>
      </c>
      <c r="E44" s="17">
        <v>2115</v>
      </c>
      <c r="F44" s="17">
        <v>1850</v>
      </c>
      <c r="G44" s="17">
        <v>1624</v>
      </c>
      <c r="H44" s="17">
        <v>1424</v>
      </c>
      <c r="I44" s="17">
        <v>1252</v>
      </c>
      <c r="J44" s="17">
        <v>1095</v>
      </c>
      <c r="K44" s="17">
        <v>960</v>
      </c>
      <c r="L44" s="17">
        <v>842</v>
      </c>
      <c r="M44" s="17">
        <v>741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7">
        <v>0</v>
      </c>
      <c r="X44" s="17">
        <v>0</v>
      </c>
      <c r="Y44" s="17">
        <v>0</v>
      </c>
      <c r="Z44" s="17">
        <v>0</v>
      </c>
      <c r="AA44" s="17">
        <v>0</v>
      </c>
      <c r="AB44" s="17">
        <v>0</v>
      </c>
      <c r="AC44" s="17">
        <v>0</v>
      </c>
      <c r="AD44" s="17">
        <v>0</v>
      </c>
      <c r="AE44" s="17">
        <v>0</v>
      </c>
      <c r="AF44" s="17">
        <v>0</v>
      </c>
      <c r="AG44" s="17">
        <v>0</v>
      </c>
      <c r="AH44" s="17">
        <v>0</v>
      </c>
      <c r="AI44" s="17">
        <v>0</v>
      </c>
      <c r="AJ44" s="17">
        <v>0</v>
      </c>
      <c r="AK44" s="17">
        <v>0</v>
      </c>
      <c r="AL44" s="17">
        <v>0</v>
      </c>
      <c r="AM44" s="17">
        <v>0</v>
      </c>
      <c r="AN44" s="17">
        <v>0</v>
      </c>
      <c r="AO44" s="17">
        <v>0</v>
      </c>
      <c r="AP44" s="18">
        <f t="shared" si="0"/>
        <v>11903</v>
      </c>
    </row>
    <row r="45" spans="1:42" ht="15" customHeight="1" x14ac:dyDescent="0.2">
      <c r="A45" s="16" t="s">
        <v>522</v>
      </c>
      <c r="B45" s="16" t="s">
        <v>526</v>
      </c>
      <c r="C45" s="16" t="s">
        <v>375</v>
      </c>
      <c r="D45" s="16" t="s">
        <v>511</v>
      </c>
      <c r="E45" s="17">
        <v>228163</v>
      </c>
      <c r="F45" s="17">
        <v>199615</v>
      </c>
      <c r="G45" s="17">
        <v>175469</v>
      </c>
      <c r="H45" s="17">
        <v>154449</v>
      </c>
      <c r="I45" s="17">
        <v>136684</v>
      </c>
      <c r="J45" s="17">
        <v>120479</v>
      </c>
      <c r="K45" s="17">
        <v>106353</v>
      </c>
      <c r="L45" s="17">
        <v>93861</v>
      </c>
      <c r="M45" s="17">
        <v>83738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  <c r="Y45" s="17">
        <v>0</v>
      </c>
      <c r="Z45" s="17">
        <v>0</v>
      </c>
      <c r="AA45" s="17">
        <v>0</v>
      </c>
      <c r="AB45" s="17">
        <v>0</v>
      </c>
      <c r="AC45" s="17">
        <v>0</v>
      </c>
      <c r="AD45" s="17">
        <v>0</v>
      </c>
      <c r="AE45" s="17">
        <v>0</v>
      </c>
      <c r="AF45" s="17">
        <v>0</v>
      </c>
      <c r="AG45" s="17">
        <v>0</v>
      </c>
      <c r="AH45" s="17">
        <v>0</v>
      </c>
      <c r="AI45" s="17">
        <v>0</v>
      </c>
      <c r="AJ45" s="17">
        <v>0</v>
      </c>
      <c r="AK45" s="17">
        <v>0</v>
      </c>
      <c r="AL45" s="17">
        <v>0</v>
      </c>
      <c r="AM45" s="17">
        <v>0</v>
      </c>
      <c r="AN45" s="17">
        <v>0</v>
      </c>
      <c r="AO45" s="17">
        <v>0</v>
      </c>
      <c r="AP45" s="18">
        <f t="shared" si="0"/>
        <v>1298811</v>
      </c>
    </row>
    <row r="46" spans="1:42" ht="15" customHeight="1" x14ac:dyDescent="0.2">
      <c r="A46" s="16" t="s">
        <v>522</v>
      </c>
      <c r="B46" s="16" t="s">
        <v>527</v>
      </c>
      <c r="C46" s="16" t="s">
        <v>282</v>
      </c>
      <c r="D46" s="16" t="s">
        <v>511</v>
      </c>
      <c r="E46" s="17">
        <v>18408</v>
      </c>
      <c r="F46" s="17">
        <v>18357</v>
      </c>
      <c r="G46" s="17">
        <v>18357</v>
      </c>
      <c r="H46" s="17">
        <v>17608</v>
      </c>
      <c r="I46" s="17">
        <v>16276</v>
      </c>
      <c r="J46" s="17">
        <v>14992</v>
      </c>
      <c r="K46" s="17">
        <v>13875</v>
      </c>
      <c r="L46" s="17">
        <v>12863</v>
      </c>
      <c r="M46" s="17">
        <v>11975</v>
      </c>
      <c r="N46" s="17">
        <v>11108</v>
      </c>
      <c r="O46" s="17">
        <v>10346</v>
      </c>
      <c r="P46" s="17">
        <v>9652</v>
      </c>
      <c r="Q46" s="17">
        <v>0</v>
      </c>
      <c r="R46" s="17">
        <v>0</v>
      </c>
      <c r="S46" s="17">
        <v>0</v>
      </c>
      <c r="T46" s="17">
        <v>0</v>
      </c>
      <c r="U46" s="17">
        <v>0</v>
      </c>
      <c r="V46" s="17">
        <v>0</v>
      </c>
      <c r="W46" s="17">
        <v>0</v>
      </c>
      <c r="X46" s="17">
        <v>0</v>
      </c>
      <c r="Y46" s="17">
        <v>0</v>
      </c>
      <c r="Z46" s="17">
        <v>0</v>
      </c>
      <c r="AA46" s="17">
        <v>0</v>
      </c>
      <c r="AB46" s="17">
        <v>0</v>
      </c>
      <c r="AC46" s="17">
        <v>0</v>
      </c>
      <c r="AD46" s="17">
        <v>0</v>
      </c>
      <c r="AE46" s="17">
        <v>0</v>
      </c>
      <c r="AF46" s="17">
        <v>0</v>
      </c>
      <c r="AG46" s="17">
        <v>0</v>
      </c>
      <c r="AH46" s="17">
        <v>0</v>
      </c>
      <c r="AI46" s="17">
        <v>0</v>
      </c>
      <c r="AJ46" s="17">
        <v>0</v>
      </c>
      <c r="AK46" s="17">
        <v>0</v>
      </c>
      <c r="AL46" s="17">
        <v>0</v>
      </c>
      <c r="AM46" s="17">
        <v>0</v>
      </c>
      <c r="AN46" s="17">
        <v>0</v>
      </c>
      <c r="AO46" s="17">
        <v>0</v>
      </c>
      <c r="AP46" s="18">
        <f t="shared" si="0"/>
        <v>173817</v>
      </c>
    </row>
    <row r="47" spans="1:42" ht="15" customHeight="1" x14ac:dyDescent="0.2">
      <c r="A47" s="16" t="s">
        <v>522</v>
      </c>
      <c r="B47" s="16" t="s">
        <v>527</v>
      </c>
      <c r="C47" s="16" t="s">
        <v>395</v>
      </c>
      <c r="D47" s="16" t="s">
        <v>511</v>
      </c>
      <c r="E47" s="17">
        <v>1324330</v>
      </c>
      <c r="F47" s="17">
        <v>1244801</v>
      </c>
      <c r="G47" s="17">
        <v>1128935</v>
      </c>
      <c r="H47" s="17">
        <v>1012401</v>
      </c>
      <c r="I47" s="17">
        <v>904311</v>
      </c>
      <c r="J47" s="17">
        <v>808652</v>
      </c>
      <c r="K47" s="17">
        <v>729149</v>
      </c>
      <c r="L47" s="17">
        <v>658570</v>
      </c>
      <c r="M47" s="17">
        <v>592151</v>
      </c>
      <c r="N47" s="17">
        <v>533626</v>
      </c>
      <c r="O47" s="17">
        <v>477933</v>
      </c>
      <c r="P47" s="17">
        <v>425373</v>
      </c>
      <c r="Q47" s="17">
        <v>0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  <c r="AE47" s="17">
        <v>0</v>
      </c>
      <c r="AF47" s="17">
        <v>0</v>
      </c>
      <c r="AG47" s="17">
        <v>0</v>
      </c>
      <c r="AH47" s="17">
        <v>0</v>
      </c>
      <c r="AI47" s="17">
        <v>0</v>
      </c>
      <c r="AJ47" s="17">
        <v>0</v>
      </c>
      <c r="AK47" s="17">
        <v>0</v>
      </c>
      <c r="AL47" s="17">
        <v>0</v>
      </c>
      <c r="AM47" s="17">
        <v>0</v>
      </c>
      <c r="AN47" s="17">
        <v>0</v>
      </c>
      <c r="AO47" s="17">
        <v>0</v>
      </c>
      <c r="AP47" s="18">
        <f t="shared" si="0"/>
        <v>9840232</v>
      </c>
    </row>
    <row r="48" spans="1:42" ht="15" customHeight="1" x14ac:dyDescent="0.2">
      <c r="A48" s="16" t="s">
        <v>522</v>
      </c>
      <c r="B48" s="16" t="s">
        <v>528</v>
      </c>
      <c r="C48" s="16" t="s">
        <v>166</v>
      </c>
      <c r="D48" s="16" t="s">
        <v>511</v>
      </c>
      <c r="E48" s="17">
        <v>14185032</v>
      </c>
      <c r="F48" s="17">
        <v>17650964</v>
      </c>
      <c r="G48" s="17">
        <v>18570490</v>
      </c>
      <c r="H48" s="17">
        <v>18684287</v>
      </c>
      <c r="I48" s="17">
        <v>17611822</v>
      </c>
      <c r="J48" s="17">
        <v>13861502</v>
      </c>
      <c r="K48" s="17">
        <v>10042740</v>
      </c>
      <c r="L48" s="17">
        <v>7211805</v>
      </c>
      <c r="M48" s="17">
        <v>5022749</v>
      </c>
      <c r="N48" s="17">
        <v>3395175</v>
      </c>
      <c r="O48" s="17">
        <v>2313201</v>
      </c>
      <c r="P48" s="17">
        <v>1585615</v>
      </c>
      <c r="Q48" s="17">
        <v>987148</v>
      </c>
      <c r="R48" s="17">
        <v>0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  <c r="AA48" s="17">
        <v>0</v>
      </c>
      <c r="AB48" s="17">
        <v>0</v>
      </c>
      <c r="AC48" s="17">
        <v>0</v>
      </c>
      <c r="AD48" s="17">
        <v>0</v>
      </c>
      <c r="AE48" s="17">
        <v>0</v>
      </c>
      <c r="AF48" s="17">
        <v>0</v>
      </c>
      <c r="AG48" s="17">
        <v>0</v>
      </c>
      <c r="AH48" s="17">
        <v>0</v>
      </c>
      <c r="AI48" s="17">
        <v>0</v>
      </c>
      <c r="AJ48" s="17">
        <v>0</v>
      </c>
      <c r="AK48" s="17">
        <v>0</v>
      </c>
      <c r="AL48" s="17">
        <v>0</v>
      </c>
      <c r="AM48" s="17">
        <v>0</v>
      </c>
      <c r="AN48" s="17">
        <v>0</v>
      </c>
      <c r="AO48" s="17">
        <v>0</v>
      </c>
      <c r="AP48" s="18">
        <f t="shared" si="0"/>
        <v>131122530</v>
      </c>
    </row>
    <row r="49" spans="1:42" ht="15" customHeight="1" x14ac:dyDescent="0.2">
      <c r="A49" s="16" t="s">
        <v>522</v>
      </c>
      <c r="B49" s="16" t="s">
        <v>529</v>
      </c>
      <c r="C49" s="16" t="s">
        <v>122</v>
      </c>
      <c r="D49" s="16" t="s">
        <v>511</v>
      </c>
      <c r="E49" s="17">
        <v>9659987</v>
      </c>
      <c r="F49" s="17">
        <v>9720015</v>
      </c>
      <c r="G49" s="17">
        <v>8946538</v>
      </c>
      <c r="H49" s="17">
        <v>7740297</v>
      </c>
      <c r="I49" s="17">
        <v>6448543</v>
      </c>
      <c r="J49" s="17">
        <v>5348471</v>
      </c>
      <c r="K49" s="17">
        <v>4466411</v>
      </c>
      <c r="L49" s="17">
        <v>3743040</v>
      </c>
      <c r="M49" s="17">
        <v>3156190</v>
      </c>
      <c r="N49" s="17">
        <v>2653745</v>
      </c>
      <c r="O49" s="17">
        <v>2239493</v>
      </c>
      <c r="P49" s="17">
        <v>1892313</v>
      </c>
      <c r="Q49" s="17">
        <v>0</v>
      </c>
      <c r="R49" s="17">
        <v>0</v>
      </c>
      <c r="S49" s="17">
        <v>0</v>
      </c>
      <c r="T49" s="17">
        <v>0</v>
      </c>
      <c r="U49" s="17">
        <v>0</v>
      </c>
      <c r="V49" s="17">
        <v>0</v>
      </c>
      <c r="W49" s="17">
        <v>0</v>
      </c>
      <c r="X49" s="17">
        <v>0</v>
      </c>
      <c r="Y49" s="17">
        <v>0</v>
      </c>
      <c r="Z49" s="17">
        <v>0</v>
      </c>
      <c r="AA49" s="17">
        <v>0</v>
      </c>
      <c r="AB49" s="17">
        <v>0</v>
      </c>
      <c r="AC49" s="17">
        <v>0</v>
      </c>
      <c r="AD49" s="17">
        <v>0</v>
      </c>
      <c r="AE49" s="17">
        <v>0</v>
      </c>
      <c r="AF49" s="17">
        <v>0</v>
      </c>
      <c r="AG49" s="17">
        <v>0</v>
      </c>
      <c r="AH49" s="17">
        <v>0</v>
      </c>
      <c r="AI49" s="17">
        <v>0</v>
      </c>
      <c r="AJ49" s="17">
        <v>0</v>
      </c>
      <c r="AK49" s="17">
        <v>0</v>
      </c>
      <c r="AL49" s="17">
        <v>0</v>
      </c>
      <c r="AM49" s="17">
        <v>0</v>
      </c>
      <c r="AN49" s="17">
        <v>0</v>
      </c>
      <c r="AO49" s="17">
        <v>0</v>
      </c>
      <c r="AP49" s="18">
        <f t="shared" si="0"/>
        <v>66015043</v>
      </c>
    </row>
    <row r="50" spans="1:42" ht="15" customHeight="1" x14ac:dyDescent="0.2">
      <c r="A50" s="16" t="s">
        <v>522</v>
      </c>
      <c r="B50" s="16" t="s">
        <v>530</v>
      </c>
      <c r="C50" s="16" t="s">
        <v>183</v>
      </c>
      <c r="D50" s="16" t="s">
        <v>511</v>
      </c>
      <c r="E50" s="17">
        <v>19653845</v>
      </c>
      <c r="F50" s="17">
        <v>17888686</v>
      </c>
      <c r="G50" s="17">
        <v>17133923</v>
      </c>
      <c r="H50" s="17">
        <v>15658487</v>
      </c>
      <c r="I50" s="17">
        <v>13959918</v>
      </c>
      <c r="J50" s="17">
        <v>12413830</v>
      </c>
      <c r="K50" s="17">
        <v>11098365</v>
      </c>
      <c r="L50" s="17">
        <v>10014568</v>
      </c>
      <c r="M50" s="17">
        <v>9057066</v>
      </c>
      <c r="N50" s="17">
        <v>8166463</v>
      </c>
      <c r="O50" s="17">
        <v>7373588</v>
      </c>
      <c r="P50" s="17">
        <v>6674446</v>
      </c>
      <c r="Q50" s="17">
        <v>6102279</v>
      </c>
      <c r="R50" s="17">
        <v>5462893</v>
      </c>
      <c r="S50" s="17">
        <v>4949794</v>
      </c>
      <c r="T50" s="17">
        <v>4500186</v>
      </c>
      <c r="U50" s="17">
        <v>4088370</v>
      </c>
      <c r="V50" s="17">
        <v>3629035</v>
      </c>
      <c r="W50" s="17">
        <v>3079347</v>
      </c>
      <c r="X50" s="17">
        <v>2613397</v>
      </c>
      <c r="Y50" s="17">
        <v>2215236</v>
      </c>
      <c r="Z50" s="17">
        <v>1882645</v>
      </c>
      <c r="AA50" s="17">
        <v>1595716</v>
      </c>
      <c r="AB50" s="17">
        <v>1354657</v>
      </c>
      <c r="AC50" s="17">
        <v>0</v>
      </c>
      <c r="AD50" s="17">
        <v>0</v>
      </c>
      <c r="AE50" s="17">
        <v>0</v>
      </c>
      <c r="AF50" s="17">
        <v>0</v>
      </c>
      <c r="AG50" s="17">
        <v>0</v>
      </c>
      <c r="AH50" s="17">
        <v>0</v>
      </c>
      <c r="AI50" s="17">
        <v>0</v>
      </c>
      <c r="AJ50" s="17">
        <v>0</v>
      </c>
      <c r="AK50" s="17">
        <v>0</v>
      </c>
      <c r="AL50" s="17">
        <v>0</v>
      </c>
      <c r="AM50" s="17">
        <v>0</v>
      </c>
      <c r="AN50" s="17">
        <v>0</v>
      </c>
      <c r="AO50" s="17">
        <v>0</v>
      </c>
      <c r="AP50" s="18">
        <f t="shared" si="0"/>
        <v>190566740</v>
      </c>
    </row>
    <row r="51" spans="1:42" ht="15" customHeight="1" x14ac:dyDescent="0.2">
      <c r="A51" s="16" t="s">
        <v>522</v>
      </c>
      <c r="B51" s="16" t="s">
        <v>530</v>
      </c>
      <c r="C51" s="16" t="s">
        <v>184</v>
      </c>
      <c r="D51" s="16" t="s">
        <v>511</v>
      </c>
      <c r="E51" s="17">
        <v>75845</v>
      </c>
      <c r="F51" s="17">
        <v>9738</v>
      </c>
      <c r="G51" s="17">
        <v>0</v>
      </c>
      <c r="H51" s="17">
        <v>0</v>
      </c>
      <c r="I51" s="17">
        <v>0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  <c r="Q51" s="17">
        <v>0</v>
      </c>
      <c r="R51" s="17">
        <v>0</v>
      </c>
      <c r="S51" s="17">
        <v>0</v>
      </c>
      <c r="T51" s="17">
        <v>0</v>
      </c>
      <c r="U51" s="17">
        <v>0</v>
      </c>
      <c r="V51" s="17">
        <v>0</v>
      </c>
      <c r="W51" s="17">
        <v>0</v>
      </c>
      <c r="X51" s="17">
        <v>0</v>
      </c>
      <c r="Y51" s="17">
        <v>0</v>
      </c>
      <c r="Z51" s="17">
        <v>0</v>
      </c>
      <c r="AA51" s="17">
        <v>0</v>
      </c>
      <c r="AB51" s="17">
        <v>0</v>
      </c>
      <c r="AC51" s="17">
        <v>0</v>
      </c>
      <c r="AD51" s="17">
        <v>0</v>
      </c>
      <c r="AE51" s="17">
        <v>0</v>
      </c>
      <c r="AF51" s="17">
        <v>0</v>
      </c>
      <c r="AG51" s="17">
        <v>0</v>
      </c>
      <c r="AH51" s="17">
        <v>0</v>
      </c>
      <c r="AI51" s="17">
        <v>0</v>
      </c>
      <c r="AJ51" s="17">
        <v>0</v>
      </c>
      <c r="AK51" s="17">
        <v>0</v>
      </c>
      <c r="AL51" s="17">
        <v>0</v>
      </c>
      <c r="AM51" s="17">
        <v>0</v>
      </c>
      <c r="AN51" s="17">
        <v>0</v>
      </c>
      <c r="AO51" s="17">
        <v>0</v>
      </c>
      <c r="AP51" s="18">
        <f t="shared" si="0"/>
        <v>85583</v>
      </c>
    </row>
    <row r="52" spans="1:42" ht="15" customHeight="1" x14ac:dyDescent="0.2">
      <c r="A52" s="16" t="s">
        <v>522</v>
      </c>
      <c r="B52" s="16" t="s">
        <v>530</v>
      </c>
      <c r="C52" s="16" t="s">
        <v>185</v>
      </c>
      <c r="D52" s="16" t="s">
        <v>511</v>
      </c>
      <c r="E52" s="17">
        <v>14295459</v>
      </c>
      <c r="F52" s="17">
        <v>12746163</v>
      </c>
      <c r="G52" s="17">
        <v>11334754</v>
      </c>
      <c r="H52" s="17">
        <v>10109244</v>
      </c>
      <c r="I52" s="17">
        <v>8637738</v>
      </c>
      <c r="J52" s="17">
        <v>7445081</v>
      </c>
      <c r="K52" s="17">
        <v>6481516</v>
      </c>
      <c r="L52" s="17">
        <v>5688750</v>
      </c>
      <c r="M52" s="17">
        <v>5042546</v>
      </c>
      <c r="N52" s="17">
        <v>4448453</v>
      </c>
      <c r="O52" s="17">
        <v>3971554</v>
      </c>
      <c r="P52" s="17">
        <v>3553774</v>
      </c>
      <c r="Q52" s="17">
        <v>3182097</v>
      </c>
      <c r="R52" s="17">
        <v>2809323</v>
      </c>
      <c r="S52" s="17">
        <v>2483813</v>
      </c>
      <c r="T52" s="17">
        <v>2214725</v>
      </c>
      <c r="U52" s="17">
        <v>1971547</v>
      </c>
      <c r="V52" s="17">
        <v>1711175</v>
      </c>
      <c r="W52" s="17">
        <v>1428978</v>
      </c>
      <c r="X52" s="17">
        <v>1191277</v>
      </c>
      <c r="Y52" s="17">
        <v>987574</v>
      </c>
      <c r="Z52" s="17">
        <v>817717</v>
      </c>
      <c r="AA52" s="17">
        <v>680036</v>
      </c>
      <c r="AB52" s="17">
        <v>0</v>
      </c>
      <c r="AC52" s="17">
        <v>0</v>
      </c>
      <c r="AD52" s="17">
        <v>0</v>
      </c>
      <c r="AE52" s="17">
        <v>0</v>
      </c>
      <c r="AF52" s="17">
        <v>0</v>
      </c>
      <c r="AG52" s="17">
        <v>0</v>
      </c>
      <c r="AH52" s="17">
        <v>0</v>
      </c>
      <c r="AI52" s="17">
        <v>0</v>
      </c>
      <c r="AJ52" s="17">
        <v>0</v>
      </c>
      <c r="AK52" s="17">
        <v>0</v>
      </c>
      <c r="AL52" s="17">
        <v>0</v>
      </c>
      <c r="AM52" s="17">
        <v>0</v>
      </c>
      <c r="AN52" s="17">
        <v>0</v>
      </c>
      <c r="AO52" s="17">
        <v>0</v>
      </c>
      <c r="AP52" s="18">
        <f t="shared" si="0"/>
        <v>113233294</v>
      </c>
    </row>
    <row r="53" spans="1:42" ht="15" customHeight="1" x14ac:dyDescent="0.2">
      <c r="A53" s="16" t="s">
        <v>522</v>
      </c>
      <c r="B53" s="16" t="s">
        <v>530</v>
      </c>
      <c r="C53" s="16" t="s">
        <v>193</v>
      </c>
      <c r="D53" s="16" t="s">
        <v>511</v>
      </c>
      <c r="E53" s="17">
        <v>14844863</v>
      </c>
      <c r="F53" s="17">
        <v>13298547</v>
      </c>
      <c r="G53" s="17">
        <v>12158915</v>
      </c>
      <c r="H53" s="17">
        <v>11115319</v>
      </c>
      <c r="I53" s="17">
        <v>9654435</v>
      </c>
      <c r="J53" s="17">
        <v>8345318</v>
      </c>
      <c r="K53" s="17">
        <v>7243544</v>
      </c>
      <c r="L53" s="17">
        <v>6253061</v>
      </c>
      <c r="M53" s="17">
        <v>5408584</v>
      </c>
      <c r="N53" s="17">
        <v>4638410</v>
      </c>
      <c r="O53" s="17">
        <v>3977912</v>
      </c>
      <c r="P53" s="17">
        <v>3450491</v>
      </c>
      <c r="Q53" s="17">
        <v>2998149</v>
      </c>
      <c r="R53" s="17">
        <v>2578451</v>
      </c>
      <c r="S53" s="17">
        <v>0</v>
      </c>
      <c r="T53" s="17">
        <v>0</v>
      </c>
      <c r="U53" s="17">
        <v>0</v>
      </c>
      <c r="V53" s="17">
        <v>0</v>
      </c>
      <c r="W53" s="17">
        <v>0</v>
      </c>
      <c r="X53" s="17">
        <v>0</v>
      </c>
      <c r="Y53" s="17">
        <v>0</v>
      </c>
      <c r="Z53" s="17">
        <v>0</v>
      </c>
      <c r="AA53" s="17">
        <v>0</v>
      </c>
      <c r="AB53" s="17">
        <v>0</v>
      </c>
      <c r="AC53" s="17">
        <v>0</v>
      </c>
      <c r="AD53" s="17">
        <v>0</v>
      </c>
      <c r="AE53" s="17">
        <v>0</v>
      </c>
      <c r="AF53" s="17">
        <v>0</v>
      </c>
      <c r="AG53" s="17">
        <v>0</v>
      </c>
      <c r="AH53" s="17">
        <v>0</v>
      </c>
      <c r="AI53" s="17">
        <v>0</v>
      </c>
      <c r="AJ53" s="17">
        <v>0</v>
      </c>
      <c r="AK53" s="17">
        <v>0</v>
      </c>
      <c r="AL53" s="17">
        <v>0</v>
      </c>
      <c r="AM53" s="17">
        <v>0</v>
      </c>
      <c r="AN53" s="17">
        <v>0</v>
      </c>
      <c r="AO53" s="17">
        <v>0</v>
      </c>
      <c r="AP53" s="18">
        <f t="shared" si="0"/>
        <v>105965999</v>
      </c>
    </row>
    <row r="54" spans="1:42" ht="15" customHeight="1" x14ac:dyDescent="0.2">
      <c r="A54" s="16" t="s">
        <v>522</v>
      </c>
      <c r="B54" s="16" t="s">
        <v>530</v>
      </c>
      <c r="C54" s="16" t="s">
        <v>194</v>
      </c>
      <c r="D54" s="16" t="s">
        <v>511</v>
      </c>
      <c r="E54" s="17">
        <v>7962397</v>
      </c>
      <c r="F54" s="17">
        <v>7248429</v>
      </c>
      <c r="G54" s="17">
        <v>6388764</v>
      </c>
      <c r="H54" s="17">
        <v>5738706</v>
      </c>
      <c r="I54" s="17">
        <v>4970247</v>
      </c>
      <c r="J54" s="17">
        <v>4277224</v>
      </c>
      <c r="K54" s="17">
        <v>3696801</v>
      </c>
      <c r="L54" s="17">
        <v>3194502</v>
      </c>
      <c r="M54" s="17">
        <v>2734082</v>
      </c>
      <c r="N54" s="17">
        <v>2367247</v>
      </c>
      <c r="O54" s="17">
        <v>2035721</v>
      </c>
      <c r="P54" s="17">
        <v>1782787</v>
      </c>
      <c r="Q54" s="17">
        <v>1558425</v>
      </c>
      <c r="R54" s="17">
        <v>1342796</v>
      </c>
      <c r="S54" s="17">
        <v>0</v>
      </c>
      <c r="T54" s="17">
        <v>0</v>
      </c>
      <c r="U54" s="17">
        <v>0</v>
      </c>
      <c r="V54" s="17">
        <v>0</v>
      </c>
      <c r="W54" s="17">
        <v>0</v>
      </c>
      <c r="X54" s="17">
        <v>0</v>
      </c>
      <c r="Y54" s="17">
        <v>0</v>
      </c>
      <c r="Z54" s="17">
        <v>0</v>
      </c>
      <c r="AA54" s="17">
        <v>0</v>
      </c>
      <c r="AB54" s="17">
        <v>0</v>
      </c>
      <c r="AC54" s="17">
        <v>0</v>
      </c>
      <c r="AD54" s="17">
        <v>0</v>
      </c>
      <c r="AE54" s="17">
        <v>0</v>
      </c>
      <c r="AF54" s="17">
        <v>0</v>
      </c>
      <c r="AG54" s="17">
        <v>0</v>
      </c>
      <c r="AH54" s="17">
        <v>0</v>
      </c>
      <c r="AI54" s="17">
        <v>0</v>
      </c>
      <c r="AJ54" s="17">
        <v>0</v>
      </c>
      <c r="AK54" s="17">
        <v>0</v>
      </c>
      <c r="AL54" s="17">
        <v>0</v>
      </c>
      <c r="AM54" s="17">
        <v>0</v>
      </c>
      <c r="AN54" s="17">
        <v>0</v>
      </c>
      <c r="AO54" s="17">
        <v>0</v>
      </c>
      <c r="AP54" s="18">
        <f t="shared" si="0"/>
        <v>55298128</v>
      </c>
    </row>
    <row r="55" spans="1:42" ht="15" customHeight="1" x14ac:dyDescent="0.2">
      <c r="A55" s="16" t="s">
        <v>522</v>
      </c>
      <c r="B55" s="16" t="s">
        <v>531</v>
      </c>
      <c r="C55" s="16" t="s">
        <v>427</v>
      </c>
      <c r="D55" s="16" t="s">
        <v>511</v>
      </c>
      <c r="E55" s="17">
        <v>558332</v>
      </c>
      <c r="F55" s="17">
        <v>510744</v>
      </c>
      <c r="G55" s="17">
        <v>419739</v>
      </c>
      <c r="H55" s="17">
        <v>334789</v>
      </c>
      <c r="I55" s="17">
        <v>268815</v>
      </c>
      <c r="J55" s="17">
        <v>218628</v>
      </c>
      <c r="K55" s="17">
        <v>179982</v>
      </c>
      <c r="L55" s="17">
        <v>151407</v>
      </c>
      <c r="M55" s="17">
        <v>0</v>
      </c>
      <c r="N55" s="17">
        <v>0</v>
      </c>
      <c r="O55" s="17">
        <v>0</v>
      </c>
      <c r="P55" s="17">
        <v>0</v>
      </c>
      <c r="Q55" s="17">
        <v>0</v>
      </c>
      <c r="R55" s="17">
        <v>0</v>
      </c>
      <c r="S55" s="17">
        <v>0</v>
      </c>
      <c r="T55" s="17">
        <v>0</v>
      </c>
      <c r="U55" s="17">
        <v>0</v>
      </c>
      <c r="V55" s="17">
        <v>0</v>
      </c>
      <c r="W55" s="17">
        <v>0</v>
      </c>
      <c r="X55" s="17">
        <v>0</v>
      </c>
      <c r="Y55" s="17">
        <v>0</v>
      </c>
      <c r="Z55" s="17">
        <v>0</v>
      </c>
      <c r="AA55" s="17">
        <v>0</v>
      </c>
      <c r="AB55" s="17">
        <v>0</v>
      </c>
      <c r="AC55" s="17">
        <v>0</v>
      </c>
      <c r="AD55" s="17">
        <v>0</v>
      </c>
      <c r="AE55" s="17">
        <v>0</v>
      </c>
      <c r="AF55" s="17">
        <v>0</v>
      </c>
      <c r="AG55" s="17">
        <v>0</v>
      </c>
      <c r="AH55" s="17">
        <v>0</v>
      </c>
      <c r="AI55" s="17">
        <v>0</v>
      </c>
      <c r="AJ55" s="17">
        <v>0</v>
      </c>
      <c r="AK55" s="17">
        <v>0</v>
      </c>
      <c r="AL55" s="17">
        <v>0</v>
      </c>
      <c r="AM55" s="17">
        <v>0</v>
      </c>
      <c r="AN55" s="17">
        <v>0</v>
      </c>
      <c r="AO55" s="17">
        <v>0</v>
      </c>
      <c r="AP55" s="18">
        <f t="shared" si="0"/>
        <v>2642436</v>
      </c>
    </row>
    <row r="56" spans="1:42" ht="15" customHeight="1" x14ac:dyDescent="0.2">
      <c r="A56" s="16" t="s">
        <v>522</v>
      </c>
      <c r="B56" s="16" t="s">
        <v>532</v>
      </c>
      <c r="C56" s="16" t="s">
        <v>264</v>
      </c>
      <c r="D56" s="16" t="s">
        <v>511</v>
      </c>
      <c r="E56" s="17">
        <v>2811992.665</v>
      </c>
      <c r="F56" s="17">
        <v>2782992.7086999998</v>
      </c>
      <c r="G56" s="17">
        <v>2507681.7705999999</v>
      </c>
      <c r="H56" s="17">
        <v>2233651.6647999999</v>
      </c>
      <c r="I56" s="17">
        <v>1962337.8191</v>
      </c>
      <c r="J56" s="17">
        <v>1739031.3932</v>
      </c>
      <c r="K56" s="17">
        <v>1532031.4602000001</v>
      </c>
      <c r="L56" s="17">
        <v>1354544.7720999999</v>
      </c>
      <c r="M56" s="17">
        <v>1180158.7</v>
      </c>
      <c r="N56" s="17">
        <v>1042888.5</v>
      </c>
      <c r="O56" s="17">
        <v>933707.5</v>
      </c>
      <c r="P56" s="17">
        <v>836617.5</v>
      </c>
      <c r="Q56" s="17">
        <v>746629</v>
      </c>
      <c r="R56" s="17">
        <v>0</v>
      </c>
      <c r="S56" s="17">
        <v>0</v>
      </c>
      <c r="T56" s="17">
        <v>0</v>
      </c>
      <c r="U56" s="17">
        <v>0</v>
      </c>
      <c r="V56" s="17">
        <v>0</v>
      </c>
      <c r="W56" s="17">
        <v>0</v>
      </c>
      <c r="X56" s="17">
        <v>0</v>
      </c>
      <c r="Y56" s="17">
        <v>0</v>
      </c>
      <c r="Z56" s="17">
        <v>0</v>
      </c>
      <c r="AA56" s="17">
        <v>0</v>
      </c>
      <c r="AB56" s="17">
        <v>0</v>
      </c>
      <c r="AC56" s="17">
        <v>0</v>
      </c>
      <c r="AD56" s="17">
        <v>0</v>
      </c>
      <c r="AE56" s="17">
        <v>0</v>
      </c>
      <c r="AF56" s="17">
        <v>0</v>
      </c>
      <c r="AG56" s="17">
        <v>0</v>
      </c>
      <c r="AH56" s="17">
        <v>0</v>
      </c>
      <c r="AI56" s="17">
        <v>0</v>
      </c>
      <c r="AJ56" s="17">
        <v>0</v>
      </c>
      <c r="AK56" s="17">
        <v>0</v>
      </c>
      <c r="AL56" s="17">
        <v>0</v>
      </c>
      <c r="AM56" s="17">
        <v>0</v>
      </c>
      <c r="AN56" s="17">
        <v>0</v>
      </c>
      <c r="AO56" s="17">
        <v>0</v>
      </c>
      <c r="AP56" s="18">
        <f t="shared" si="0"/>
        <v>21664265.453700002</v>
      </c>
    </row>
    <row r="57" spans="1:42" ht="15" customHeight="1" x14ac:dyDescent="0.2">
      <c r="A57" s="16" t="s">
        <v>522</v>
      </c>
      <c r="B57" s="16" t="s">
        <v>532</v>
      </c>
      <c r="C57" s="16" t="s">
        <v>277</v>
      </c>
      <c r="D57" s="16" t="s">
        <v>511</v>
      </c>
      <c r="E57" s="17">
        <v>7026495.5001999997</v>
      </c>
      <c r="F57" s="17">
        <v>7059350.2023999998</v>
      </c>
      <c r="G57" s="17">
        <v>6928399.2666999996</v>
      </c>
      <c r="H57" s="17">
        <v>6821976.7386999996</v>
      </c>
      <c r="I57" s="17">
        <v>6346298.2851</v>
      </c>
      <c r="J57" s="17">
        <v>5670977.7928999998</v>
      </c>
      <c r="K57" s="17">
        <v>4934624.3167000003</v>
      </c>
      <c r="L57" s="17">
        <v>4258941.2158000004</v>
      </c>
      <c r="M57" s="17">
        <v>3692522.0898000002</v>
      </c>
      <c r="N57" s="17">
        <v>3191954.4815000002</v>
      </c>
      <c r="O57" s="17">
        <v>2781341.3001000001</v>
      </c>
      <c r="P57" s="17">
        <v>2416409.4186</v>
      </c>
      <c r="Q57" s="17">
        <v>2059358.5549999999</v>
      </c>
      <c r="R57" s="17">
        <v>0</v>
      </c>
      <c r="S57" s="17">
        <v>0</v>
      </c>
      <c r="T57" s="17">
        <v>0</v>
      </c>
      <c r="U57" s="17">
        <v>0</v>
      </c>
      <c r="V57" s="17">
        <v>0</v>
      </c>
      <c r="W57" s="17">
        <v>0</v>
      </c>
      <c r="X57" s="17">
        <v>0</v>
      </c>
      <c r="Y57" s="17">
        <v>0</v>
      </c>
      <c r="Z57" s="17">
        <v>0</v>
      </c>
      <c r="AA57" s="17">
        <v>0</v>
      </c>
      <c r="AB57" s="17">
        <v>0</v>
      </c>
      <c r="AC57" s="17">
        <v>0</v>
      </c>
      <c r="AD57" s="17">
        <v>0</v>
      </c>
      <c r="AE57" s="17">
        <v>0</v>
      </c>
      <c r="AF57" s="17">
        <v>0</v>
      </c>
      <c r="AG57" s="17">
        <v>0</v>
      </c>
      <c r="AH57" s="17">
        <v>0</v>
      </c>
      <c r="AI57" s="17">
        <v>0</v>
      </c>
      <c r="AJ57" s="17">
        <v>0</v>
      </c>
      <c r="AK57" s="17">
        <v>0</v>
      </c>
      <c r="AL57" s="17">
        <v>0</v>
      </c>
      <c r="AM57" s="17">
        <v>0</v>
      </c>
      <c r="AN57" s="17">
        <v>0</v>
      </c>
      <c r="AO57" s="17">
        <v>0</v>
      </c>
      <c r="AP57" s="18">
        <f t="shared" si="0"/>
        <v>63188649.163499996</v>
      </c>
    </row>
    <row r="58" spans="1:42" ht="15" customHeight="1" x14ac:dyDescent="0.2">
      <c r="A58" s="16" t="s">
        <v>522</v>
      </c>
      <c r="B58" s="16" t="s">
        <v>533</v>
      </c>
      <c r="C58" s="16" t="s">
        <v>293</v>
      </c>
      <c r="D58" s="16" t="s">
        <v>511</v>
      </c>
      <c r="E58" s="17">
        <v>254391</v>
      </c>
      <c r="F58" s="17">
        <v>261274</v>
      </c>
      <c r="G58" s="17">
        <v>232817</v>
      </c>
      <c r="H58" s="17">
        <v>208887</v>
      </c>
      <c r="I58" s="17">
        <v>188043</v>
      </c>
      <c r="J58" s="17">
        <v>167540</v>
      </c>
      <c r="K58" s="17">
        <v>148186</v>
      </c>
      <c r="L58" s="17">
        <v>132635</v>
      </c>
      <c r="M58" s="17">
        <v>0</v>
      </c>
      <c r="N58" s="17">
        <v>0</v>
      </c>
      <c r="O58" s="17">
        <v>0</v>
      </c>
      <c r="P58" s="17">
        <v>0</v>
      </c>
      <c r="Q58" s="17">
        <v>0</v>
      </c>
      <c r="R58" s="17">
        <v>0</v>
      </c>
      <c r="S58" s="17">
        <v>0</v>
      </c>
      <c r="T58" s="17">
        <v>0</v>
      </c>
      <c r="U58" s="17">
        <v>0</v>
      </c>
      <c r="V58" s="17">
        <v>0</v>
      </c>
      <c r="W58" s="17">
        <v>0</v>
      </c>
      <c r="X58" s="17">
        <v>0</v>
      </c>
      <c r="Y58" s="17">
        <v>0</v>
      </c>
      <c r="Z58" s="17">
        <v>0</v>
      </c>
      <c r="AA58" s="17">
        <v>0</v>
      </c>
      <c r="AB58" s="17">
        <v>0</v>
      </c>
      <c r="AC58" s="17">
        <v>0</v>
      </c>
      <c r="AD58" s="17">
        <v>0</v>
      </c>
      <c r="AE58" s="17">
        <v>0</v>
      </c>
      <c r="AF58" s="17">
        <v>0</v>
      </c>
      <c r="AG58" s="17">
        <v>0</v>
      </c>
      <c r="AH58" s="17">
        <v>0</v>
      </c>
      <c r="AI58" s="17">
        <v>0</v>
      </c>
      <c r="AJ58" s="17">
        <v>0</v>
      </c>
      <c r="AK58" s="17">
        <v>0</v>
      </c>
      <c r="AL58" s="17">
        <v>0</v>
      </c>
      <c r="AM58" s="17">
        <v>0</v>
      </c>
      <c r="AN58" s="17">
        <v>0</v>
      </c>
      <c r="AO58" s="17">
        <v>0</v>
      </c>
      <c r="AP58" s="18">
        <f t="shared" si="0"/>
        <v>1593773</v>
      </c>
    </row>
    <row r="59" spans="1:42" ht="15" customHeight="1" x14ac:dyDescent="0.2">
      <c r="A59" s="16" t="s">
        <v>522</v>
      </c>
      <c r="B59" s="16" t="s">
        <v>533</v>
      </c>
      <c r="C59" s="16" t="s">
        <v>324</v>
      </c>
      <c r="D59" s="16" t="s">
        <v>511</v>
      </c>
      <c r="E59" s="17">
        <v>301735</v>
      </c>
      <c r="F59" s="17">
        <v>273848</v>
      </c>
      <c r="G59" s="17">
        <v>245361</v>
      </c>
      <c r="H59" s="17">
        <v>220090</v>
      </c>
      <c r="I59" s="17">
        <v>198142</v>
      </c>
      <c r="J59" s="17">
        <v>177426</v>
      </c>
      <c r="K59" s="17">
        <v>157951</v>
      </c>
      <c r="L59" s="17">
        <v>142014</v>
      </c>
      <c r="M59" s="17">
        <v>0</v>
      </c>
      <c r="N59" s="17">
        <v>0</v>
      </c>
      <c r="O59" s="17">
        <v>0</v>
      </c>
      <c r="P59" s="17">
        <v>0</v>
      </c>
      <c r="Q59" s="17">
        <v>0</v>
      </c>
      <c r="R59" s="17">
        <v>0</v>
      </c>
      <c r="S59" s="17">
        <v>0</v>
      </c>
      <c r="T59" s="17">
        <v>0</v>
      </c>
      <c r="U59" s="17">
        <v>0</v>
      </c>
      <c r="V59" s="17">
        <v>0</v>
      </c>
      <c r="W59" s="17">
        <v>0</v>
      </c>
      <c r="X59" s="17">
        <v>0</v>
      </c>
      <c r="Y59" s="17">
        <v>0</v>
      </c>
      <c r="Z59" s="17">
        <v>0</v>
      </c>
      <c r="AA59" s="17">
        <v>0</v>
      </c>
      <c r="AB59" s="17">
        <v>0</v>
      </c>
      <c r="AC59" s="17">
        <v>0</v>
      </c>
      <c r="AD59" s="17">
        <v>0</v>
      </c>
      <c r="AE59" s="17">
        <v>0</v>
      </c>
      <c r="AF59" s="17">
        <v>0</v>
      </c>
      <c r="AG59" s="17">
        <v>0</v>
      </c>
      <c r="AH59" s="17">
        <v>0</v>
      </c>
      <c r="AI59" s="17">
        <v>0</v>
      </c>
      <c r="AJ59" s="17">
        <v>0</v>
      </c>
      <c r="AK59" s="17">
        <v>0</v>
      </c>
      <c r="AL59" s="17">
        <v>0</v>
      </c>
      <c r="AM59" s="17">
        <v>0</v>
      </c>
      <c r="AN59" s="17">
        <v>0</v>
      </c>
      <c r="AO59" s="17">
        <v>0</v>
      </c>
      <c r="AP59" s="18">
        <f t="shared" si="0"/>
        <v>1716567</v>
      </c>
    </row>
    <row r="60" spans="1:42" ht="15" customHeight="1" x14ac:dyDescent="0.2">
      <c r="A60" s="16" t="s">
        <v>522</v>
      </c>
      <c r="B60" s="16" t="s">
        <v>533</v>
      </c>
      <c r="C60" s="16" t="s">
        <v>399</v>
      </c>
      <c r="D60" s="16" t="s">
        <v>511</v>
      </c>
      <c r="E60" s="17">
        <v>88609</v>
      </c>
      <c r="F60" s="17">
        <v>84457</v>
      </c>
      <c r="G60" s="17">
        <v>68486</v>
      </c>
      <c r="H60" s="17">
        <v>61015</v>
      </c>
      <c r="I60" s="17">
        <v>54514</v>
      </c>
      <c r="J60" s="17">
        <v>48486</v>
      </c>
      <c r="K60" s="17">
        <v>42434</v>
      </c>
      <c r="L60" s="17">
        <v>37441</v>
      </c>
      <c r="M60" s="17">
        <v>0</v>
      </c>
      <c r="N60" s="17">
        <v>0</v>
      </c>
      <c r="O60" s="17">
        <v>0</v>
      </c>
      <c r="P60" s="17">
        <v>0</v>
      </c>
      <c r="Q60" s="17">
        <v>0</v>
      </c>
      <c r="R60" s="17">
        <v>0</v>
      </c>
      <c r="S60" s="17">
        <v>0</v>
      </c>
      <c r="T60" s="17">
        <v>0</v>
      </c>
      <c r="U60" s="17">
        <v>0</v>
      </c>
      <c r="V60" s="17">
        <v>0</v>
      </c>
      <c r="W60" s="17">
        <v>0</v>
      </c>
      <c r="X60" s="17">
        <v>0</v>
      </c>
      <c r="Y60" s="17">
        <v>0</v>
      </c>
      <c r="Z60" s="17">
        <v>0</v>
      </c>
      <c r="AA60" s="17">
        <v>0</v>
      </c>
      <c r="AB60" s="17">
        <v>0</v>
      </c>
      <c r="AC60" s="17">
        <v>0</v>
      </c>
      <c r="AD60" s="17">
        <v>0</v>
      </c>
      <c r="AE60" s="17">
        <v>0</v>
      </c>
      <c r="AF60" s="17">
        <v>0</v>
      </c>
      <c r="AG60" s="17">
        <v>0</v>
      </c>
      <c r="AH60" s="17">
        <v>0</v>
      </c>
      <c r="AI60" s="17">
        <v>0</v>
      </c>
      <c r="AJ60" s="17">
        <v>0</v>
      </c>
      <c r="AK60" s="17">
        <v>0</v>
      </c>
      <c r="AL60" s="17">
        <v>0</v>
      </c>
      <c r="AM60" s="17">
        <v>0</v>
      </c>
      <c r="AN60" s="17">
        <v>0</v>
      </c>
      <c r="AO60" s="17">
        <v>0</v>
      </c>
      <c r="AP60" s="18">
        <f t="shared" si="0"/>
        <v>485442</v>
      </c>
    </row>
    <row r="61" spans="1:42" ht="15" customHeight="1" x14ac:dyDescent="0.2">
      <c r="A61" s="16" t="s">
        <v>522</v>
      </c>
      <c r="B61" s="16" t="s">
        <v>534</v>
      </c>
      <c r="C61" s="16" t="s">
        <v>181</v>
      </c>
      <c r="D61" s="16" t="s">
        <v>511</v>
      </c>
      <c r="E61" s="17">
        <v>3198153</v>
      </c>
      <c r="F61" s="17">
        <v>2863079</v>
      </c>
      <c r="G61" s="17">
        <v>2843250</v>
      </c>
      <c r="H61" s="17">
        <v>2561627</v>
      </c>
      <c r="I61" s="17">
        <v>2043740</v>
      </c>
      <c r="J61" s="17">
        <v>1627538</v>
      </c>
      <c r="K61" s="17">
        <v>1303049</v>
      </c>
      <c r="L61" s="17">
        <v>1037668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7">
        <v>0</v>
      </c>
      <c r="T61" s="17">
        <v>0</v>
      </c>
      <c r="U61" s="17">
        <v>0</v>
      </c>
      <c r="V61" s="17">
        <v>0</v>
      </c>
      <c r="W61" s="17">
        <v>0</v>
      </c>
      <c r="X61" s="17">
        <v>0</v>
      </c>
      <c r="Y61" s="17">
        <v>0</v>
      </c>
      <c r="Z61" s="17">
        <v>0</v>
      </c>
      <c r="AA61" s="17">
        <v>0</v>
      </c>
      <c r="AB61" s="17">
        <v>0</v>
      </c>
      <c r="AC61" s="17">
        <v>0</v>
      </c>
      <c r="AD61" s="17">
        <v>0</v>
      </c>
      <c r="AE61" s="17">
        <v>0</v>
      </c>
      <c r="AF61" s="17">
        <v>0</v>
      </c>
      <c r="AG61" s="17">
        <v>0</v>
      </c>
      <c r="AH61" s="17">
        <v>0</v>
      </c>
      <c r="AI61" s="17">
        <v>0</v>
      </c>
      <c r="AJ61" s="17">
        <v>0</v>
      </c>
      <c r="AK61" s="17">
        <v>0</v>
      </c>
      <c r="AL61" s="17">
        <v>0</v>
      </c>
      <c r="AM61" s="17">
        <v>0</v>
      </c>
      <c r="AN61" s="17">
        <v>0</v>
      </c>
      <c r="AO61" s="17">
        <v>0</v>
      </c>
      <c r="AP61" s="18">
        <f t="shared" si="0"/>
        <v>17478104</v>
      </c>
    </row>
    <row r="62" spans="1:42" ht="15" customHeight="1" x14ac:dyDescent="0.2">
      <c r="A62" s="16" t="s">
        <v>522</v>
      </c>
      <c r="B62" s="16" t="s">
        <v>534</v>
      </c>
      <c r="C62" s="16" t="s">
        <v>182</v>
      </c>
      <c r="D62" s="16" t="s">
        <v>511</v>
      </c>
      <c r="E62" s="17">
        <v>730782</v>
      </c>
      <c r="F62" s="17">
        <v>616847</v>
      </c>
      <c r="G62" s="17">
        <v>537553</v>
      </c>
      <c r="H62" s="17">
        <v>457929</v>
      </c>
      <c r="I62" s="17">
        <v>379086</v>
      </c>
      <c r="J62" s="17">
        <v>310764</v>
      </c>
      <c r="K62" s="17">
        <v>255983</v>
      </c>
      <c r="L62" s="17">
        <v>205799</v>
      </c>
      <c r="M62" s="17">
        <v>0</v>
      </c>
      <c r="N62" s="17">
        <v>0</v>
      </c>
      <c r="O62" s="17">
        <v>0</v>
      </c>
      <c r="P62" s="17">
        <v>0</v>
      </c>
      <c r="Q62" s="17">
        <v>0</v>
      </c>
      <c r="R62" s="17">
        <v>0</v>
      </c>
      <c r="S62" s="17">
        <v>0</v>
      </c>
      <c r="T62" s="17">
        <v>0</v>
      </c>
      <c r="U62" s="17">
        <v>0</v>
      </c>
      <c r="V62" s="17">
        <v>0</v>
      </c>
      <c r="W62" s="17">
        <v>0</v>
      </c>
      <c r="X62" s="17">
        <v>0</v>
      </c>
      <c r="Y62" s="17">
        <v>0</v>
      </c>
      <c r="Z62" s="17">
        <v>0</v>
      </c>
      <c r="AA62" s="17">
        <v>0</v>
      </c>
      <c r="AB62" s="17">
        <v>0</v>
      </c>
      <c r="AC62" s="17">
        <v>0</v>
      </c>
      <c r="AD62" s="17">
        <v>0</v>
      </c>
      <c r="AE62" s="17">
        <v>0</v>
      </c>
      <c r="AF62" s="17">
        <v>0</v>
      </c>
      <c r="AG62" s="17">
        <v>0</v>
      </c>
      <c r="AH62" s="17">
        <v>0</v>
      </c>
      <c r="AI62" s="17">
        <v>0</v>
      </c>
      <c r="AJ62" s="17">
        <v>0</v>
      </c>
      <c r="AK62" s="17">
        <v>0</v>
      </c>
      <c r="AL62" s="17">
        <v>0</v>
      </c>
      <c r="AM62" s="17">
        <v>0</v>
      </c>
      <c r="AN62" s="17">
        <v>0</v>
      </c>
      <c r="AO62" s="17">
        <v>0</v>
      </c>
      <c r="AP62" s="18">
        <f t="shared" si="0"/>
        <v>3494743</v>
      </c>
    </row>
    <row r="63" spans="1:42" ht="15" customHeight="1" x14ac:dyDescent="0.2">
      <c r="A63" s="16" t="s">
        <v>522</v>
      </c>
      <c r="B63" s="16" t="s">
        <v>534</v>
      </c>
      <c r="C63" s="16" t="s">
        <v>216</v>
      </c>
      <c r="D63" s="16" t="s">
        <v>511</v>
      </c>
      <c r="E63" s="17">
        <v>57737</v>
      </c>
      <c r="F63" s="17">
        <v>51692</v>
      </c>
      <c r="G63" s="17">
        <v>46767</v>
      </c>
      <c r="H63" s="17">
        <v>42588</v>
      </c>
      <c r="I63" s="17">
        <v>39110</v>
      </c>
      <c r="J63" s="17">
        <v>35901</v>
      </c>
      <c r="K63" s="17">
        <v>33203</v>
      </c>
      <c r="L63" s="17">
        <v>30824</v>
      </c>
      <c r="M63" s="17">
        <v>28743</v>
      </c>
      <c r="N63" s="17">
        <v>26658</v>
      </c>
      <c r="O63" s="17">
        <v>24793</v>
      </c>
      <c r="P63" s="17">
        <v>23058</v>
      </c>
      <c r="Q63" s="17">
        <v>21503</v>
      </c>
      <c r="R63" s="17">
        <v>0</v>
      </c>
      <c r="S63" s="17">
        <v>0</v>
      </c>
      <c r="T63" s="17">
        <v>0</v>
      </c>
      <c r="U63" s="17">
        <v>0</v>
      </c>
      <c r="V63" s="17">
        <v>0</v>
      </c>
      <c r="W63" s="17">
        <v>0</v>
      </c>
      <c r="X63" s="17">
        <v>0</v>
      </c>
      <c r="Y63" s="17">
        <v>0</v>
      </c>
      <c r="Z63" s="17">
        <v>0</v>
      </c>
      <c r="AA63" s="17">
        <v>0</v>
      </c>
      <c r="AB63" s="17">
        <v>0</v>
      </c>
      <c r="AC63" s="17">
        <v>0</v>
      </c>
      <c r="AD63" s="17">
        <v>0</v>
      </c>
      <c r="AE63" s="17">
        <v>0</v>
      </c>
      <c r="AF63" s="17">
        <v>0</v>
      </c>
      <c r="AG63" s="17">
        <v>0</v>
      </c>
      <c r="AH63" s="17">
        <v>0</v>
      </c>
      <c r="AI63" s="17">
        <v>0</v>
      </c>
      <c r="AJ63" s="17">
        <v>0</v>
      </c>
      <c r="AK63" s="17">
        <v>0</v>
      </c>
      <c r="AL63" s="17">
        <v>0</v>
      </c>
      <c r="AM63" s="17">
        <v>0</v>
      </c>
      <c r="AN63" s="17">
        <v>0</v>
      </c>
      <c r="AO63" s="17">
        <v>0</v>
      </c>
      <c r="AP63" s="18">
        <f t="shared" si="0"/>
        <v>462577</v>
      </c>
    </row>
    <row r="64" spans="1:42" ht="15" customHeight="1" x14ac:dyDescent="0.2">
      <c r="A64" s="16" t="s">
        <v>522</v>
      </c>
      <c r="B64" s="16" t="s">
        <v>534</v>
      </c>
      <c r="C64" s="16" t="s">
        <v>239</v>
      </c>
      <c r="D64" s="16" t="s">
        <v>511</v>
      </c>
      <c r="E64" s="17">
        <v>222058</v>
      </c>
      <c r="F64" s="17">
        <v>127657</v>
      </c>
      <c r="G64" s="17">
        <v>75755</v>
      </c>
      <c r="H64" s="17">
        <v>46217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0</v>
      </c>
      <c r="Y64" s="17">
        <v>0</v>
      </c>
      <c r="Z64" s="17">
        <v>0</v>
      </c>
      <c r="AA64" s="17">
        <v>0</v>
      </c>
      <c r="AB64" s="17">
        <v>0</v>
      </c>
      <c r="AC64" s="17">
        <v>0</v>
      </c>
      <c r="AD64" s="17">
        <v>0</v>
      </c>
      <c r="AE64" s="17">
        <v>0</v>
      </c>
      <c r="AF64" s="17">
        <v>0</v>
      </c>
      <c r="AG64" s="17">
        <v>0</v>
      </c>
      <c r="AH64" s="17">
        <v>0</v>
      </c>
      <c r="AI64" s="17">
        <v>0</v>
      </c>
      <c r="AJ64" s="17">
        <v>0</v>
      </c>
      <c r="AK64" s="17">
        <v>0</v>
      </c>
      <c r="AL64" s="17">
        <v>0</v>
      </c>
      <c r="AM64" s="17">
        <v>0</v>
      </c>
      <c r="AN64" s="17">
        <v>0</v>
      </c>
      <c r="AO64" s="17">
        <v>0</v>
      </c>
      <c r="AP64" s="18">
        <f t="shared" si="0"/>
        <v>471687</v>
      </c>
    </row>
    <row r="65" spans="1:42" ht="15" customHeight="1" x14ac:dyDescent="0.2">
      <c r="A65" s="16" t="s">
        <v>522</v>
      </c>
      <c r="B65" s="16" t="s">
        <v>534</v>
      </c>
      <c r="C65" s="16" t="s">
        <v>244</v>
      </c>
      <c r="D65" s="16" t="s">
        <v>511</v>
      </c>
      <c r="E65" s="17">
        <v>142508</v>
      </c>
      <c r="F65" s="17">
        <v>120158</v>
      </c>
      <c r="G65" s="17">
        <v>96489</v>
      </c>
      <c r="H65" s="17">
        <v>79075</v>
      </c>
      <c r="I65" s="17">
        <v>66133</v>
      </c>
      <c r="J65" s="17">
        <v>55823</v>
      </c>
      <c r="K65" s="17">
        <v>47845</v>
      </c>
      <c r="L65" s="17">
        <v>41400</v>
      </c>
      <c r="M65" s="17">
        <v>0</v>
      </c>
      <c r="N65" s="17">
        <v>0</v>
      </c>
      <c r="O65" s="17">
        <v>0</v>
      </c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7">
        <v>0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  <c r="AE65" s="17">
        <v>0</v>
      </c>
      <c r="AF65" s="17">
        <v>0</v>
      </c>
      <c r="AG65" s="17">
        <v>0</v>
      </c>
      <c r="AH65" s="17">
        <v>0</v>
      </c>
      <c r="AI65" s="17">
        <v>0</v>
      </c>
      <c r="AJ65" s="17">
        <v>0</v>
      </c>
      <c r="AK65" s="17">
        <v>0</v>
      </c>
      <c r="AL65" s="17">
        <v>0</v>
      </c>
      <c r="AM65" s="17">
        <v>0</v>
      </c>
      <c r="AN65" s="17">
        <v>0</v>
      </c>
      <c r="AO65" s="17">
        <v>0</v>
      </c>
      <c r="AP65" s="18">
        <f t="shared" si="0"/>
        <v>649431</v>
      </c>
    </row>
    <row r="66" spans="1:42" ht="15" customHeight="1" x14ac:dyDescent="0.2">
      <c r="A66" s="16" t="s">
        <v>522</v>
      </c>
      <c r="B66" s="16" t="s">
        <v>534</v>
      </c>
      <c r="C66" s="16" t="s">
        <v>294</v>
      </c>
      <c r="D66" s="16" t="s">
        <v>511</v>
      </c>
      <c r="E66" s="17">
        <v>1923875.5538999999</v>
      </c>
      <c r="F66" s="17">
        <v>1827628.9508</v>
      </c>
      <c r="G66" s="17">
        <v>1737965.8825999999</v>
      </c>
      <c r="H66" s="17">
        <v>1488285.3939</v>
      </c>
      <c r="I66" s="17">
        <v>1277902.5290999999</v>
      </c>
      <c r="J66" s="17">
        <v>1094874.3174000001</v>
      </c>
      <c r="K66" s="17">
        <v>942100.603</v>
      </c>
      <c r="L66" s="17">
        <v>812284.92169999995</v>
      </c>
      <c r="M66" s="17">
        <v>702204.68830000004</v>
      </c>
      <c r="N66" s="17">
        <v>0</v>
      </c>
      <c r="O66" s="17">
        <v>0</v>
      </c>
      <c r="P66" s="17">
        <v>0</v>
      </c>
      <c r="Q66" s="17">
        <v>0</v>
      </c>
      <c r="R66" s="17">
        <v>0</v>
      </c>
      <c r="S66" s="17">
        <v>0</v>
      </c>
      <c r="T66" s="17">
        <v>0</v>
      </c>
      <c r="U66" s="17">
        <v>0</v>
      </c>
      <c r="V66" s="17">
        <v>0</v>
      </c>
      <c r="W66" s="17">
        <v>0</v>
      </c>
      <c r="X66" s="17">
        <v>0</v>
      </c>
      <c r="Y66" s="17">
        <v>0</v>
      </c>
      <c r="Z66" s="17">
        <v>0</v>
      </c>
      <c r="AA66" s="17">
        <v>0</v>
      </c>
      <c r="AB66" s="17">
        <v>0</v>
      </c>
      <c r="AC66" s="17">
        <v>0</v>
      </c>
      <c r="AD66" s="17">
        <v>0</v>
      </c>
      <c r="AE66" s="17">
        <v>0</v>
      </c>
      <c r="AF66" s="17">
        <v>0</v>
      </c>
      <c r="AG66" s="17">
        <v>0</v>
      </c>
      <c r="AH66" s="17">
        <v>0</v>
      </c>
      <c r="AI66" s="17">
        <v>0</v>
      </c>
      <c r="AJ66" s="17">
        <v>0</v>
      </c>
      <c r="AK66" s="17">
        <v>0</v>
      </c>
      <c r="AL66" s="17">
        <v>0</v>
      </c>
      <c r="AM66" s="17">
        <v>0</v>
      </c>
      <c r="AN66" s="17">
        <v>0</v>
      </c>
      <c r="AO66" s="17">
        <v>0</v>
      </c>
      <c r="AP66" s="18">
        <f t="shared" ref="AP66:AP129" si="1">SUM(E66:AO66)</f>
        <v>11807122.840700001</v>
      </c>
    </row>
    <row r="67" spans="1:42" ht="15" customHeight="1" x14ac:dyDescent="0.2">
      <c r="A67" s="16" t="s">
        <v>522</v>
      </c>
      <c r="B67" s="16" t="s">
        <v>534</v>
      </c>
      <c r="C67" s="16" t="s">
        <v>350</v>
      </c>
      <c r="D67" s="16" t="s">
        <v>511</v>
      </c>
      <c r="E67" s="17">
        <v>578570</v>
      </c>
      <c r="F67" s="17">
        <v>473511</v>
      </c>
      <c r="G67" s="17">
        <v>392337</v>
      </c>
      <c r="H67" s="17">
        <v>329294</v>
      </c>
      <c r="I67" s="17">
        <v>270507</v>
      </c>
      <c r="J67" s="17">
        <v>215945</v>
      </c>
      <c r="K67" s="17">
        <v>172302</v>
      </c>
      <c r="L67" s="17">
        <v>137245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  <c r="T67" s="17">
        <v>0</v>
      </c>
      <c r="U67" s="17">
        <v>0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7">
        <v>0</v>
      </c>
      <c r="AB67" s="17">
        <v>0</v>
      </c>
      <c r="AC67" s="17">
        <v>0</v>
      </c>
      <c r="AD67" s="17">
        <v>0</v>
      </c>
      <c r="AE67" s="17">
        <v>0</v>
      </c>
      <c r="AF67" s="17">
        <v>0</v>
      </c>
      <c r="AG67" s="17">
        <v>0</v>
      </c>
      <c r="AH67" s="17">
        <v>0</v>
      </c>
      <c r="AI67" s="17">
        <v>0</v>
      </c>
      <c r="AJ67" s="17">
        <v>0</v>
      </c>
      <c r="AK67" s="17">
        <v>0</v>
      </c>
      <c r="AL67" s="17">
        <v>0</v>
      </c>
      <c r="AM67" s="17">
        <v>0</v>
      </c>
      <c r="AN67" s="17">
        <v>0</v>
      </c>
      <c r="AO67" s="17">
        <v>0</v>
      </c>
      <c r="AP67" s="18">
        <f t="shared" si="1"/>
        <v>2569711</v>
      </c>
    </row>
    <row r="68" spans="1:42" ht="15" customHeight="1" x14ac:dyDescent="0.2">
      <c r="A68" s="16" t="s">
        <v>522</v>
      </c>
      <c r="B68" s="16" t="s">
        <v>534</v>
      </c>
      <c r="C68" s="16" t="s">
        <v>430</v>
      </c>
      <c r="D68" s="16" t="s">
        <v>511</v>
      </c>
      <c r="E68" s="17">
        <v>5591374</v>
      </c>
      <c r="F68" s="17">
        <v>4932538</v>
      </c>
      <c r="G68" s="17">
        <v>4246239</v>
      </c>
      <c r="H68" s="17">
        <v>3602450</v>
      </c>
      <c r="I68" s="17">
        <v>3081951</v>
      </c>
      <c r="J68" s="17">
        <v>2638958</v>
      </c>
      <c r="K68" s="17">
        <v>2273625</v>
      </c>
      <c r="L68" s="17">
        <v>1958570</v>
      </c>
      <c r="M68" s="17">
        <v>1695578</v>
      </c>
      <c r="N68" s="17">
        <v>1475444</v>
      </c>
      <c r="O68" s="17">
        <v>1279602</v>
      </c>
      <c r="P68" s="17">
        <v>1115514</v>
      </c>
      <c r="Q68" s="17">
        <v>978428</v>
      </c>
      <c r="R68" s="17">
        <v>851413</v>
      </c>
      <c r="S68" s="17">
        <v>746452</v>
      </c>
      <c r="T68" s="17">
        <v>649657</v>
      </c>
      <c r="U68" s="17">
        <v>0</v>
      </c>
      <c r="V68" s="17">
        <v>0</v>
      </c>
      <c r="W68" s="17">
        <v>0</v>
      </c>
      <c r="X68" s="17">
        <v>0</v>
      </c>
      <c r="Y68" s="17">
        <v>0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  <c r="AE68" s="17">
        <v>0</v>
      </c>
      <c r="AF68" s="17">
        <v>0</v>
      </c>
      <c r="AG68" s="17">
        <v>0</v>
      </c>
      <c r="AH68" s="17">
        <v>0</v>
      </c>
      <c r="AI68" s="17">
        <v>0</v>
      </c>
      <c r="AJ68" s="17">
        <v>0</v>
      </c>
      <c r="AK68" s="17">
        <v>0</v>
      </c>
      <c r="AL68" s="17">
        <v>0</v>
      </c>
      <c r="AM68" s="17">
        <v>0</v>
      </c>
      <c r="AN68" s="17">
        <v>0</v>
      </c>
      <c r="AO68" s="17">
        <v>0</v>
      </c>
      <c r="AP68" s="18">
        <f t="shared" si="1"/>
        <v>37117793</v>
      </c>
    </row>
    <row r="69" spans="1:42" ht="15" customHeight="1" x14ac:dyDescent="0.2">
      <c r="A69" s="16" t="s">
        <v>522</v>
      </c>
      <c r="B69" s="16" t="s">
        <v>322</v>
      </c>
      <c r="C69" s="16" t="s">
        <v>115</v>
      </c>
      <c r="D69" s="16" t="s">
        <v>511</v>
      </c>
      <c r="E69" s="17">
        <v>617742</v>
      </c>
      <c r="F69" s="17">
        <v>515926</v>
      </c>
      <c r="G69" s="17">
        <v>431038</v>
      </c>
      <c r="H69" s="17">
        <v>357813</v>
      </c>
      <c r="I69" s="17">
        <v>298380</v>
      </c>
      <c r="J69" s="17">
        <v>245424</v>
      </c>
      <c r="K69" s="17">
        <v>0</v>
      </c>
      <c r="L69" s="17">
        <v>0</v>
      </c>
      <c r="M69" s="17">
        <v>0</v>
      </c>
      <c r="N69" s="17">
        <v>0</v>
      </c>
      <c r="O69" s="17">
        <v>0</v>
      </c>
      <c r="P69" s="17">
        <v>0</v>
      </c>
      <c r="Q69" s="17">
        <v>0</v>
      </c>
      <c r="R69" s="17">
        <v>0</v>
      </c>
      <c r="S69" s="17">
        <v>0</v>
      </c>
      <c r="T69" s="17">
        <v>0</v>
      </c>
      <c r="U69" s="17">
        <v>0</v>
      </c>
      <c r="V69" s="17">
        <v>0</v>
      </c>
      <c r="W69" s="17">
        <v>0</v>
      </c>
      <c r="X69" s="17">
        <v>0</v>
      </c>
      <c r="Y69" s="17">
        <v>0</v>
      </c>
      <c r="Z69" s="17">
        <v>0</v>
      </c>
      <c r="AA69" s="17">
        <v>0</v>
      </c>
      <c r="AB69" s="17">
        <v>0</v>
      </c>
      <c r="AC69" s="17">
        <v>0</v>
      </c>
      <c r="AD69" s="17">
        <v>0</v>
      </c>
      <c r="AE69" s="17">
        <v>0</v>
      </c>
      <c r="AF69" s="17">
        <v>0</v>
      </c>
      <c r="AG69" s="17">
        <v>0</v>
      </c>
      <c r="AH69" s="17">
        <v>0</v>
      </c>
      <c r="AI69" s="17">
        <v>0</v>
      </c>
      <c r="AJ69" s="17">
        <v>0</v>
      </c>
      <c r="AK69" s="17">
        <v>0</v>
      </c>
      <c r="AL69" s="17">
        <v>0</v>
      </c>
      <c r="AM69" s="17">
        <v>0</v>
      </c>
      <c r="AN69" s="17">
        <v>0</v>
      </c>
      <c r="AO69" s="17">
        <v>0</v>
      </c>
      <c r="AP69" s="18">
        <f t="shared" si="1"/>
        <v>2466323</v>
      </c>
    </row>
    <row r="70" spans="1:42" ht="15" customHeight="1" x14ac:dyDescent="0.2">
      <c r="A70" s="16" t="s">
        <v>522</v>
      </c>
      <c r="B70" s="16" t="s">
        <v>322</v>
      </c>
      <c r="C70" s="16" t="s">
        <v>246</v>
      </c>
      <c r="D70" s="16" t="s">
        <v>511</v>
      </c>
      <c r="E70" s="17">
        <v>625725</v>
      </c>
      <c r="F70" s="17">
        <v>533030</v>
      </c>
      <c r="G70" s="17">
        <v>453872</v>
      </c>
      <c r="H70" s="17">
        <v>383140</v>
      </c>
      <c r="I70" s="17">
        <v>324150</v>
      </c>
      <c r="J70" s="17">
        <v>271433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 s="17">
        <v>0</v>
      </c>
      <c r="U70" s="17">
        <v>0</v>
      </c>
      <c r="V70" s="17">
        <v>0</v>
      </c>
      <c r="W70" s="17">
        <v>0</v>
      </c>
      <c r="X70" s="17">
        <v>0</v>
      </c>
      <c r="Y70" s="17">
        <v>0</v>
      </c>
      <c r="Z70" s="17">
        <v>0</v>
      </c>
      <c r="AA70" s="17">
        <v>0</v>
      </c>
      <c r="AB70" s="17">
        <v>0</v>
      </c>
      <c r="AC70" s="17">
        <v>0</v>
      </c>
      <c r="AD70" s="17">
        <v>0</v>
      </c>
      <c r="AE70" s="17">
        <v>0</v>
      </c>
      <c r="AF70" s="17">
        <v>0</v>
      </c>
      <c r="AG70" s="17">
        <v>0</v>
      </c>
      <c r="AH70" s="17">
        <v>0</v>
      </c>
      <c r="AI70" s="17">
        <v>0</v>
      </c>
      <c r="AJ70" s="17">
        <v>0</v>
      </c>
      <c r="AK70" s="17">
        <v>0</v>
      </c>
      <c r="AL70" s="17">
        <v>0</v>
      </c>
      <c r="AM70" s="17">
        <v>0</v>
      </c>
      <c r="AN70" s="17">
        <v>0</v>
      </c>
      <c r="AO70" s="17">
        <v>0</v>
      </c>
      <c r="AP70" s="18">
        <f t="shared" si="1"/>
        <v>2591350</v>
      </c>
    </row>
    <row r="71" spans="1:42" ht="15" customHeight="1" x14ac:dyDescent="0.2">
      <c r="A71" s="16" t="s">
        <v>522</v>
      </c>
      <c r="B71" s="16" t="s">
        <v>322</v>
      </c>
      <c r="C71" s="16" t="s">
        <v>267</v>
      </c>
      <c r="D71" s="16" t="s">
        <v>511</v>
      </c>
      <c r="E71" s="17">
        <v>947623</v>
      </c>
      <c r="F71" s="17">
        <v>803219</v>
      </c>
      <c r="G71" s="17">
        <v>675352</v>
      </c>
      <c r="H71" s="17">
        <v>560403</v>
      </c>
      <c r="I71" s="17">
        <v>460580</v>
      </c>
      <c r="J71" s="17">
        <v>372563</v>
      </c>
      <c r="K71" s="17">
        <v>0</v>
      </c>
      <c r="L71" s="17">
        <v>0</v>
      </c>
      <c r="M71" s="17">
        <v>0</v>
      </c>
      <c r="N71" s="17">
        <v>0</v>
      </c>
      <c r="O71" s="17">
        <v>0</v>
      </c>
      <c r="P71" s="17">
        <v>0</v>
      </c>
      <c r="Q71" s="17">
        <v>0</v>
      </c>
      <c r="R71" s="17">
        <v>0</v>
      </c>
      <c r="S71" s="17">
        <v>0</v>
      </c>
      <c r="T71" s="17">
        <v>0</v>
      </c>
      <c r="U71" s="17">
        <v>0</v>
      </c>
      <c r="V71" s="17">
        <v>0</v>
      </c>
      <c r="W71" s="17">
        <v>0</v>
      </c>
      <c r="X71" s="17">
        <v>0</v>
      </c>
      <c r="Y71" s="17">
        <v>0</v>
      </c>
      <c r="Z71" s="17">
        <v>0</v>
      </c>
      <c r="AA71" s="17">
        <v>0</v>
      </c>
      <c r="AB71" s="17">
        <v>0</v>
      </c>
      <c r="AC71" s="17">
        <v>0</v>
      </c>
      <c r="AD71" s="17">
        <v>0</v>
      </c>
      <c r="AE71" s="17">
        <v>0</v>
      </c>
      <c r="AF71" s="17">
        <v>0</v>
      </c>
      <c r="AG71" s="17">
        <v>0</v>
      </c>
      <c r="AH71" s="17">
        <v>0</v>
      </c>
      <c r="AI71" s="17">
        <v>0</v>
      </c>
      <c r="AJ71" s="17">
        <v>0</v>
      </c>
      <c r="AK71" s="17">
        <v>0</v>
      </c>
      <c r="AL71" s="17">
        <v>0</v>
      </c>
      <c r="AM71" s="17">
        <v>0</v>
      </c>
      <c r="AN71" s="17">
        <v>0</v>
      </c>
      <c r="AO71" s="17">
        <v>0</v>
      </c>
      <c r="AP71" s="18">
        <f t="shared" si="1"/>
        <v>3819740</v>
      </c>
    </row>
    <row r="72" spans="1:42" ht="15" customHeight="1" x14ac:dyDescent="0.2">
      <c r="A72" s="16" t="s">
        <v>522</v>
      </c>
      <c r="B72" s="16" t="s">
        <v>322</v>
      </c>
      <c r="C72" s="16" t="s">
        <v>319</v>
      </c>
      <c r="D72" s="16" t="s">
        <v>511</v>
      </c>
      <c r="E72" s="17">
        <v>2249019</v>
      </c>
      <c r="F72" s="17">
        <v>1968942</v>
      </c>
      <c r="G72" s="17">
        <v>1701121</v>
      </c>
      <c r="H72" s="17">
        <v>1466252</v>
      </c>
      <c r="I72" s="17">
        <v>1255040</v>
      </c>
      <c r="J72" s="17">
        <v>1053892</v>
      </c>
      <c r="K72" s="17">
        <v>881231</v>
      </c>
      <c r="L72" s="17">
        <v>726499</v>
      </c>
      <c r="M72" s="17">
        <v>0</v>
      </c>
      <c r="N72" s="17">
        <v>0</v>
      </c>
      <c r="O72" s="17">
        <v>0</v>
      </c>
      <c r="P72" s="17">
        <v>0</v>
      </c>
      <c r="Q72" s="17">
        <v>0</v>
      </c>
      <c r="R72" s="17">
        <v>0</v>
      </c>
      <c r="S72" s="17">
        <v>0</v>
      </c>
      <c r="T72" s="17">
        <v>0</v>
      </c>
      <c r="U72" s="17">
        <v>0</v>
      </c>
      <c r="V72" s="17">
        <v>0</v>
      </c>
      <c r="W72" s="17">
        <v>0</v>
      </c>
      <c r="X72" s="17">
        <v>0</v>
      </c>
      <c r="Y72" s="17">
        <v>0</v>
      </c>
      <c r="Z72" s="17">
        <v>0</v>
      </c>
      <c r="AA72" s="17">
        <v>0</v>
      </c>
      <c r="AB72" s="17">
        <v>0</v>
      </c>
      <c r="AC72" s="17">
        <v>0</v>
      </c>
      <c r="AD72" s="17">
        <v>0</v>
      </c>
      <c r="AE72" s="17">
        <v>0</v>
      </c>
      <c r="AF72" s="17">
        <v>0</v>
      </c>
      <c r="AG72" s="17">
        <v>0</v>
      </c>
      <c r="AH72" s="17">
        <v>0</v>
      </c>
      <c r="AI72" s="17">
        <v>0</v>
      </c>
      <c r="AJ72" s="17">
        <v>0</v>
      </c>
      <c r="AK72" s="17">
        <v>0</v>
      </c>
      <c r="AL72" s="17">
        <v>0</v>
      </c>
      <c r="AM72" s="17">
        <v>0</v>
      </c>
      <c r="AN72" s="17">
        <v>0</v>
      </c>
      <c r="AO72" s="17">
        <v>0</v>
      </c>
      <c r="AP72" s="18">
        <f t="shared" si="1"/>
        <v>11301996</v>
      </c>
    </row>
    <row r="73" spans="1:42" ht="15" customHeight="1" x14ac:dyDescent="0.2">
      <c r="A73" s="16" t="s">
        <v>522</v>
      </c>
      <c r="B73" s="16" t="s">
        <v>322</v>
      </c>
      <c r="C73" s="16" t="s">
        <v>322</v>
      </c>
      <c r="D73" s="16" t="s">
        <v>511</v>
      </c>
      <c r="E73" s="17">
        <v>74739</v>
      </c>
      <c r="F73" s="17">
        <v>58973</v>
      </c>
      <c r="G73" s="17">
        <v>45895</v>
      </c>
      <c r="H73" s="17">
        <v>0</v>
      </c>
      <c r="I73" s="17">
        <v>0</v>
      </c>
      <c r="J73" s="17">
        <v>0</v>
      </c>
      <c r="K73" s="17">
        <v>0</v>
      </c>
      <c r="L73" s="17">
        <v>0</v>
      </c>
      <c r="M73" s="17">
        <v>0</v>
      </c>
      <c r="N73" s="17">
        <v>0</v>
      </c>
      <c r="O73" s="17">
        <v>0</v>
      </c>
      <c r="P73" s="17">
        <v>0</v>
      </c>
      <c r="Q73" s="17">
        <v>0</v>
      </c>
      <c r="R73" s="17">
        <v>0</v>
      </c>
      <c r="S73" s="17">
        <v>0</v>
      </c>
      <c r="T73" s="17">
        <v>0</v>
      </c>
      <c r="U73" s="17">
        <v>0</v>
      </c>
      <c r="V73" s="17">
        <v>0</v>
      </c>
      <c r="W73" s="17">
        <v>0</v>
      </c>
      <c r="X73" s="17">
        <v>0</v>
      </c>
      <c r="Y73" s="17">
        <v>0</v>
      </c>
      <c r="Z73" s="17">
        <v>0</v>
      </c>
      <c r="AA73" s="17">
        <v>0</v>
      </c>
      <c r="AB73" s="17">
        <v>0</v>
      </c>
      <c r="AC73" s="17">
        <v>0</v>
      </c>
      <c r="AD73" s="17">
        <v>0</v>
      </c>
      <c r="AE73" s="17">
        <v>0</v>
      </c>
      <c r="AF73" s="17">
        <v>0</v>
      </c>
      <c r="AG73" s="17">
        <v>0</v>
      </c>
      <c r="AH73" s="17">
        <v>0</v>
      </c>
      <c r="AI73" s="17">
        <v>0</v>
      </c>
      <c r="AJ73" s="17">
        <v>0</v>
      </c>
      <c r="AK73" s="17">
        <v>0</v>
      </c>
      <c r="AL73" s="17">
        <v>0</v>
      </c>
      <c r="AM73" s="17">
        <v>0</v>
      </c>
      <c r="AN73" s="17">
        <v>0</v>
      </c>
      <c r="AO73" s="17">
        <v>0</v>
      </c>
      <c r="AP73" s="18">
        <f t="shared" si="1"/>
        <v>179607</v>
      </c>
    </row>
    <row r="74" spans="1:42" ht="15" customHeight="1" x14ac:dyDescent="0.2">
      <c r="A74" s="16" t="s">
        <v>522</v>
      </c>
      <c r="B74" s="16" t="s">
        <v>322</v>
      </c>
      <c r="C74" s="16" t="s">
        <v>418</v>
      </c>
      <c r="D74" s="16" t="s">
        <v>511</v>
      </c>
      <c r="E74" s="17">
        <v>448360</v>
      </c>
      <c r="F74" s="17">
        <v>373445</v>
      </c>
      <c r="G74" s="17">
        <v>312541</v>
      </c>
      <c r="H74" s="17">
        <v>261850</v>
      </c>
      <c r="I74" s="17">
        <v>217281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Q74" s="17">
        <v>0</v>
      </c>
      <c r="R74" s="17">
        <v>0</v>
      </c>
      <c r="S74" s="17">
        <v>0</v>
      </c>
      <c r="T74" s="17">
        <v>0</v>
      </c>
      <c r="U74" s="17">
        <v>0</v>
      </c>
      <c r="V74" s="17">
        <v>0</v>
      </c>
      <c r="W74" s="17">
        <v>0</v>
      </c>
      <c r="X74" s="17">
        <v>0</v>
      </c>
      <c r="Y74" s="17">
        <v>0</v>
      </c>
      <c r="Z74" s="17">
        <v>0</v>
      </c>
      <c r="AA74" s="17">
        <v>0</v>
      </c>
      <c r="AB74" s="17">
        <v>0</v>
      </c>
      <c r="AC74" s="17">
        <v>0</v>
      </c>
      <c r="AD74" s="17">
        <v>0</v>
      </c>
      <c r="AE74" s="17">
        <v>0</v>
      </c>
      <c r="AF74" s="17">
        <v>0</v>
      </c>
      <c r="AG74" s="17">
        <v>0</v>
      </c>
      <c r="AH74" s="17">
        <v>0</v>
      </c>
      <c r="AI74" s="17">
        <v>0</v>
      </c>
      <c r="AJ74" s="17">
        <v>0</v>
      </c>
      <c r="AK74" s="17">
        <v>0</v>
      </c>
      <c r="AL74" s="17">
        <v>0</v>
      </c>
      <c r="AM74" s="17">
        <v>0</v>
      </c>
      <c r="AN74" s="17">
        <v>0</v>
      </c>
      <c r="AO74" s="17">
        <v>0</v>
      </c>
      <c r="AP74" s="18">
        <f t="shared" si="1"/>
        <v>1613477</v>
      </c>
    </row>
    <row r="75" spans="1:42" ht="15" customHeight="1" x14ac:dyDescent="0.2">
      <c r="A75" s="16" t="s">
        <v>522</v>
      </c>
      <c r="B75" s="16" t="s">
        <v>535</v>
      </c>
      <c r="C75" s="16" t="s">
        <v>305</v>
      </c>
      <c r="D75" s="16" t="s">
        <v>511</v>
      </c>
      <c r="E75" s="17">
        <v>68389.904999999999</v>
      </c>
      <c r="F75" s="17">
        <v>59212.701000000001</v>
      </c>
      <c r="G75" s="17">
        <v>43365.432000000001</v>
      </c>
      <c r="H75" s="17">
        <v>0</v>
      </c>
      <c r="I75" s="17">
        <v>0</v>
      </c>
      <c r="J75" s="17">
        <v>0</v>
      </c>
      <c r="K75" s="17">
        <v>0</v>
      </c>
      <c r="L75" s="17">
        <v>0</v>
      </c>
      <c r="M75" s="17">
        <v>0</v>
      </c>
      <c r="N75" s="17">
        <v>0</v>
      </c>
      <c r="O75" s="17">
        <v>0</v>
      </c>
      <c r="P75" s="17">
        <v>0</v>
      </c>
      <c r="Q75" s="17">
        <v>0</v>
      </c>
      <c r="R75" s="17">
        <v>0</v>
      </c>
      <c r="S75" s="17">
        <v>0</v>
      </c>
      <c r="T75" s="17">
        <v>0</v>
      </c>
      <c r="U75" s="17">
        <v>0</v>
      </c>
      <c r="V75" s="17">
        <v>0</v>
      </c>
      <c r="W75" s="17">
        <v>0</v>
      </c>
      <c r="X75" s="17">
        <v>0</v>
      </c>
      <c r="Y75" s="17">
        <v>0</v>
      </c>
      <c r="Z75" s="17">
        <v>0</v>
      </c>
      <c r="AA75" s="17">
        <v>0</v>
      </c>
      <c r="AB75" s="17">
        <v>0</v>
      </c>
      <c r="AC75" s="17">
        <v>0</v>
      </c>
      <c r="AD75" s="17">
        <v>0</v>
      </c>
      <c r="AE75" s="17">
        <v>0</v>
      </c>
      <c r="AF75" s="17">
        <v>0</v>
      </c>
      <c r="AG75" s="17">
        <v>0</v>
      </c>
      <c r="AH75" s="17">
        <v>0</v>
      </c>
      <c r="AI75" s="17">
        <v>0</v>
      </c>
      <c r="AJ75" s="17">
        <v>0</v>
      </c>
      <c r="AK75" s="17">
        <v>0</v>
      </c>
      <c r="AL75" s="17">
        <v>0</v>
      </c>
      <c r="AM75" s="17">
        <v>0</v>
      </c>
      <c r="AN75" s="17">
        <v>0</v>
      </c>
      <c r="AO75" s="17">
        <v>0</v>
      </c>
      <c r="AP75" s="18">
        <f t="shared" si="1"/>
        <v>170968.038</v>
      </c>
    </row>
    <row r="76" spans="1:42" ht="15" customHeight="1" x14ac:dyDescent="0.2">
      <c r="A76" s="16" t="s">
        <v>522</v>
      </c>
      <c r="B76" s="16" t="s">
        <v>329</v>
      </c>
      <c r="C76" s="16" t="s">
        <v>329</v>
      </c>
      <c r="D76" s="16" t="s">
        <v>511</v>
      </c>
      <c r="E76" s="17">
        <v>717842</v>
      </c>
      <c r="F76" s="17">
        <v>608338</v>
      </c>
      <c r="G76" s="17">
        <v>518623</v>
      </c>
      <c r="H76" s="17">
        <v>443196</v>
      </c>
      <c r="I76" s="17">
        <v>373357</v>
      </c>
      <c r="J76" s="17">
        <v>314724</v>
      </c>
      <c r="K76" s="17">
        <v>267397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7">
        <v>0</v>
      </c>
      <c r="R76" s="17">
        <v>0</v>
      </c>
      <c r="S76" s="17">
        <v>0</v>
      </c>
      <c r="T76" s="17">
        <v>0</v>
      </c>
      <c r="U76" s="17">
        <v>0</v>
      </c>
      <c r="V76" s="17">
        <v>0</v>
      </c>
      <c r="W76" s="17">
        <v>0</v>
      </c>
      <c r="X76" s="17">
        <v>0</v>
      </c>
      <c r="Y76" s="17">
        <v>0</v>
      </c>
      <c r="Z76" s="17">
        <v>0</v>
      </c>
      <c r="AA76" s="17">
        <v>0</v>
      </c>
      <c r="AB76" s="17">
        <v>0</v>
      </c>
      <c r="AC76" s="17">
        <v>0</v>
      </c>
      <c r="AD76" s="17">
        <v>0</v>
      </c>
      <c r="AE76" s="17">
        <v>0</v>
      </c>
      <c r="AF76" s="17">
        <v>0</v>
      </c>
      <c r="AG76" s="17">
        <v>0</v>
      </c>
      <c r="AH76" s="17">
        <v>0</v>
      </c>
      <c r="AI76" s="17">
        <v>0</v>
      </c>
      <c r="AJ76" s="17">
        <v>0</v>
      </c>
      <c r="AK76" s="17">
        <v>0</v>
      </c>
      <c r="AL76" s="17">
        <v>0</v>
      </c>
      <c r="AM76" s="17">
        <v>0</v>
      </c>
      <c r="AN76" s="17">
        <v>0</v>
      </c>
      <c r="AO76" s="17">
        <v>0</v>
      </c>
      <c r="AP76" s="18">
        <f t="shared" si="1"/>
        <v>3243477</v>
      </c>
    </row>
    <row r="77" spans="1:42" ht="15" customHeight="1" x14ac:dyDescent="0.2">
      <c r="A77" s="16" t="s">
        <v>522</v>
      </c>
      <c r="B77" s="16" t="s">
        <v>335</v>
      </c>
      <c r="C77" s="16" t="s">
        <v>152</v>
      </c>
      <c r="D77" s="16" t="s">
        <v>511</v>
      </c>
      <c r="E77" s="17">
        <v>540018.96770000004</v>
      </c>
      <c r="F77" s="17">
        <v>470529.55670000002</v>
      </c>
      <c r="G77" s="17">
        <v>417782.53009999997</v>
      </c>
      <c r="H77" s="17">
        <v>374802.83860000002</v>
      </c>
      <c r="I77" s="17">
        <v>336437.79519999999</v>
      </c>
      <c r="J77" s="17">
        <v>299981.57410000003</v>
      </c>
      <c r="K77" s="17">
        <v>268918.5515</v>
      </c>
      <c r="L77" s="17">
        <v>241535.9437</v>
      </c>
      <c r="M77" s="17">
        <v>218812.7482</v>
      </c>
      <c r="N77" s="17">
        <v>198056.09099999999</v>
      </c>
      <c r="O77" s="17">
        <v>179952.78030000001</v>
      </c>
      <c r="P77" s="17">
        <v>163737.7231</v>
      </c>
      <c r="Q77" s="17">
        <v>149500.20569999999</v>
      </c>
      <c r="R77" s="17">
        <v>136052.0411</v>
      </c>
      <c r="S77" s="17">
        <v>124239.8312</v>
      </c>
      <c r="T77" s="17">
        <v>113567.2571</v>
      </c>
      <c r="U77" s="17">
        <v>103803.51489999999</v>
      </c>
      <c r="V77" s="17">
        <v>94900.948999999993</v>
      </c>
      <c r="W77" s="17">
        <v>87028.910799999998</v>
      </c>
      <c r="X77" s="17">
        <v>79889.6587</v>
      </c>
      <c r="Y77" s="17">
        <v>73237.657399999996</v>
      </c>
      <c r="Z77" s="17">
        <v>66735.224799999996</v>
      </c>
      <c r="AA77" s="17">
        <v>61193.580300000001</v>
      </c>
      <c r="AB77" s="17">
        <v>56419.601600000002</v>
      </c>
      <c r="AC77" s="17">
        <v>52175.274899999997</v>
      </c>
      <c r="AD77" s="17">
        <v>0</v>
      </c>
      <c r="AE77" s="17">
        <v>0</v>
      </c>
      <c r="AF77" s="17">
        <v>0</v>
      </c>
      <c r="AG77" s="17">
        <v>0</v>
      </c>
      <c r="AH77" s="17">
        <v>0</v>
      </c>
      <c r="AI77" s="17">
        <v>0</v>
      </c>
      <c r="AJ77" s="17">
        <v>0</v>
      </c>
      <c r="AK77" s="17">
        <v>0</v>
      </c>
      <c r="AL77" s="17">
        <v>0</v>
      </c>
      <c r="AM77" s="17">
        <v>0</v>
      </c>
      <c r="AN77" s="17">
        <v>0</v>
      </c>
      <c r="AO77" s="17">
        <v>0</v>
      </c>
      <c r="AP77" s="18">
        <f t="shared" si="1"/>
        <v>4909310.8076999979</v>
      </c>
    </row>
    <row r="78" spans="1:42" ht="15" customHeight="1" x14ac:dyDescent="0.2">
      <c r="A78" s="16" t="s">
        <v>522</v>
      </c>
      <c r="B78" s="16" t="s">
        <v>335</v>
      </c>
      <c r="C78" s="16" t="s">
        <v>335</v>
      </c>
      <c r="D78" s="16" t="s">
        <v>511</v>
      </c>
      <c r="E78" s="17">
        <v>2767943.1263000001</v>
      </c>
      <c r="F78" s="17">
        <v>2468348.8354000002</v>
      </c>
      <c r="G78" s="17">
        <v>2250787.5084000002</v>
      </c>
      <c r="H78" s="17">
        <v>2029890.2334</v>
      </c>
      <c r="I78" s="17">
        <v>1819377.4273000001</v>
      </c>
      <c r="J78" s="17">
        <v>1598884.6673000001</v>
      </c>
      <c r="K78" s="17">
        <v>1409652.2871000001</v>
      </c>
      <c r="L78" s="17">
        <v>1244819.4005</v>
      </c>
      <c r="M78" s="17">
        <v>1103970.6516</v>
      </c>
      <c r="N78" s="17">
        <v>975684.80539999995</v>
      </c>
      <c r="O78" s="17">
        <v>866064.08849999995</v>
      </c>
      <c r="P78" s="17">
        <v>769587.34310000006</v>
      </c>
      <c r="Q78" s="17">
        <v>686516.52359999996</v>
      </c>
      <c r="R78" s="17">
        <v>605363.13589999999</v>
      </c>
      <c r="S78" s="17">
        <v>537997.89939999999</v>
      </c>
      <c r="T78" s="17">
        <v>480247.44099999999</v>
      </c>
      <c r="U78" s="17">
        <v>429674.11719999998</v>
      </c>
      <c r="V78" s="17">
        <v>383777.66009999998</v>
      </c>
      <c r="W78" s="17">
        <v>341502.67290000001</v>
      </c>
      <c r="X78" s="17">
        <v>305124.3873</v>
      </c>
      <c r="Y78" s="17">
        <v>272930.10470000003</v>
      </c>
      <c r="Z78" s="17">
        <v>244446.26010000001</v>
      </c>
      <c r="AA78" s="17">
        <v>214250.7107</v>
      </c>
      <c r="AB78" s="17">
        <v>182305.5048</v>
      </c>
      <c r="AC78" s="17">
        <v>161966.34349999999</v>
      </c>
      <c r="AD78" s="17">
        <v>0</v>
      </c>
      <c r="AE78" s="17">
        <v>0</v>
      </c>
      <c r="AF78" s="17">
        <v>0</v>
      </c>
      <c r="AG78" s="17">
        <v>0</v>
      </c>
      <c r="AH78" s="17">
        <v>0</v>
      </c>
      <c r="AI78" s="17">
        <v>0</v>
      </c>
      <c r="AJ78" s="17">
        <v>0</v>
      </c>
      <c r="AK78" s="17">
        <v>0</v>
      </c>
      <c r="AL78" s="17">
        <v>0</v>
      </c>
      <c r="AM78" s="17">
        <v>0</v>
      </c>
      <c r="AN78" s="17">
        <v>0</v>
      </c>
      <c r="AO78" s="17">
        <v>0</v>
      </c>
      <c r="AP78" s="18">
        <f t="shared" si="1"/>
        <v>24151113.135499999</v>
      </c>
    </row>
    <row r="79" spans="1:42" ht="15" customHeight="1" x14ac:dyDescent="0.2">
      <c r="A79" s="16" t="s">
        <v>522</v>
      </c>
      <c r="B79" s="16" t="s">
        <v>536</v>
      </c>
      <c r="C79" s="16" t="s">
        <v>140</v>
      </c>
      <c r="D79" s="16" t="s">
        <v>511</v>
      </c>
      <c r="E79" s="17">
        <v>201517</v>
      </c>
      <c r="F79" s="17">
        <v>193946</v>
      </c>
      <c r="G79" s="17">
        <v>178517</v>
      </c>
      <c r="H79" s="17">
        <v>164373</v>
      </c>
      <c r="I79" s="17">
        <v>151815</v>
      </c>
      <c r="J79" s="17">
        <v>139502</v>
      </c>
      <c r="K79" s="17">
        <v>128601</v>
      </c>
      <c r="L79" s="17">
        <v>118589</v>
      </c>
      <c r="M79" s="17">
        <v>103114</v>
      </c>
      <c r="N79" s="17">
        <v>87202</v>
      </c>
      <c r="O79" s="17">
        <v>80796</v>
      </c>
      <c r="P79" s="17">
        <v>74880</v>
      </c>
      <c r="Q79" s="17">
        <v>68697</v>
      </c>
      <c r="R79" s="17">
        <v>63120</v>
      </c>
      <c r="S79" s="17">
        <v>58622</v>
      </c>
      <c r="T79" s="17">
        <v>54443</v>
      </c>
      <c r="U79" s="17">
        <v>0</v>
      </c>
      <c r="V79" s="17">
        <v>0</v>
      </c>
      <c r="W79" s="17">
        <v>0</v>
      </c>
      <c r="X79" s="17">
        <v>0</v>
      </c>
      <c r="Y79" s="17">
        <v>0</v>
      </c>
      <c r="Z79" s="17">
        <v>0</v>
      </c>
      <c r="AA79" s="17">
        <v>0</v>
      </c>
      <c r="AB79" s="17">
        <v>0</v>
      </c>
      <c r="AC79" s="17">
        <v>0</v>
      </c>
      <c r="AD79" s="17">
        <v>0</v>
      </c>
      <c r="AE79" s="17">
        <v>0</v>
      </c>
      <c r="AF79" s="17">
        <v>0</v>
      </c>
      <c r="AG79" s="17">
        <v>0</v>
      </c>
      <c r="AH79" s="17">
        <v>0</v>
      </c>
      <c r="AI79" s="17">
        <v>0</v>
      </c>
      <c r="AJ79" s="17">
        <v>0</v>
      </c>
      <c r="AK79" s="17">
        <v>0</v>
      </c>
      <c r="AL79" s="17">
        <v>0</v>
      </c>
      <c r="AM79" s="17">
        <v>0</v>
      </c>
      <c r="AN79" s="17">
        <v>0</v>
      </c>
      <c r="AO79" s="17">
        <v>0</v>
      </c>
      <c r="AP79" s="18">
        <f t="shared" si="1"/>
        <v>1867734</v>
      </c>
    </row>
    <row r="80" spans="1:42" ht="15" customHeight="1" x14ac:dyDescent="0.2">
      <c r="A80" s="16" t="s">
        <v>522</v>
      </c>
      <c r="B80" s="16" t="s">
        <v>536</v>
      </c>
      <c r="C80" s="16" t="s">
        <v>385</v>
      </c>
      <c r="D80" s="16" t="s">
        <v>511</v>
      </c>
      <c r="E80" s="17">
        <v>1208025</v>
      </c>
      <c r="F80" s="17">
        <v>1053348</v>
      </c>
      <c r="G80" s="17">
        <v>924438</v>
      </c>
      <c r="H80" s="17">
        <v>813414</v>
      </c>
      <c r="I80" s="17">
        <v>720876</v>
      </c>
      <c r="J80" s="17">
        <v>630392</v>
      </c>
      <c r="K80" s="17">
        <v>539519</v>
      </c>
      <c r="L80" s="17">
        <v>466474</v>
      </c>
      <c r="M80" s="17">
        <v>404376</v>
      </c>
      <c r="N80" s="17">
        <v>0</v>
      </c>
      <c r="O80" s="17">
        <v>0</v>
      </c>
      <c r="P80" s="17">
        <v>0</v>
      </c>
      <c r="Q80" s="17">
        <v>0</v>
      </c>
      <c r="R80" s="17">
        <v>0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17">
        <v>0</v>
      </c>
      <c r="Y80" s="17">
        <v>0</v>
      </c>
      <c r="Z80" s="17">
        <v>0</v>
      </c>
      <c r="AA80" s="17">
        <v>0</v>
      </c>
      <c r="AB80" s="17">
        <v>0</v>
      </c>
      <c r="AC80" s="17">
        <v>0</v>
      </c>
      <c r="AD80" s="17">
        <v>0</v>
      </c>
      <c r="AE80" s="17">
        <v>0</v>
      </c>
      <c r="AF80" s="17">
        <v>0</v>
      </c>
      <c r="AG80" s="17">
        <v>0</v>
      </c>
      <c r="AH80" s="17">
        <v>0</v>
      </c>
      <c r="AI80" s="17">
        <v>0</v>
      </c>
      <c r="AJ80" s="17">
        <v>0</v>
      </c>
      <c r="AK80" s="17">
        <v>0</v>
      </c>
      <c r="AL80" s="17">
        <v>0</v>
      </c>
      <c r="AM80" s="17">
        <v>0</v>
      </c>
      <c r="AN80" s="17">
        <v>0</v>
      </c>
      <c r="AO80" s="17">
        <v>0</v>
      </c>
      <c r="AP80" s="18">
        <f t="shared" si="1"/>
        <v>6760862</v>
      </c>
    </row>
    <row r="81" spans="1:42" ht="15" customHeight="1" x14ac:dyDescent="0.2">
      <c r="A81" s="16" t="s">
        <v>522</v>
      </c>
      <c r="B81" s="16" t="s">
        <v>537</v>
      </c>
      <c r="C81" s="16" t="s">
        <v>240</v>
      </c>
      <c r="D81" s="16" t="s">
        <v>511</v>
      </c>
      <c r="E81" s="17">
        <v>539141.21759999997</v>
      </c>
      <c r="F81" s="17">
        <v>365832.1802</v>
      </c>
      <c r="G81" s="17">
        <v>250429.26449999999</v>
      </c>
      <c r="H81" s="17">
        <v>172405.022</v>
      </c>
      <c r="I81" s="17">
        <v>113063.4883</v>
      </c>
      <c r="J81" s="17">
        <v>0</v>
      </c>
      <c r="K81" s="17">
        <v>0</v>
      </c>
      <c r="L81" s="17">
        <v>0</v>
      </c>
      <c r="M81" s="17">
        <v>0</v>
      </c>
      <c r="N81" s="17">
        <v>0</v>
      </c>
      <c r="O81" s="17">
        <v>0</v>
      </c>
      <c r="P81" s="17">
        <v>0</v>
      </c>
      <c r="Q81" s="17">
        <v>0</v>
      </c>
      <c r="R81" s="17">
        <v>0</v>
      </c>
      <c r="S81" s="17">
        <v>0</v>
      </c>
      <c r="T81" s="17">
        <v>0</v>
      </c>
      <c r="U81" s="17">
        <v>0</v>
      </c>
      <c r="V81" s="17">
        <v>0</v>
      </c>
      <c r="W81" s="17">
        <v>0</v>
      </c>
      <c r="X81" s="17">
        <v>0</v>
      </c>
      <c r="Y81" s="17">
        <v>0</v>
      </c>
      <c r="Z81" s="17">
        <v>0</v>
      </c>
      <c r="AA81" s="17">
        <v>0</v>
      </c>
      <c r="AB81" s="17">
        <v>0</v>
      </c>
      <c r="AC81" s="17">
        <v>0</v>
      </c>
      <c r="AD81" s="17">
        <v>0</v>
      </c>
      <c r="AE81" s="17">
        <v>0</v>
      </c>
      <c r="AF81" s="17">
        <v>0</v>
      </c>
      <c r="AG81" s="17">
        <v>0</v>
      </c>
      <c r="AH81" s="17">
        <v>0</v>
      </c>
      <c r="AI81" s="17">
        <v>0</v>
      </c>
      <c r="AJ81" s="17">
        <v>0</v>
      </c>
      <c r="AK81" s="17">
        <v>0</v>
      </c>
      <c r="AL81" s="17">
        <v>0</v>
      </c>
      <c r="AM81" s="17">
        <v>0</v>
      </c>
      <c r="AN81" s="17">
        <v>0</v>
      </c>
      <c r="AO81" s="17">
        <v>0</v>
      </c>
      <c r="AP81" s="18">
        <f t="shared" si="1"/>
        <v>1440871.1725999999</v>
      </c>
    </row>
    <row r="82" spans="1:42" ht="15" customHeight="1" x14ac:dyDescent="0.2">
      <c r="A82" s="16" t="s">
        <v>522</v>
      </c>
      <c r="B82" s="16" t="s">
        <v>537</v>
      </c>
      <c r="C82" s="16" t="s">
        <v>241</v>
      </c>
      <c r="D82" s="16" t="s">
        <v>511</v>
      </c>
      <c r="E82" s="17">
        <v>197346.0778</v>
      </c>
      <c r="F82" s="17">
        <v>0</v>
      </c>
      <c r="G82" s="17">
        <v>0</v>
      </c>
      <c r="H82" s="17">
        <v>0</v>
      </c>
      <c r="I82" s="17">
        <v>0</v>
      </c>
      <c r="J82" s="17">
        <v>0</v>
      </c>
      <c r="K82" s="17">
        <v>0</v>
      </c>
      <c r="L82" s="17">
        <v>0</v>
      </c>
      <c r="M82" s="17">
        <v>0</v>
      </c>
      <c r="N82" s="17">
        <v>0</v>
      </c>
      <c r="O82" s="17">
        <v>0</v>
      </c>
      <c r="P82" s="17">
        <v>0</v>
      </c>
      <c r="Q82" s="17">
        <v>0</v>
      </c>
      <c r="R82" s="17">
        <v>0</v>
      </c>
      <c r="S82" s="17">
        <v>0</v>
      </c>
      <c r="T82" s="17">
        <v>0</v>
      </c>
      <c r="U82" s="17">
        <v>0</v>
      </c>
      <c r="V82" s="17">
        <v>0</v>
      </c>
      <c r="W82" s="17">
        <v>0</v>
      </c>
      <c r="X82" s="17">
        <v>0</v>
      </c>
      <c r="Y82" s="17">
        <v>0</v>
      </c>
      <c r="Z82" s="17">
        <v>0</v>
      </c>
      <c r="AA82" s="17">
        <v>0</v>
      </c>
      <c r="AB82" s="17">
        <v>0</v>
      </c>
      <c r="AC82" s="17">
        <v>0</v>
      </c>
      <c r="AD82" s="17">
        <v>0</v>
      </c>
      <c r="AE82" s="17">
        <v>0</v>
      </c>
      <c r="AF82" s="17">
        <v>0</v>
      </c>
      <c r="AG82" s="17">
        <v>0</v>
      </c>
      <c r="AH82" s="17">
        <v>0</v>
      </c>
      <c r="AI82" s="17">
        <v>0</v>
      </c>
      <c r="AJ82" s="17">
        <v>0</v>
      </c>
      <c r="AK82" s="17">
        <v>0</v>
      </c>
      <c r="AL82" s="17">
        <v>0</v>
      </c>
      <c r="AM82" s="17">
        <v>0</v>
      </c>
      <c r="AN82" s="17">
        <v>0</v>
      </c>
      <c r="AO82" s="17">
        <v>0</v>
      </c>
      <c r="AP82" s="18">
        <f t="shared" si="1"/>
        <v>197346.0778</v>
      </c>
    </row>
    <row r="83" spans="1:42" ht="15" customHeight="1" x14ac:dyDescent="0.2">
      <c r="A83" s="16" t="s">
        <v>522</v>
      </c>
      <c r="B83" s="16" t="s">
        <v>537</v>
      </c>
      <c r="C83" s="16" t="s">
        <v>340</v>
      </c>
      <c r="D83" s="16" t="s">
        <v>511</v>
      </c>
      <c r="E83" s="17">
        <v>4882193.3305000002</v>
      </c>
      <c r="F83" s="17">
        <v>4327272.0195000004</v>
      </c>
      <c r="G83" s="17">
        <v>3173938.8084999998</v>
      </c>
      <c r="H83" s="17">
        <v>2377792.7796999998</v>
      </c>
      <c r="I83" s="17">
        <v>1849234.9897</v>
      </c>
      <c r="J83" s="17">
        <v>1279596.5286000001</v>
      </c>
      <c r="K83" s="17">
        <v>890084.63690000004</v>
      </c>
      <c r="L83" s="17">
        <v>607239.97360000003</v>
      </c>
      <c r="M83" s="17">
        <v>433994.3113</v>
      </c>
      <c r="N83" s="17">
        <v>294326.49570000003</v>
      </c>
      <c r="O83" s="17">
        <v>209040.166</v>
      </c>
      <c r="P83" s="17">
        <v>148626.7279</v>
      </c>
      <c r="Q83" s="17">
        <v>0</v>
      </c>
      <c r="R83" s="17">
        <v>0</v>
      </c>
      <c r="S83" s="17">
        <v>0</v>
      </c>
      <c r="T83" s="17">
        <v>0</v>
      </c>
      <c r="U83" s="17">
        <v>0</v>
      </c>
      <c r="V83" s="17">
        <v>0</v>
      </c>
      <c r="W83" s="17">
        <v>0</v>
      </c>
      <c r="X83" s="17">
        <v>0</v>
      </c>
      <c r="Y83" s="17">
        <v>0</v>
      </c>
      <c r="Z83" s="17">
        <v>0</v>
      </c>
      <c r="AA83" s="17">
        <v>0</v>
      </c>
      <c r="AB83" s="17">
        <v>0</v>
      </c>
      <c r="AC83" s="17">
        <v>0</v>
      </c>
      <c r="AD83" s="17">
        <v>0</v>
      </c>
      <c r="AE83" s="17">
        <v>0</v>
      </c>
      <c r="AF83" s="17">
        <v>0</v>
      </c>
      <c r="AG83" s="17">
        <v>0</v>
      </c>
      <c r="AH83" s="17">
        <v>0</v>
      </c>
      <c r="AI83" s="17">
        <v>0</v>
      </c>
      <c r="AJ83" s="17">
        <v>0</v>
      </c>
      <c r="AK83" s="17">
        <v>0</v>
      </c>
      <c r="AL83" s="17">
        <v>0</v>
      </c>
      <c r="AM83" s="17">
        <v>0</v>
      </c>
      <c r="AN83" s="17">
        <v>0</v>
      </c>
      <c r="AO83" s="17">
        <v>0</v>
      </c>
      <c r="AP83" s="18">
        <f t="shared" si="1"/>
        <v>20473340.767900001</v>
      </c>
    </row>
    <row r="84" spans="1:42" ht="15" customHeight="1" x14ac:dyDescent="0.2">
      <c r="A84" s="16" t="s">
        <v>522</v>
      </c>
      <c r="B84" s="16" t="s">
        <v>538</v>
      </c>
      <c r="C84" s="16" t="s">
        <v>134</v>
      </c>
      <c r="D84" s="16" t="s">
        <v>511</v>
      </c>
      <c r="E84" s="17">
        <v>76783</v>
      </c>
      <c r="F84" s="17">
        <v>61875</v>
      </c>
      <c r="G84" s="17">
        <v>46581</v>
      </c>
      <c r="H84" s="17">
        <v>35137</v>
      </c>
      <c r="I84" s="17">
        <v>26622</v>
      </c>
      <c r="J84" s="17">
        <v>20095</v>
      </c>
      <c r="K84" s="17">
        <v>13946</v>
      </c>
      <c r="L84" s="17">
        <v>10696</v>
      </c>
      <c r="M84" s="17">
        <v>8229</v>
      </c>
      <c r="N84" s="17">
        <v>0</v>
      </c>
      <c r="O84" s="17">
        <v>0</v>
      </c>
      <c r="P84" s="17">
        <v>0</v>
      </c>
      <c r="Q84" s="17">
        <v>0</v>
      </c>
      <c r="R84" s="17">
        <v>0</v>
      </c>
      <c r="S84" s="17">
        <v>0</v>
      </c>
      <c r="T84" s="17">
        <v>0</v>
      </c>
      <c r="U84" s="17">
        <v>0</v>
      </c>
      <c r="V84" s="17">
        <v>0</v>
      </c>
      <c r="W84" s="17">
        <v>0</v>
      </c>
      <c r="X84" s="17">
        <v>0</v>
      </c>
      <c r="Y84" s="17">
        <v>0</v>
      </c>
      <c r="Z84" s="17">
        <v>0</v>
      </c>
      <c r="AA84" s="17">
        <v>0</v>
      </c>
      <c r="AB84" s="17">
        <v>0</v>
      </c>
      <c r="AC84" s="17">
        <v>0</v>
      </c>
      <c r="AD84" s="17">
        <v>0</v>
      </c>
      <c r="AE84" s="17">
        <v>0</v>
      </c>
      <c r="AF84" s="17">
        <v>0</v>
      </c>
      <c r="AG84" s="17">
        <v>0</v>
      </c>
      <c r="AH84" s="17">
        <v>0</v>
      </c>
      <c r="AI84" s="17">
        <v>0</v>
      </c>
      <c r="AJ84" s="17">
        <v>0</v>
      </c>
      <c r="AK84" s="17">
        <v>0</v>
      </c>
      <c r="AL84" s="17">
        <v>0</v>
      </c>
      <c r="AM84" s="17">
        <v>0</v>
      </c>
      <c r="AN84" s="17">
        <v>0</v>
      </c>
      <c r="AO84" s="17">
        <v>0</v>
      </c>
      <c r="AP84" s="18">
        <f t="shared" si="1"/>
        <v>299964</v>
      </c>
    </row>
    <row r="85" spans="1:42" ht="15" customHeight="1" x14ac:dyDescent="0.2">
      <c r="A85" s="16" t="s">
        <v>522</v>
      </c>
      <c r="B85" s="16" t="s">
        <v>538</v>
      </c>
      <c r="C85" s="16" t="s">
        <v>150</v>
      </c>
      <c r="D85" s="16" t="s">
        <v>511</v>
      </c>
      <c r="E85" s="17">
        <v>60214</v>
      </c>
      <c r="F85" s="17">
        <v>48228</v>
      </c>
      <c r="G85" s="17">
        <v>38939</v>
      </c>
      <c r="H85" s="17">
        <v>31556</v>
      </c>
      <c r="I85" s="17">
        <v>25752</v>
      </c>
      <c r="J85" s="17">
        <v>20431</v>
      </c>
      <c r="K85" s="17">
        <v>16188</v>
      </c>
      <c r="L85" s="17">
        <v>0</v>
      </c>
      <c r="M85" s="17">
        <v>0</v>
      </c>
      <c r="N85" s="17">
        <v>0</v>
      </c>
      <c r="O85" s="17">
        <v>0</v>
      </c>
      <c r="P85" s="17">
        <v>0</v>
      </c>
      <c r="Q85" s="17">
        <v>0</v>
      </c>
      <c r="R85" s="17">
        <v>0</v>
      </c>
      <c r="S85" s="17">
        <v>0</v>
      </c>
      <c r="T85" s="17">
        <v>0</v>
      </c>
      <c r="U85" s="17">
        <v>0</v>
      </c>
      <c r="V85" s="17">
        <v>0</v>
      </c>
      <c r="W85" s="17">
        <v>0</v>
      </c>
      <c r="X85" s="17">
        <v>0</v>
      </c>
      <c r="Y85" s="17">
        <v>0</v>
      </c>
      <c r="Z85" s="17">
        <v>0</v>
      </c>
      <c r="AA85" s="17">
        <v>0</v>
      </c>
      <c r="AB85" s="17">
        <v>0</v>
      </c>
      <c r="AC85" s="17">
        <v>0</v>
      </c>
      <c r="AD85" s="17">
        <v>0</v>
      </c>
      <c r="AE85" s="17">
        <v>0</v>
      </c>
      <c r="AF85" s="17">
        <v>0</v>
      </c>
      <c r="AG85" s="17">
        <v>0</v>
      </c>
      <c r="AH85" s="17">
        <v>0</v>
      </c>
      <c r="AI85" s="17">
        <v>0</v>
      </c>
      <c r="AJ85" s="17">
        <v>0</v>
      </c>
      <c r="AK85" s="17">
        <v>0</v>
      </c>
      <c r="AL85" s="17">
        <v>0</v>
      </c>
      <c r="AM85" s="17">
        <v>0</v>
      </c>
      <c r="AN85" s="17">
        <v>0</v>
      </c>
      <c r="AO85" s="17">
        <v>0</v>
      </c>
      <c r="AP85" s="18">
        <f t="shared" si="1"/>
        <v>241308</v>
      </c>
    </row>
    <row r="86" spans="1:42" ht="15" customHeight="1" x14ac:dyDescent="0.2">
      <c r="A86" s="16" t="s">
        <v>522</v>
      </c>
      <c r="B86" s="16" t="s">
        <v>538</v>
      </c>
      <c r="C86" s="16" t="s">
        <v>227</v>
      </c>
      <c r="D86" s="16" t="s">
        <v>511</v>
      </c>
      <c r="E86" s="17">
        <v>198576</v>
      </c>
      <c r="F86" s="17">
        <v>164153</v>
      </c>
      <c r="G86" s="17">
        <v>0</v>
      </c>
      <c r="H86" s="17">
        <v>0</v>
      </c>
      <c r="I86" s="17">
        <v>0</v>
      </c>
      <c r="J86" s="17">
        <v>0</v>
      </c>
      <c r="K86" s="17">
        <v>0</v>
      </c>
      <c r="L86" s="17">
        <v>0</v>
      </c>
      <c r="M86" s="17">
        <v>0</v>
      </c>
      <c r="N86" s="17">
        <v>0</v>
      </c>
      <c r="O86" s="17">
        <v>0</v>
      </c>
      <c r="P86" s="17">
        <v>0</v>
      </c>
      <c r="Q86" s="17">
        <v>0</v>
      </c>
      <c r="R86" s="17">
        <v>0</v>
      </c>
      <c r="S86" s="17">
        <v>0</v>
      </c>
      <c r="T86" s="17">
        <v>0</v>
      </c>
      <c r="U86" s="17">
        <v>0</v>
      </c>
      <c r="V86" s="17">
        <v>0</v>
      </c>
      <c r="W86" s="17">
        <v>0</v>
      </c>
      <c r="X86" s="17">
        <v>0</v>
      </c>
      <c r="Y86" s="17">
        <v>0</v>
      </c>
      <c r="Z86" s="17">
        <v>0</v>
      </c>
      <c r="AA86" s="17">
        <v>0</v>
      </c>
      <c r="AB86" s="17">
        <v>0</v>
      </c>
      <c r="AC86" s="17">
        <v>0</v>
      </c>
      <c r="AD86" s="17">
        <v>0</v>
      </c>
      <c r="AE86" s="17">
        <v>0</v>
      </c>
      <c r="AF86" s="17">
        <v>0</v>
      </c>
      <c r="AG86" s="17">
        <v>0</v>
      </c>
      <c r="AH86" s="17">
        <v>0</v>
      </c>
      <c r="AI86" s="17">
        <v>0</v>
      </c>
      <c r="AJ86" s="17">
        <v>0</v>
      </c>
      <c r="AK86" s="17">
        <v>0</v>
      </c>
      <c r="AL86" s="17">
        <v>0</v>
      </c>
      <c r="AM86" s="17">
        <v>0</v>
      </c>
      <c r="AN86" s="17">
        <v>0</v>
      </c>
      <c r="AO86" s="17">
        <v>0</v>
      </c>
      <c r="AP86" s="18">
        <f t="shared" si="1"/>
        <v>362729</v>
      </c>
    </row>
    <row r="87" spans="1:42" ht="15" customHeight="1" x14ac:dyDescent="0.2">
      <c r="A87" s="16" t="s">
        <v>522</v>
      </c>
      <c r="B87" s="16" t="s">
        <v>538</v>
      </c>
      <c r="C87" s="16" t="s">
        <v>228</v>
      </c>
      <c r="D87" s="16" t="s">
        <v>511</v>
      </c>
      <c r="E87" s="17">
        <v>85617</v>
      </c>
      <c r="F87" s="17">
        <v>69117</v>
      </c>
      <c r="G87" s="17">
        <v>52186</v>
      </c>
      <c r="H87" s="17">
        <v>39836</v>
      </c>
      <c r="I87" s="17">
        <v>30628</v>
      </c>
      <c r="J87" s="17">
        <v>0</v>
      </c>
      <c r="K87" s="17">
        <v>0</v>
      </c>
      <c r="L87" s="17">
        <v>0</v>
      </c>
      <c r="M87" s="17">
        <v>0</v>
      </c>
      <c r="N87" s="17">
        <v>0</v>
      </c>
      <c r="O87" s="17">
        <v>0</v>
      </c>
      <c r="P87" s="17">
        <v>0</v>
      </c>
      <c r="Q87" s="17">
        <v>0</v>
      </c>
      <c r="R87" s="17">
        <v>0</v>
      </c>
      <c r="S87" s="17">
        <v>0</v>
      </c>
      <c r="T87" s="17">
        <v>0</v>
      </c>
      <c r="U87" s="17">
        <v>0</v>
      </c>
      <c r="V87" s="17">
        <v>0</v>
      </c>
      <c r="W87" s="17">
        <v>0</v>
      </c>
      <c r="X87" s="17">
        <v>0</v>
      </c>
      <c r="Y87" s="17">
        <v>0</v>
      </c>
      <c r="Z87" s="17">
        <v>0</v>
      </c>
      <c r="AA87" s="17">
        <v>0</v>
      </c>
      <c r="AB87" s="17">
        <v>0</v>
      </c>
      <c r="AC87" s="17">
        <v>0</v>
      </c>
      <c r="AD87" s="17">
        <v>0</v>
      </c>
      <c r="AE87" s="17">
        <v>0</v>
      </c>
      <c r="AF87" s="17">
        <v>0</v>
      </c>
      <c r="AG87" s="17">
        <v>0</v>
      </c>
      <c r="AH87" s="17">
        <v>0</v>
      </c>
      <c r="AI87" s="17">
        <v>0</v>
      </c>
      <c r="AJ87" s="17">
        <v>0</v>
      </c>
      <c r="AK87" s="17">
        <v>0</v>
      </c>
      <c r="AL87" s="17">
        <v>0</v>
      </c>
      <c r="AM87" s="17">
        <v>0</v>
      </c>
      <c r="AN87" s="17">
        <v>0</v>
      </c>
      <c r="AO87" s="17">
        <v>0</v>
      </c>
      <c r="AP87" s="18">
        <f t="shared" si="1"/>
        <v>277384</v>
      </c>
    </row>
    <row r="88" spans="1:42" ht="15" customHeight="1" x14ac:dyDescent="0.2">
      <c r="A88" s="16" t="s">
        <v>522</v>
      </c>
      <c r="B88" s="16" t="s">
        <v>538</v>
      </c>
      <c r="C88" s="16" t="s">
        <v>229</v>
      </c>
      <c r="D88" s="16" t="s">
        <v>511</v>
      </c>
      <c r="E88" s="17">
        <v>853562</v>
      </c>
      <c r="F88" s="17">
        <v>789073</v>
      </c>
      <c r="G88" s="17">
        <v>694838</v>
      </c>
      <c r="H88" s="17">
        <v>602354</v>
      </c>
      <c r="I88" s="17">
        <v>527009</v>
      </c>
      <c r="J88" s="17">
        <v>457951</v>
      </c>
      <c r="K88" s="17">
        <v>395232</v>
      </c>
      <c r="L88" s="17">
        <v>344696</v>
      </c>
      <c r="M88" s="17">
        <v>305739</v>
      </c>
      <c r="N88" s="17">
        <v>270588</v>
      </c>
      <c r="O88" s="17">
        <v>240311</v>
      </c>
      <c r="P88" s="17">
        <v>213968</v>
      </c>
      <c r="Q88" s="17">
        <v>190798</v>
      </c>
      <c r="R88" s="17">
        <v>168386</v>
      </c>
      <c r="S88" s="17">
        <v>149146</v>
      </c>
      <c r="T88" s="17">
        <v>0</v>
      </c>
      <c r="U88" s="17">
        <v>0</v>
      </c>
      <c r="V88" s="17">
        <v>0</v>
      </c>
      <c r="W88" s="17">
        <v>0</v>
      </c>
      <c r="X88" s="17">
        <v>0</v>
      </c>
      <c r="Y88" s="17">
        <v>0</v>
      </c>
      <c r="Z88" s="17">
        <v>0</v>
      </c>
      <c r="AA88" s="17">
        <v>0</v>
      </c>
      <c r="AB88" s="17">
        <v>0</v>
      </c>
      <c r="AC88" s="17">
        <v>0</v>
      </c>
      <c r="AD88" s="17">
        <v>0</v>
      </c>
      <c r="AE88" s="17">
        <v>0</v>
      </c>
      <c r="AF88" s="17">
        <v>0</v>
      </c>
      <c r="AG88" s="17">
        <v>0</v>
      </c>
      <c r="AH88" s="17">
        <v>0</v>
      </c>
      <c r="AI88" s="17">
        <v>0</v>
      </c>
      <c r="AJ88" s="17">
        <v>0</v>
      </c>
      <c r="AK88" s="17">
        <v>0</v>
      </c>
      <c r="AL88" s="17">
        <v>0</v>
      </c>
      <c r="AM88" s="17">
        <v>0</v>
      </c>
      <c r="AN88" s="17">
        <v>0</v>
      </c>
      <c r="AO88" s="17">
        <v>0</v>
      </c>
      <c r="AP88" s="18">
        <f t="shared" si="1"/>
        <v>6203651</v>
      </c>
    </row>
    <row r="89" spans="1:42" ht="15" customHeight="1" x14ac:dyDescent="0.2">
      <c r="A89" s="16" t="s">
        <v>522</v>
      </c>
      <c r="B89" s="16" t="s">
        <v>538</v>
      </c>
      <c r="C89" s="16" t="s">
        <v>296</v>
      </c>
      <c r="D89" s="16" t="s">
        <v>511</v>
      </c>
      <c r="E89" s="17">
        <v>122647.819</v>
      </c>
      <c r="F89" s="17">
        <v>100492.092</v>
      </c>
      <c r="G89" s="17">
        <v>84168.691000000006</v>
      </c>
      <c r="H89" s="17">
        <v>71437.502999999997</v>
      </c>
      <c r="I89" s="17">
        <v>61337.677000000003</v>
      </c>
      <c r="J89" s="17">
        <v>52696.563000000002</v>
      </c>
      <c r="K89" s="17">
        <v>45589.23</v>
      </c>
      <c r="L89" s="17">
        <v>39344.781000000003</v>
      </c>
      <c r="M89" s="17">
        <v>34261.214</v>
      </c>
      <c r="N89" s="17">
        <v>29777.445</v>
      </c>
      <c r="O89" s="17">
        <v>25958.707999999999</v>
      </c>
      <c r="P89" s="17">
        <v>22631.781999999999</v>
      </c>
      <c r="Q89" s="17">
        <v>1783.011</v>
      </c>
      <c r="R89" s="17">
        <v>0</v>
      </c>
      <c r="S89" s="17">
        <v>0</v>
      </c>
      <c r="T89" s="17">
        <v>0</v>
      </c>
      <c r="U89" s="17">
        <v>0</v>
      </c>
      <c r="V89" s="17">
        <v>0</v>
      </c>
      <c r="W89" s="17">
        <v>0</v>
      </c>
      <c r="X89" s="17">
        <v>0</v>
      </c>
      <c r="Y89" s="17">
        <v>0</v>
      </c>
      <c r="Z89" s="17">
        <v>0</v>
      </c>
      <c r="AA89" s="17">
        <v>0</v>
      </c>
      <c r="AB89" s="17">
        <v>0</v>
      </c>
      <c r="AC89" s="17">
        <v>0</v>
      </c>
      <c r="AD89" s="17">
        <v>0</v>
      </c>
      <c r="AE89" s="17">
        <v>0</v>
      </c>
      <c r="AF89" s="17">
        <v>0</v>
      </c>
      <c r="AG89" s="17">
        <v>0</v>
      </c>
      <c r="AH89" s="17">
        <v>0</v>
      </c>
      <c r="AI89" s="17">
        <v>0</v>
      </c>
      <c r="AJ89" s="17">
        <v>0</v>
      </c>
      <c r="AK89" s="17">
        <v>0</v>
      </c>
      <c r="AL89" s="17">
        <v>0</v>
      </c>
      <c r="AM89" s="17">
        <v>0</v>
      </c>
      <c r="AN89" s="17">
        <v>0</v>
      </c>
      <c r="AO89" s="17">
        <v>0</v>
      </c>
      <c r="AP89" s="18">
        <f t="shared" si="1"/>
        <v>692126.51600000006</v>
      </c>
    </row>
    <row r="90" spans="1:42" ht="15" customHeight="1" x14ac:dyDescent="0.2">
      <c r="A90" s="16" t="s">
        <v>522</v>
      </c>
      <c r="B90" s="16" t="s">
        <v>538</v>
      </c>
      <c r="C90" s="16" t="s">
        <v>338</v>
      </c>
      <c r="D90" s="16" t="s">
        <v>511</v>
      </c>
      <c r="E90" s="17">
        <v>795296</v>
      </c>
      <c r="F90" s="17">
        <v>695902</v>
      </c>
      <c r="G90" s="17">
        <v>580939</v>
      </c>
      <c r="H90" s="17">
        <v>488659</v>
      </c>
      <c r="I90" s="17">
        <v>414916</v>
      </c>
      <c r="J90" s="17">
        <v>352529</v>
      </c>
      <c r="K90" s="17">
        <v>301903</v>
      </c>
      <c r="L90" s="17">
        <v>259525</v>
      </c>
      <c r="M90" s="17">
        <v>224681</v>
      </c>
      <c r="N90" s="17">
        <v>0</v>
      </c>
      <c r="O90" s="17">
        <v>0</v>
      </c>
      <c r="P90" s="17">
        <v>0</v>
      </c>
      <c r="Q90" s="17">
        <v>0</v>
      </c>
      <c r="R90" s="17">
        <v>0</v>
      </c>
      <c r="S90" s="17">
        <v>0</v>
      </c>
      <c r="T90" s="17">
        <v>0</v>
      </c>
      <c r="U90" s="17">
        <v>0</v>
      </c>
      <c r="V90" s="17">
        <v>0</v>
      </c>
      <c r="W90" s="17">
        <v>0</v>
      </c>
      <c r="X90" s="17">
        <v>0</v>
      </c>
      <c r="Y90" s="17">
        <v>0</v>
      </c>
      <c r="Z90" s="17">
        <v>0</v>
      </c>
      <c r="AA90" s="17">
        <v>0</v>
      </c>
      <c r="AB90" s="17">
        <v>0</v>
      </c>
      <c r="AC90" s="17">
        <v>0</v>
      </c>
      <c r="AD90" s="17">
        <v>0</v>
      </c>
      <c r="AE90" s="17">
        <v>0</v>
      </c>
      <c r="AF90" s="17">
        <v>0</v>
      </c>
      <c r="AG90" s="17">
        <v>0</v>
      </c>
      <c r="AH90" s="17">
        <v>0</v>
      </c>
      <c r="AI90" s="17">
        <v>0</v>
      </c>
      <c r="AJ90" s="17">
        <v>0</v>
      </c>
      <c r="AK90" s="17">
        <v>0</v>
      </c>
      <c r="AL90" s="17">
        <v>0</v>
      </c>
      <c r="AM90" s="17">
        <v>0</v>
      </c>
      <c r="AN90" s="17">
        <v>0</v>
      </c>
      <c r="AO90" s="17">
        <v>0</v>
      </c>
      <c r="AP90" s="18">
        <f t="shared" si="1"/>
        <v>4114350</v>
      </c>
    </row>
    <row r="91" spans="1:42" ht="15" customHeight="1" x14ac:dyDescent="0.2">
      <c r="A91" s="16" t="s">
        <v>522</v>
      </c>
      <c r="B91" s="16" t="s">
        <v>538</v>
      </c>
      <c r="C91" s="16" t="s">
        <v>396</v>
      </c>
      <c r="D91" s="16" t="s">
        <v>511</v>
      </c>
      <c r="E91" s="17">
        <v>118265</v>
      </c>
      <c r="F91" s="17">
        <v>107859</v>
      </c>
      <c r="G91" s="17">
        <v>98649</v>
      </c>
      <c r="H91" s="17">
        <v>90231</v>
      </c>
      <c r="I91" s="17">
        <v>82748</v>
      </c>
      <c r="J91" s="17">
        <v>75474</v>
      </c>
      <c r="K91" s="17">
        <v>69039</v>
      </c>
      <c r="L91" s="17">
        <v>63151</v>
      </c>
      <c r="M91" s="17">
        <v>57928</v>
      </c>
      <c r="N91" s="17">
        <v>0</v>
      </c>
      <c r="O91" s="17">
        <v>0</v>
      </c>
      <c r="P91" s="17">
        <v>0</v>
      </c>
      <c r="Q91" s="17">
        <v>0</v>
      </c>
      <c r="R91" s="17">
        <v>0</v>
      </c>
      <c r="S91" s="17">
        <v>0</v>
      </c>
      <c r="T91" s="17">
        <v>0</v>
      </c>
      <c r="U91" s="17">
        <v>0</v>
      </c>
      <c r="V91" s="17">
        <v>0</v>
      </c>
      <c r="W91" s="17">
        <v>0</v>
      </c>
      <c r="X91" s="17">
        <v>0</v>
      </c>
      <c r="Y91" s="17">
        <v>0</v>
      </c>
      <c r="Z91" s="17">
        <v>0</v>
      </c>
      <c r="AA91" s="17">
        <v>0</v>
      </c>
      <c r="AB91" s="17">
        <v>0</v>
      </c>
      <c r="AC91" s="17">
        <v>0</v>
      </c>
      <c r="AD91" s="17">
        <v>0</v>
      </c>
      <c r="AE91" s="17">
        <v>0</v>
      </c>
      <c r="AF91" s="17">
        <v>0</v>
      </c>
      <c r="AG91" s="17">
        <v>0</v>
      </c>
      <c r="AH91" s="17">
        <v>0</v>
      </c>
      <c r="AI91" s="17">
        <v>0</v>
      </c>
      <c r="AJ91" s="17">
        <v>0</v>
      </c>
      <c r="AK91" s="17">
        <v>0</v>
      </c>
      <c r="AL91" s="17">
        <v>0</v>
      </c>
      <c r="AM91" s="17">
        <v>0</v>
      </c>
      <c r="AN91" s="17">
        <v>0</v>
      </c>
      <c r="AO91" s="17">
        <v>0</v>
      </c>
      <c r="AP91" s="18">
        <f t="shared" si="1"/>
        <v>763344</v>
      </c>
    </row>
    <row r="92" spans="1:42" ht="15" customHeight="1" x14ac:dyDescent="0.2">
      <c r="A92" s="16" t="s">
        <v>522</v>
      </c>
      <c r="B92" s="16" t="s">
        <v>538</v>
      </c>
      <c r="C92" s="16" t="s">
        <v>397</v>
      </c>
      <c r="D92" s="16" t="s">
        <v>511</v>
      </c>
      <c r="E92" s="17">
        <v>45151</v>
      </c>
      <c r="F92" s="17">
        <v>40781</v>
      </c>
      <c r="G92" s="17">
        <v>36951</v>
      </c>
      <c r="H92" s="17">
        <v>33481</v>
      </c>
      <c r="I92" s="17">
        <v>30425</v>
      </c>
      <c r="J92" s="17">
        <v>27500</v>
      </c>
      <c r="K92" s="17">
        <v>24934</v>
      </c>
      <c r="L92" s="17">
        <v>22610</v>
      </c>
      <c r="M92" s="17">
        <v>20556</v>
      </c>
      <c r="N92" s="17">
        <v>0</v>
      </c>
      <c r="O92" s="17">
        <v>0</v>
      </c>
      <c r="P92" s="17">
        <v>0</v>
      </c>
      <c r="Q92" s="17">
        <v>0</v>
      </c>
      <c r="R92" s="17">
        <v>0</v>
      </c>
      <c r="S92" s="17">
        <v>0</v>
      </c>
      <c r="T92" s="17">
        <v>0</v>
      </c>
      <c r="U92" s="17">
        <v>0</v>
      </c>
      <c r="V92" s="17">
        <v>0</v>
      </c>
      <c r="W92" s="17">
        <v>0</v>
      </c>
      <c r="X92" s="17">
        <v>0</v>
      </c>
      <c r="Y92" s="17">
        <v>0</v>
      </c>
      <c r="Z92" s="17">
        <v>0</v>
      </c>
      <c r="AA92" s="17">
        <v>0</v>
      </c>
      <c r="AB92" s="17">
        <v>0</v>
      </c>
      <c r="AC92" s="17">
        <v>0</v>
      </c>
      <c r="AD92" s="17">
        <v>0</v>
      </c>
      <c r="AE92" s="17">
        <v>0</v>
      </c>
      <c r="AF92" s="17">
        <v>0</v>
      </c>
      <c r="AG92" s="17">
        <v>0</v>
      </c>
      <c r="AH92" s="17">
        <v>0</v>
      </c>
      <c r="AI92" s="17">
        <v>0</v>
      </c>
      <c r="AJ92" s="17">
        <v>0</v>
      </c>
      <c r="AK92" s="17">
        <v>0</v>
      </c>
      <c r="AL92" s="17">
        <v>0</v>
      </c>
      <c r="AM92" s="17">
        <v>0</v>
      </c>
      <c r="AN92" s="17">
        <v>0</v>
      </c>
      <c r="AO92" s="17">
        <v>0</v>
      </c>
      <c r="AP92" s="18">
        <f t="shared" si="1"/>
        <v>282389</v>
      </c>
    </row>
    <row r="93" spans="1:42" ht="15" customHeight="1" x14ac:dyDescent="0.2">
      <c r="A93" s="16" t="s">
        <v>522</v>
      </c>
      <c r="B93" s="16" t="s">
        <v>539</v>
      </c>
      <c r="C93" s="16" t="s">
        <v>135</v>
      </c>
      <c r="D93" s="16" t="s">
        <v>511</v>
      </c>
      <c r="E93" s="17">
        <v>133080</v>
      </c>
      <c r="F93" s="17">
        <v>127358</v>
      </c>
      <c r="G93" s="17">
        <v>104705</v>
      </c>
      <c r="H93" s="17">
        <v>75824</v>
      </c>
      <c r="I93" s="17">
        <v>55035</v>
      </c>
      <c r="J93" s="17">
        <v>39726</v>
      </c>
      <c r="K93" s="17">
        <v>28770</v>
      </c>
      <c r="L93" s="17">
        <v>0</v>
      </c>
      <c r="M93" s="17">
        <v>0</v>
      </c>
      <c r="N93" s="17">
        <v>0</v>
      </c>
      <c r="O93" s="17">
        <v>0</v>
      </c>
      <c r="P93" s="17">
        <v>0</v>
      </c>
      <c r="Q93" s="17">
        <v>0</v>
      </c>
      <c r="R93" s="17">
        <v>0</v>
      </c>
      <c r="S93" s="17">
        <v>0</v>
      </c>
      <c r="T93" s="17">
        <v>0</v>
      </c>
      <c r="U93" s="17">
        <v>0</v>
      </c>
      <c r="V93" s="17">
        <v>0</v>
      </c>
      <c r="W93" s="17">
        <v>0</v>
      </c>
      <c r="X93" s="17">
        <v>0</v>
      </c>
      <c r="Y93" s="17">
        <v>0</v>
      </c>
      <c r="Z93" s="17">
        <v>0</v>
      </c>
      <c r="AA93" s="17">
        <v>0</v>
      </c>
      <c r="AB93" s="17">
        <v>0</v>
      </c>
      <c r="AC93" s="17">
        <v>0</v>
      </c>
      <c r="AD93" s="17">
        <v>0</v>
      </c>
      <c r="AE93" s="17">
        <v>0</v>
      </c>
      <c r="AF93" s="17">
        <v>0</v>
      </c>
      <c r="AG93" s="17">
        <v>0</v>
      </c>
      <c r="AH93" s="17">
        <v>0</v>
      </c>
      <c r="AI93" s="17">
        <v>0</v>
      </c>
      <c r="AJ93" s="17">
        <v>0</v>
      </c>
      <c r="AK93" s="17">
        <v>0</v>
      </c>
      <c r="AL93" s="17">
        <v>0</v>
      </c>
      <c r="AM93" s="17">
        <v>0</v>
      </c>
      <c r="AN93" s="17">
        <v>0</v>
      </c>
      <c r="AO93" s="17">
        <v>0</v>
      </c>
      <c r="AP93" s="18">
        <f t="shared" si="1"/>
        <v>564498</v>
      </c>
    </row>
    <row r="94" spans="1:42" ht="15" customHeight="1" x14ac:dyDescent="0.2">
      <c r="A94" s="16" t="s">
        <v>522</v>
      </c>
      <c r="B94" s="16" t="s">
        <v>540</v>
      </c>
      <c r="C94" s="16" t="s">
        <v>146</v>
      </c>
      <c r="D94" s="16" t="s">
        <v>511</v>
      </c>
      <c r="E94" s="17">
        <v>617414</v>
      </c>
      <c r="F94" s="17">
        <v>571412</v>
      </c>
      <c r="G94" s="17">
        <v>479933</v>
      </c>
      <c r="H94" s="17">
        <v>404127</v>
      </c>
      <c r="I94" s="17">
        <v>340971</v>
      </c>
      <c r="J94" s="17">
        <v>284135</v>
      </c>
      <c r="K94" s="17">
        <v>238678</v>
      </c>
      <c r="L94" s="17">
        <v>200343</v>
      </c>
      <c r="M94" s="17">
        <v>169589</v>
      </c>
      <c r="N94" s="17">
        <v>141162</v>
      </c>
      <c r="O94" s="17">
        <v>0</v>
      </c>
      <c r="P94" s="17">
        <v>0</v>
      </c>
      <c r="Q94" s="17">
        <v>0</v>
      </c>
      <c r="R94" s="17">
        <v>0</v>
      </c>
      <c r="S94" s="17">
        <v>0</v>
      </c>
      <c r="T94" s="17">
        <v>0</v>
      </c>
      <c r="U94" s="17">
        <v>0</v>
      </c>
      <c r="V94" s="17">
        <v>0</v>
      </c>
      <c r="W94" s="17">
        <v>0</v>
      </c>
      <c r="X94" s="17">
        <v>0</v>
      </c>
      <c r="Y94" s="17">
        <v>0</v>
      </c>
      <c r="Z94" s="17">
        <v>0</v>
      </c>
      <c r="AA94" s="17">
        <v>0</v>
      </c>
      <c r="AB94" s="17">
        <v>0</v>
      </c>
      <c r="AC94" s="17">
        <v>0</v>
      </c>
      <c r="AD94" s="17">
        <v>0</v>
      </c>
      <c r="AE94" s="17">
        <v>0</v>
      </c>
      <c r="AF94" s="17">
        <v>0</v>
      </c>
      <c r="AG94" s="17">
        <v>0</v>
      </c>
      <c r="AH94" s="17">
        <v>0</v>
      </c>
      <c r="AI94" s="17">
        <v>0</v>
      </c>
      <c r="AJ94" s="17">
        <v>0</v>
      </c>
      <c r="AK94" s="17">
        <v>0</v>
      </c>
      <c r="AL94" s="17">
        <v>0</v>
      </c>
      <c r="AM94" s="17">
        <v>0</v>
      </c>
      <c r="AN94" s="17">
        <v>0</v>
      </c>
      <c r="AO94" s="17">
        <v>0</v>
      </c>
      <c r="AP94" s="18">
        <f t="shared" si="1"/>
        <v>3447764</v>
      </c>
    </row>
    <row r="95" spans="1:42" ht="15" customHeight="1" x14ac:dyDescent="0.2">
      <c r="A95" s="16" t="s">
        <v>522</v>
      </c>
      <c r="B95" s="16" t="s">
        <v>541</v>
      </c>
      <c r="C95" s="16" t="s">
        <v>357</v>
      </c>
      <c r="D95" s="16" t="s">
        <v>511</v>
      </c>
      <c r="E95" s="17">
        <v>754604</v>
      </c>
      <c r="F95" s="17">
        <v>750766</v>
      </c>
      <c r="G95" s="17">
        <v>762464</v>
      </c>
      <c r="H95" s="17">
        <v>745561</v>
      </c>
      <c r="I95" s="17">
        <v>647691</v>
      </c>
      <c r="J95" s="17">
        <v>558267</v>
      </c>
      <c r="K95" s="17">
        <v>480986</v>
      </c>
      <c r="L95" s="17">
        <v>396693</v>
      </c>
      <c r="M95" s="17">
        <v>326133</v>
      </c>
      <c r="N95" s="17">
        <v>250510</v>
      </c>
      <c r="O95" s="17">
        <v>0</v>
      </c>
      <c r="P95" s="17">
        <v>0</v>
      </c>
      <c r="Q95" s="17">
        <v>0</v>
      </c>
      <c r="R95" s="17">
        <v>0</v>
      </c>
      <c r="S95" s="17">
        <v>0</v>
      </c>
      <c r="T95" s="17">
        <v>0</v>
      </c>
      <c r="U95" s="17">
        <v>0</v>
      </c>
      <c r="V95" s="17">
        <v>0</v>
      </c>
      <c r="W95" s="17">
        <v>0</v>
      </c>
      <c r="X95" s="17">
        <v>0</v>
      </c>
      <c r="Y95" s="17">
        <v>0</v>
      </c>
      <c r="Z95" s="17">
        <v>0</v>
      </c>
      <c r="AA95" s="17">
        <v>0</v>
      </c>
      <c r="AB95" s="17">
        <v>0</v>
      </c>
      <c r="AC95" s="17">
        <v>0</v>
      </c>
      <c r="AD95" s="17">
        <v>0</v>
      </c>
      <c r="AE95" s="17">
        <v>0</v>
      </c>
      <c r="AF95" s="17">
        <v>0</v>
      </c>
      <c r="AG95" s="17">
        <v>0</v>
      </c>
      <c r="AH95" s="17">
        <v>0</v>
      </c>
      <c r="AI95" s="17">
        <v>0</v>
      </c>
      <c r="AJ95" s="17">
        <v>0</v>
      </c>
      <c r="AK95" s="17">
        <v>0</v>
      </c>
      <c r="AL95" s="17">
        <v>0</v>
      </c>
      <c r="AM95" s="17">
        <v>0</v>
      </c>
      <c r="AN95" s="17">
        <v>0</v>
      </c>
      <c r="AO95" s="17">
        <v>0</v>
      </c>
      <c r="AP95" s="18">
        <f t="shared" si="1"/>
        <v>5673675</v>
      </c>
    </row>
    <row r="96" spans="1:42" ht="24" customHeight="1" x14ac:dyDescent="0.2">
      <c r="A96" s="16" t="s">
        <v>542</v>
      </c>
      <c r="B96" s="16" t="s">
        <v>543</v>
      </c>
      <c r="C96" s="16" t="s">
        <v>153</v>
      </c>
      <c r="D96" s="16" t="s">
        <v>511</v>
      </c>
      <c r="E96" s="17">
        <v>1385311</v>
      </c>
      <c r="F96" s="17">
        <v>1303310</v>
      </c>
      <c r="G96" s="17">
        <v>1269987</v>
      </c>
      <c r="H96" s="17">
        <v>1202024</v>
      </c>
      <c r="I96" s="17">
        <v>1029151</v>
      </c>
      <c r="J96" s="17">
        <v>816417</v>
      </c>
      <c r="K96" s="17">
        <v>627140</v>
      </c>
      <c r="L96" s="17">
        <v>517984</v>
      </c>
      <c r="M96" s="17">
        <v>413731</v>
      </c>
      <c r="N96" s="17">
        <v>381900</v>
      </c>
      <c r="O96" s="17">
        <v>294372</v>
      </c>
      <c r="P96" s="17">
        <v>0</v>
      </c>
      <c r="Q96" s="17">
        <v>0</v>
      </c>
      <c r="R96" s="17">
        <v>0</v>
      </c>
      <c r="S96" s="17">
        <v>0</v>
      </c>
      <c r="T96" s="17">
        <v>0</v>
      </c>
      <c r="U96" s="17">
        <v>0</v>
      </c>
      <c r="V96" s="17">
        <v>0</v>
      </c>
      <c r="W96" s="17">
        <v>0</v>
      </c>
      <c r="X96" s="17">
        <v>0</v>
      </c>
      <c r="Y96" s="17">
        <v>0</v>
      </c>
      <c r="Z96" s="17">
        <v>0</v>
      </c>
      <c r="AA96" s="17">
        <v>0</v>
      </c>
      <c r="AB96" s="17">
        <v>0</v>
      </c>
      <c r="AC96" s="17">
        <v>0</v>
      </c>
      <c r="AD96" s="17">
        <v>0</v>
      </c>
      <c r="AE96" s="17">
        <v>0</v>
      </c>
      <c r="AF96" s="17">
        <v>0</v>
      </c>
      <c r="AG96" s="17">
        <v>0</v>
      </c>
      <c r="AH96" s="17">
        <v>0</v>
      </c>
      <c r="AI96" s="17">
        <v>0</v>
      </c>
      <c r="AJ96" s="17">
        <v>0</v>
      </c>
      <c r="AK96" s="17">
        <v>0</v>
      </c>
      <c r="AL96" s="17">
        <v>0</v>
      </c>
      <c r="AM96" s="17">
        <v>0</v>
      </c>
      <c r="AN96" s="17">
        <v>0</v>
      </c>
      <c r="AO96" s="17">
        <v>0</v>
      </c>
      <c r="AP96" s="18">
        <f t="shared" si="1"/>
        <v>9241327</v>
      </c>
    </row>
    <row r="97" spans="1:42" ht="24" customHeight="1" x14ac:dyDescent="0.2">
      <c r="A97" s="16" t="s">
        <v>542</v>
      </c>
      <c r="B97" s="16" t="s">
        <v>543</v>
      </c>
      <c r="C97" s="16" t="s">
        <v>361</v>
      </c>
      <c r="D97" s="16" t="s">
        <v>511</v>
      </c>
      <c r="E97" s="17">
        <v>8812269</v>
      </c>
      <c r="F97" s="17">
        <v>7993453</v>
      </c>
      <c r="G97" s="17">
        <v>7860089</v>
      </c>
      <c r="H97" s="17">
        <v>7532344</v>
      </c>
      <c r="I97" s="17">
        <v>5492764</v>
      </c>
      <c r="J97" s="17">
        <v>3699205</v>
      </c>
      <c r="K97" s="17">
        <v>3011977</v>
      </c>
      <c r="L97" s="17">
        <v>2211040</v>
      </c>
      <c r="M97" s="17">
        <v>2347841</v>
      </c>
      <c r="N97" s="17">
        <v>0</v>
      </c>
      <c r="O97" s="17">
        <v>0</v>
      </c>
      <c r="P97" s="17">
        <v>0</v>
      </c>
      <c r="Q97" s="17">
        <v>0</v>
      </c>
      <c r="R97" s="17">
        <v>0</v>
      </c>
      <c r="S97" s="17">
        <v>0</v>
      </c>
      <c r="T97" s="17">
        <v>0</v>
      </c>
      <c r="U97" s="17">
        <v>0</v>
      </c>
      <c r="V97" s="17">
        <v>0</v>
      </c>
      <c r="W97" s="17">
        <v>0</v>
      </c>
      <c r="X97" s="17">
        <v>0</v>
      </c>
      <c r="Y97" s="17">
        <v>0</v>
      </c>
      <c r="Z97" s="17">
        <v>0</v>
      </c>
      <c r="AA97" s="17">
        <v>0</v>
      </c>
      <c r="AB97" s="17">
        <v>0</v>
      </c>
      <c r="AC97" s="17">
        <v>0</v>
      </c>
      <c r="AD97" s="17">
        <v>0</v>
      </c>
      <c r="AE97" s="17">
        <v>0</v>
      </c>
      <c r="AF97" s="17">
        <v>0</v>
      </c>
      <c r="AG97" s="17">
        <v>0</v>
      </c>
      <c r="AH97" s="17">
        <v>0</v>
      </c>
      <c r="AI97" s="17">
        <v>0</v>
      </c>
      <c r="AJ97" s="17">
        <v>0</v>
      </c>
      <c r="AK97" s="17">
        <v>0</v>
      </c>
      <c r="AL97" s="17">
        <v>0</v>
      </c>
      <c r="AM97" s="17">
        <v>0</v>
      </c>
      <c r="AN97" s="17">
        <v>0</v>
      </c>
      <c r="AO97" s="17">
        <v>0</v>
      </c>
      <c r="AP97" s="18">
        <f t="shared" si="1"/>
        <v>48960982</v>
      </c>
    </row>
    <row r="98" spans="1:42" ht="15" customHeight="1" x14ac:dyDescent="0.2">
      <c r="A98" s="16" t="s">
        <v>522</v>
      </c>
      <c r="B98" s="16" t="s">
        <v>544</v>
      </c>
      <c r="C98" s="16" t="s">
        <v>222</v>
      </c>
      <c r="D98" s="16" t="s">
        <v>511</v>
      </c>
      <c r="E98" s="17">
        <v>507868.29960000003</v>
      </c>
      <c r="F98" s="17">
        <v>632811.75069999998</v>
      </c>
      <c r="G98" s="17">
        <v>670840.10750000004</v>
      </c>
      <c r="H98" s="17">
        <v>552869.44940000004</v>
      </c>
      <c r="I98" s="17">
        <v>460992.52419999999</v>
      </c>
      <c r="J98" s="17">
        <v>373207.61570000002</v>
      </c>
      <c r="K98" s="17">
        <v>313894.77850000001</v>
      </c>
      <c r="L98" s="17">
        <v>260659.64439999999</v>
      </c>
      <c r="M98" s="17">
        <v>221714.62659999999</v>
      </c>
      <c r="N98" s="17">
        <v>187816.33170000001</v>
      </c>
      <c r="O98" s="17">
        <v>159061.6887</v>
      </c>
      <c r="P98" s="17">
        <v>129125.7993</v>
      </c>
      <c r="Q98" s="17">
        <v>94342.012799999997</v>
      </c>
      <c r="R98" s="17">
        <v>72961.764500000005</v>
      </c>
      <c r="S98" s="17">
        <v>53148.666499999999</v>
      </c>
      <c r="T98" s="17">
        <v>45489.528700000003</v>
      </c>
      <c r="U98" s="17">
        <v>39089.775300000001</v>
      </c>
      <c r="V98" s="17">
        <v>0</v>
      </c>
      <c r="W98" s="17">
        <v>0</v>
      </c>
      <c r="X98" s="17">
        <v>0</v>
      </c>
      <c r="Y98" s="17">
        <v>0</v>
      </c>
      <c r="Z98" s="17">
        <v>0</v>
      </c>
      <c r="AA98" s="17">
        <v>0</v>
      </c>
      <c r="AB98" s="17">
        <v>0</v>
      </c>
      <c r="AC98" s="17">
        <v>0</v>
      </c>
      <c r="AD98" s="17">
        <v>0</v>
      </c>
      <c r="AE98" s="17">
        <v>0</v>
      </c>
      <c r="AF98" s="17">
        <v>0</v>
      </c>
      <c r="AG98" s="17">
        <v>0</v>
      </c>
      <c r="AH98" s="17">
        <v>0</v>
      </c>
      <c r="AI98" s="17">
        <v>0</v>
      </c>
      <c r="AJ98" s="17">
        <v>0</v>
      </c>
      <c r="AK98" s="17">
        <v>0</v>
      </c>
      <c r="AL98" s="17">
        <v>0</v>
      </c>
      <c r="AM98" s="17">
        <v>0</v>
      </c>
      <c r="AN98" s="17">
        <v>0</v>
      </c>
      <c r="AO98" s="17">
        <v>0</v>
      </c>
      <c r="AP98" s="18">
        <f t="shared" si="1"/>
        <v>4775894.3640999999</v>
      </c>
    </row>
    <row r="99" spans="1:42" ht="15" customHeight="1" x14ac:dyDescent="0.2">
      <c r="A99" s="16" t="s">
        <v>522</v>
      </c>
      <c r="B99" s="16" t="s">
        <v>544</v>
      </c>
      <c r="C99" s="16" t="s">
        <v>341</v>
      </c>
      <c r="D99" s="16" t="s">
        <v>511</v>
      </c>
      <c r="E99" s="17">
        <v>88275.225300000006</v>
      </c>
      <c r="F99" s="17">
        <v>84860.1734</v>
      </c>
      <c r="G99" s="17">
        <v>71244.450700000001</v>
      </c>
      <c r="H99" s="17">
        <v>59813.356399999997</v>
      </c>
      <c r="I99" s="17">
        <v>50343.512699999999</v>
      </c>
      <c r="J99" s="17">
        <v>42140.243900000001</v>
      </c>
      <c r="K99" s="17">
        <v>35378.889300000003</v>
      </c>
      <c r="L99" s="17">
        <v>27177.343099999998</v>
      </c>
      <c r="M99" s="17">
        <v>0</v>
      </c>
      <c r="N99" s="17">
        <v>0</v>
      </c>
      <c r="O99" s="17">
        <v>0</v>
      </c>
      <c r="P99" s="17">
        <v>0</v>
      </c>
      <c r="Q99" s="17">
        <v>0</v>
      </c>
      <c r="R99" s="17">
        <v>0</v>
      </c>
      <c r="S99" s="17">
        <v>0</v>
      </c>
      <c r="T99" s="17">
        <v>0</v>
      </c>
      <c r="U99" s="17">
        <v>0</v>
      </c>
      <c r="V99" s="17">
        <v>0</v>
      </c>
      <c r="W99" s="17">
        <v>0</v>
      </c>
      <c r="X99" s="17">
        <v>0</v>
      </c>
      <c r="Y99" s="17">
        <v>0</v>
      </c>
      <c r="Z99" s="17">
        <v>0</v>
      </c>
      <c r="AA99" s="17">
        <v>0</v>
      </c>
      <c r="AB99" s="17">
        <v>0</v>
      </c>
      <c r="AC99" s="17">
        <v>0</v>
      </c>
      <c r="AD99" s="17">
        <v>0</v>
      </c>
      <c r="AE99" s="17">
        <v>0</v>
      </c>
      <c r="AF99" s="17">
        <v>0</v>
      </c>
      <c r="AG99" s="17">
        <v>0</v>
      </c>
      <c r="AH99" s="17">
        <v>0</v>
      </c>
      <c r="AI99" s="17">
        <v>0</v>
      </c>
      <c r="AJ99" s="17">
        <v>0</v>
      </c>
      <c r="AK99" s="17">
        <v>0</v>
      </c>
      <c r="AL99" s="17">
        <v>0</v>
      </c>
      <c r="AM99" s="17">
        <v>0</v>
      </c>
      <c r="AN99" s="17">
        <v>0</v>
      </c>
      <c r="AO99" s="17">
        <v>0</v>
      </c>
      <c r="AP99" s="18">
        <f t="shared" si="1"/>
        <v>459233.1948</v>
      </c>
    </row>
    <row r="100" spans="1:42" ht="15" customHeight="1" x14ac:dyDescent="0.2">
      <c r="A100" s="16" t="s">
        <v>522</v>
      </c>
      <c r="B100" s="16" t="s">
        <v>544</v>
      </c>
      <c r="C100" s="16" t="s">
        <v>368</v>
      </c>
      <c r="D100" s="16" t="s">
        <v>511</v>
      </c>
      <c r="E100" s="17">
        <v>49116.634299999998</v>
      </c>
      <c r="F100" s="17">
        <v>22352.698199999999</v>
      </c>
      <c r="G100" s="17">
        <v>9890.4974999999995</v>
      </c>
      <c r="H100" s="17">
        <v>0</v>
      </c>
      <c r="I100" s="17">
        <v>0</v>
      </c>
      <c r="J100" s="17">
        <v>0</v>
      </c>
      <c r="K100" s="17">
        <v>0</v>
      </c>
      <c r="L100" s="17">
        <v>0</v>
      </c>
      <c r="M100" s="17">
        <v>0</v>
      </c>
      <c r="N100" s="17">
        <v>0</v>
      </c>
      <c r="O100" s="17">
        <v>0</v>
      </c>
      <c r="P100" s="17">
        <v>0</v>
      </c>
      <c r="Q100" s="17">
        <v>0</v>
      </c>
      <c r="R100" s="17">
        <v>0</v>
      </c>
      <c r="S100" s="17">
        <v>0</v>
      </c>
      <c r="T100" s="17">
        <v>0</v>
      </c>
      <c r="U100" s="17">
        <v>0</v>
      </c>
      <c r="V100" s="17">
        <v>0</v>
      </c>
      <c r="W100" s="17">
        <v>0</v>
      </c>
      <c r="X100" s="17">
        <v>0</v>
      </c>
      <c r="Y100" s="17">
        <v>0</v>
      </c>
      <c r="Z100" s="17">
        <v>0</v>
      </c>
      <c r="AA100" s="17">
        <v>0</v>
      </c>
      <c r="AB100" s="17">
        <v>0</v>
      </c>
      <c r="AC100" s="17">
        <v>0</v>
      </c>
      <c r="AD100" s="17">
        <v>0</v>
      </c>
      <c r="AE100" s="17">
        <v>0</v>
      </c>
      <c r="AF100" s="17">
        <v>0</v>
      </c>
      <c r="AG100" s="17">
        <v>0</v>
      </c>
      <c r="AH100" s="17">
        <v>0</v>
      </c>
      <c r="AI100" s="17">
        <v>0</v>
      </c>
      <c r="AJ100" s="17">
        <v>0</v>
      </c>
      <c r="AK100" s="17">
        <v>0</v>
      </c>
      <c r="AL100" s="17">
        <v>0</v>
      </c>
      <c r="AM100" s="17">
        <v>0</v>
      </c>
      <c r="AN100" s="17">
        <v>0</v>
      </c>
      <c r="AO100" s="17">
        <v>0</v>
      </c>
      <c r="AP100" s="18">
        <f t="shared" si="1"/>
        <v>81359.829999999987</v>
      </c>
    </row>
    <row r="101" spans="1:42" ht="15" customHeight="1" x14ac:dyDescent="0.2">
      <c r="A101" s="16" t="s">
        <v>522</v>
      </c>
      <c r="B101" s="16" t="s">
        <v>380</v>
      </c>
      <c r="C101" s="16" t="s">
        <v>380</v>
      </c>
      <c r="D101" s="16" t="s">
        <v>511</v>
      </c>
      <c r="E101" s="17">
        <v>36227359.688500002</v>
      </c>
      <c r="F101" s="17">
        <v>32942104.492600001</v>
      </c>
      <c r="G101" s="17">
        <v>30050204.565099999</v>
      </c>
      <c r="H101" s="17">
        <v>28967942.464600001</v>
      </c>
      <c r="I101" s="17">
        <v>27075562.197500002</v>
      </c>
      <c r="J101" s="17">
        <v>25222131.775800001</v>
      </c>
      <c r="K101" s="17">
        <v>23055709.664999999</v>
      </c>
      <c r="L101" s="17">
        <v>19957809.932500001</v>
      </c>
      <c r="M101" s="17">
        <v>13883668.265699999</v>
      </c>
      <c r="N101" s="17">
        <v>12252376.968699999</v>
      </c>
      <c r="O101" s="17">
        <v>14346136.520500001</v>
      </c>
      <c r="P101" s="17">
        <v>14203722.2048</v>
      </c>
      <c r="Q101" s="17">
        <v>12222015.595699999</v>
      </c>
      <c r="R101" s="17">
        <v>11938009.470699999</v>
      </c>
      <c r="S101" s="17">
        <v>11484240.804500001</v>
      </c>
      <c r="T101" s="17">
        <v>8930951.4415000007</v>
      </c>
      <c r="U101" s="17">
        <v>4773078.7156999996</v>
      </c>
      <c r="V101" s="17">
        <v>0</v>
      </c>
      <c r="W101" s="17">
        <v>0</v>
      </c>
      <c r="X101" s="17">
        <v>0</v>
      </c>
      <c r="Y101" s="17">
        <v>0</v>
      </c>
      <c r="Z101" s="17">
        <v>0</v>
      </c>
      <c r="AA101" s="17">
        <v>0</v>
      </c>
      <c r="AB101" s="17">
        <v>0</v>
      </c>
      <c r="AC101" s="17">
        <v>0</v>
      </c>
      <c r="AD101" s="17">
        <v>0</v>
      </c>
      <c r="AE101" s="17">
        <v>0</v>
      </c>
      <c r="AF101" s="17">
        <v>0</v>
      </c>
      <c r="AG101" s="17">
        <v>0</v>
      </c>
      <c r="AH101" s="17">
        <v>0</v>
      </c>
      <c r="AI101" s="17">
        <v>0</v>
      </c>
      <c r="AJ101" s="17">
        <v>0</v>
      </c>
      <c r="AK101" s="17">
        <v>0</v>
      </c>
      <c r="AL101" s="17">
        <v>0</v>
      </c>
      <c r="AM101" s="17">
        <v>0</v>
      </c>
      <c r="AN101" s="17">
        <v>0</v>
      </c>
      <c r="AO101" s="17">
        <v>0</v>
      </c>
      <c r="AP101" s="18">
        <f t="shared" si="1"/>
        <v>327533024.7694</v>
      </c>
    </row>
    <row r="102" spans="1:42" ht="15" customHeight="1" x14ac:dyDescent="0.2">
      <c r="A102" s="16" t="s">
        <v>522</v>
      </c>
      <c r="B102" s="16" t="s">
        <v>545</v>
      </c>
      <c r="C102" s="16" t="s">
        <v>336</v>
      </c>
      <c r="D102" s="16" t="s">
        <v>511</v>
      </c>
      <c r="E102" s="17">
        <v>185357</v>
      </c>
      <c r="F102" s="17">
        <v>155648</v>
      </c>
      <c r="G102" s="17">
        <v>131583</v>
      </c>
      <c r="H102" s="17">
        <v>111356</v>
      </c>
      <c r="I102" s="17">
        <v>94967</v>
      </c>
      <c r="J102" s="17">
        <v>80814</v>
      </c>
      <c r="K102" s="17">
        <v>68829</v>
      </c>
      <c r="L102" s="17">
        <v>59019</v>
      </c>
      <c r="M102" s="17">
        <v>0</v>
      </c>
      <c r="N102" s="17">
        <v>0</v>
      </c>
      <c r="O102" s="17">
        <v>0</v>
      </c>
      <c r="P102" s="17">
        <v>0</v>
      </c>
      <c r="Q102" s="17">
        <v>0</v>
      </c>
      <c r="R102" s="17">
        <v>0</v>
      </c>
      <c r="S102" s="17">
        <v>0</v>
      </c>
      <c r="T102" s="17">
        <v>0</v>
      </c>
      <c r="U102" s="17">
        <v>0</v>
      </c>
      <c r="V102" s="17">
        <v>0</v>
      </c>
      <c r="W102" s="17">
        <v>0</v>
      </c>
      <c r="X102" s="17">
        <v>0</v>
      </c>
      <c r="Y102" s="17">
        <v>0</v>
      </c>
      <c r="Z102" s="17">
        <v>0</v>
      </c>
      <c r="AA102" s="17">
        <v>0</v>
      </c>
      <c r="AB102" s="17">
        <v>0</v>
      </c>
      <c r="AC102" s="17">
        <v>0</v>
      </c>
      <c r="AD102" s="17">
        <v>0</v>
      </c>
      <c r="AE102" s="17">
        <v>0</v>
      </c>
      <c r="AF102" s="17">
        <v>0</v>
      </c>
      <c r="AG102" s="17">
        <v>0</v>
      </c>
      <c r="AH102" s="17">
        <v>0</v>
      </c>
      <c r="AI102" s="17">
        <v>0</v>
      </c>
      <c r="AJ102" s="17">
        <v>0</v>
      </c>
      <c r="AK102" s="17">
        <v>0</v>
      </c>
      <c r="AL102" s="17">
        <v>0</v>
      </c>
      <c r="AM102" s="17">
        <v>0</v>
      </c>
      <c r="AN102" s="17">
        <v>0</v>
      </c>
      <c r="AO102" s="17">
        <v>0</v>
      </c>
      <c r="AP102" s="18">
        <f t="shared" si="1"/>
        <v>887573</v>
      </c>
    </row>
    <row r="103" spans="1:42" ht="15" customHeight="1" x14ac:dyDescent="0.2">
      <c r="A103" s="16" t="s">
        <v>522</v>
      </c>
      <c r="B103" s="16" t="s">
        <v>546</v>
      </c>
      <c r="C103" s="16" t="s">
        <v>221</v>
      </c>
      <c r="D103" s="16" t="s">
        <v>511</v>
      </c>
      <c r="E103" s="17">
        <v>974322.34580000001</v>
      </c>
      <c r="F103" s="17">
        <v>1039033.6614</v>
      </c>
      <c r="G103" s="17">
        <v>855954.43819999998</v>
      </c>
      <c r="H103" s="17">
        <v>728782.73259999999</v>
      </c>
      <c r="I103" s="17">
        <v>647572.36419999995</v>
      </c>
      <c r="J103" s="17">
        <v>577812.80009999999</v>
      </c>
      <c r="K103" s="17">
        <v>520487.05800000002</v>
      </c>
      <c r="L103" s="17">
        <v>465818.43400000001</v>
      </c>
      <c r="M103" s="17">
        <v>431901.0294</v>
      </c>
      <c r="N103" s="17">
        <v>398098.00410000002</v>
      </c>
      <c r="O103" s="17">
        <v>362110.79800000001</v>
      </c>
      <c r="P103" s="17">
        <v>335659.74280000001</v>
      </c>
      <c r="Q103" s="17">
        <v>321053.59639999998</v>
      </c>
      <c r="R103" s="17">
        <v>331228.9178</v>
      </c>
      <c r="S103" s="17">
        <v>444046.08039999998</v>
      </c>
      <c r="T103" s="17">
        <v>0</v>
      </c>
      <c r="U103" s="17">
        <v>0</v>
      </c>
      <c r="V103" s="17">
        <v>0</v>
      </c>
      <c r="W103" s="17">
        <v>0</v>
      </c>
      <c r="X103" s="17">
        <v>0</v>
      </c>
      <c r="Y103" s="17">
        <v>0</v>
      </c>
      <c r="Z103" s="17">
        <v>0</v>
      </c>
      <c r="AA103" s="17">
        <v>0</v>
      </c>
      <c r="AB103" s="17">
        <v>0</v>
      </c>
      <c r="AC103" s="17">
        <v>0</v>
      </c>
      <c r="AD103" s="17">
        <v>0</v>
      </c>
      <c r="AE103" s="17">
        <v>0</v>
      </c>
      <c r="AF103" s="17">
        <v>0</v>
      </c>
      <c r="AG103" s="17">
        <v>0</v>
      </c>
      <c r="AH103" s="17">
        <v>0</v>
      </c>
      <c r="AI103" s="17">
        <v>0</v>
      </c>
      <c r="AJ103" s="17">
        <v>0</v>
      </c>
      <c r="AK103" s="17">
        <v>0</v>
      </c>
      <c r="AL103" s="17">
        <v>0</v>
      </c>
      <c r="AM103" s="17">
        <v>0</v>
      </c>
      <c r="AN103" s="17">
        <v>0</v>
      </c>
      <c r="AO103" s="17">
        <v>0</v>
      </c>
      <c r="AP103" s="18">
        <f t="shared" si="1"/>
        <v>8433882.0032000002</v>
      </c>
    </row>
    <row r="104" spans="1:42" ht="15" customHeight="1" x14ac:dyDescent="0.2">
      <c r="A104" s="16" t="s">
        <v>522</v>
      </c>
      <c r="B104" s="16" t="s">
        <v>546</v>
      </c>
      <c r="C104" s="16" t="s">
        <v>223</v>
      </c>
      <c r="D104" s="16" t="s">
        <v>511</v>
      </c>
      <c r="E104" s="17">
        <v>134118.28709999999</v>
      </c>
      <c r="F104" s="17">
        <v>142442.94020000001</v>
      </c>
      <c r="G104" s="17">
        <v>112031.79949999999</v>
      </c>
      <c r="H104" s="17">
        <v>76228.584700000007</v>
      </c>
      <c r="I104" s="17">
        <v>52150.056100000002</v>
      </c>
      <c r="J104" s="17">
        <v>35529.522400000002</v>
      </c>
      <c r="K104" s="17">
        <v>24330.0425</v>
      </c>
      <c r="L104" s="17">
        <v>16691.052100000001</v>
      </c>
      <c r="M104" s="17">
        <v>11505.544099999999</v>
      </c>
      <c r="N104" s="17">
        <v>7893.5141000000003</v>
      </c>
      <c r="O104" s="17">
        <v>5439.9624999999996</v>
      </c>
      <c r="P104" s="17">
        <v>3753.7784000000001</v>
      </c>
      <c r="Q104" s="17">
        <v>2601.33</v>
      </c>
      <c r="R104" s="17">
        <v>1793.3095000000001</v>
      </c>
      <c r="S104" s="17">
        <v>1241.3042</v>
      </c>
      <c r="T104" s="17">
        <v>859.93629999999996</v>
      </c>
      <c r="U104" s="17">
        <v>598.05229999999995</v>
      </c>
      <c r="V104" s="17">
        <v>0</v>
      </c>
      <c r="W104" s="17">
        <v>0</v>
      </c>
      <c r="X104" s="17">
        <v>0</v>
      </c>
      <c r="Y104" s="17">
        <v>0</v>
      </c>
      <c r="Z104" s="17">
        <v>0</v>
      </c>
      <c r="AA104" s="17">
        <v>0</v>
      </c>
      <c r="AB104" s="17">
        <v>0</v>
      </c>
      <c r="AC104" s="17">
        <v>0</v>
      </c>
      <c r="AD104" s="17">
        <v>0</v>
      </c>
      <c r="AE104" s="17">
        <v>0</v>
      </c>
      <c r="AF104" s="17">
        <v>0</v>
      </c>
      <c r="AG104" s="17">
        <v>0</v>
      </c>
      <c r="AH104" s="17">
        <v>0</v>
      </c>
      <c r="AI104" s="17">
        <v>0</v>
      </c>
      <c r="AJ104" s="17">
        <v>0</v>
      </c>
      <c r="AK104" s="17">
        <v>0</v>
      </c>
      <c r="AL104" s="17">
        <v>0</v>
      </c>
      <c r="AM104" s="17">
        <v>0</v>
      </c>
      <c r="AN104" s="17">
        <v>0</v>
      </c>
      <c r="AO104" s="17">
        <v>0</v>
      </c>
      <c r="AP104" s="18">
        <f t="shared" si="1"/>
        <v>629209.01599999983</v>
      </c>
    </row>
    <row r="105" spans="1:42" ht="15" customHeight="1" x14ac:dyDescent="0.2">
      <c r="A105" s="16" t="s">
        <v>522</v>
      </c>
      <c r="B105" s="16" t="s">
        <v>547</v>
      </c>
      <c r="C105" s="16" t="s">
        <v>225</v>
      </c>
      <c r="D105" s="16" t="s">
        <v>511</v>
      </c>
      <c r="E105" s="17">
        <v>184172.8627</v>
      </c>
      <c r="F105" s="17">
        <v>165725.1544</v>
      </c>
      <c r="G105" s="17">
        <v>135840.7279</v>
      </c>
      <c r="H105" s="17">
        <v>113652.9332</v>
      </c>
      <c r="I105" s="17">
        <v>97319.120299999995</v>
      </c>
      <c r="J105" s="17">
        <v>83844.554999999993</v>
      </c>
      <c r="K105" s="17">
        <v>72892.844700000001</v>
      </c>
      <c r="L105" s="17">
        <v>63663.561999999998</v>
      </c>
      <c r="M105" s="17">
        <v>55951.248</v>
      </c>
      <c r="N105" s="17">
        <v>49018.279000000002</v>
      </c>
      <c r="O105" s="17">
        <v>43149.58</v>
      </c>
      <c r="P105" s="17">
        <v>38036.9545</v>
      </c>
      <c r="Q105" s="17">
        <v>33660.9084</v>
      </c>
      <c r="R105" s="17">
        <v>0</v>
      </c>
      <c r="S105" s="17">
        <v>0</v>
      </c>
      <c r="T105" s="17">
        <v>0</v>
      </c>
      <c r="U105" s="17">
        <v>0</v>
      </c>
      <c r="V105" s="17">
        <v>0</v>
      </c>
      <c r="W105" s="17">
        <v>0</v>
      </c>
      <c r="X105" s="17">
        <v>0</v>
      </c>
      <c r="Y105" s="17">
        <v>0</v>
      </c>
      <c r="Z105" s="17">
        <v>0</v>
      </c>
      <c r="AA105" s="17">
        <v>0</v>
      </c>
      <c r="AB105" s="17">
        <v>0</v>
      </c>
      <c r="AC105" s="17">
        <v>0</v>
      </c>
      <c r="AD105" s="17">
        <v>0</v>
      </c>
      <c r="AE105" s="17">
        <v>0</v>
      </c>
      <c r="AF105" s="17">
        <v>0</v>
      </c>
      <c r="AG105" s="17">
        <v>0</v>
      </c>
      <c r="AH105" s="17">
        <v>0</v>
      </c>
      <c r="AI105" s="17">
        <v>0</v>
      </c>
      <c r="AJ105" s="17">
        <v>0</v>
      </c>
      <c r="AK105" s="17">
        <v>0</v>
      </c>
      <c r="AL105" s="17">
        <v>0</v>
      </c>
      <c r="AM105" s="17">
        <v>0</v>
      </c>
      <c r="AN105" s="17">
        <v>0</v>
      </c>
      <c r="AO105" s="17">
        <v>0</v>
      </c>
      <c r="AP105" s="18">
        <f t="shared" si="1"/>
        <v>1136928.7301</v>
      </c>
    </row>
    <row r="106" spans="1:42" ht="15" customHeight="1" x14ac:dyDescent="0.2">
      <c r="A106" s="16" t="s">
        <v>522</v>
      </c>
      <c r="B106" s="16" t="s">
        <v>548</v>
      </c>
      <c r="C106" s="16" t="s">
        <v>245</v>
      </c>
      <c r="D106" s="16" t="s">
        <v>511</v>
      </c>
      <c r="E106" s="17">
        <v>266647.69329999998</v>
      </c>
      <c r="F106" s="17">
        <v>263793.00890000002</v>
      </c>
      <c r="G106" s="17">
        <v>261420.269</v>
      </c>
      <c r="H106" s="17">
        <v>258996.80669999999</v>
      </c>
      <c r="I106" s="17">
        <v>257383.59760000001</v>
      </c>
      <c r="J106" s="17">
        <v>254106.3126</v>
      </c>
      <c r="K106" s="17">
        <v>251508.9909</v>
      </c>
      <c r="L106" s="17">
        <v>224555.45920000001</v>
      </c>
      <c r="M106" s="17">
        <v>70806.539600000004</v>
      </c>
      <c r="N106" s="17">
        <v>0</v>
      </c>
      <c r="O106" s="17">
        <v>0</v>
      </c>
      <c r="P106" s="17">
        <v>0</v>
      </c>
      <c r="Q106" s="17">
        <v>0</v>
      </c>
      <c r="R106" s="17">
        <v>0</v>
      </c>
      <c r="S106" s="17">
        <v>0</v>
      </c>
      <c r="T106" s="17">
        <v>0</v>
      </c>
      <c r="U106" s="17">
        <v>0</v>
      </c>
      <c r="V106" s="17">
        <v>0</v>
      </c>
      <c r="W106" s="17">
        <v>0</v>
      </c>
      <c r="X106" s="17">
        <v>0</v>
      </c>
      <c r="Y106" s="17">
        <v>0</v>
      </c>
      <c r="Z106" s="17">
        <v>0</v>
      </c>
      <c r="AA106" s="17">
        <v>0</v>
      </c>
      <c r="AB106" s="17">
        <v>0</v>
      </c>
      <c r="AC106" s="17">
        <v>0</v>
      </c>
      <c r="AD106" s="17">
        <v>0</v>
      </c>
      <c r="AE106" s="17">
        <v>0</v>
      </c>
      <c r="AF106" s="17">
        <v>0</v>
      </c>
      <c r="AG106" s="17">
        <v>0</v>
      </c>
      <c r="AH106" s="17">
        <v>0</v>
      </c>
      <c r="AI106" s="17">
        <v>0</v>
      </c>
      <c r="AJ106" s="17">
        <v>0</v>
      </c>
      <c r="AK106" s="17">
        <v>0</v>
      </c>
      <c r="AL106" s="17">
        <v>0</v>
      </c>
      <c r="AM106" s="17">
        <v>0</v>
      </c>
      <c r="AN106" s="17">
        <v>0</v>
      </c>
      <c r="AO106" s="17">
        <v>0</v>
      </c>
      <c r="AP106" s="18">
        <f t="shared" si="1"/>
        <v>2109218.6777999997</v>
      </c>
    </row>
    <row r="107" spans="1:42" ht="15" customHeight="1" x14ac:dyDescent="0.2">
      <c r="A107" s="16" t="s">
        <v>522</v>
      </c>
      <c r="B107" s="16" t="s">
        <v>549</v>
      </c>
      <c r="C107" s="16" t="s">
        <v>201</v>
      </c>
      <c r="D107" s="16" t="s">
        <v>511</v>
      </c>
      <c r="E107" s="17">
        <v>2100365.4939999999</v>
      </c>
      <c r="F107" s="17">
        <v>2676389.9147000001</v>
      </c>
      <c r="G107" s="17">
        <v>2389487.9139999999</v>
      </c>
      <c r="H107" s="17">
        <v>1954175.2091000001</v>
      </c>
      <c r="I107" s="17">
        <v>1602411.2117999999</v>
      </c>
      <c r="J107" s="17">
        <v>1315877.8821</v>
      </c>
      <c r="K107" s="17">
        <v>1085240.5714</v>
      </c>
      <c r="L107" s="17">
        <v>898350.56339999998</v>
      </c>
      <c r="M107" s="17">
        <v>744146.10129999998</v>
      </c>
      <c r="N107" s="17">
        <v>616531.07440000004</v>
      </c>
      <c r="O107" s="17">
        <v>509879.22259999998</v>
      </c>
      <c r="P107" s="17">
        <v>0</v>
      </c>
      <c r="Q107" s="17">
        <v>0</v>
      </c>
      <c r="R107" s="17">
        <v>0</v>
      </c>
      <c r="S107" s="17">
        <v>0</v>
      </c>
      <c r="T107" s="17">
        <v>0</v>
      </c>
      <c r="U107" s="17">
        <v>0</v>
      </c>
      <c r="V107" s="17">
        <v>0</v>
      </c>
      <c r="W107" s="17">
        <v>0</v>
      </c>
      <c r="X107" s="17">
        <v>0</v>
      </c>
      <c r="Y107" s="17">
        <v>0</v>
      </c>
      <c r="Z107" s="17">
        <v>0</v>
      </c>
      <c r="AA107" s="17">
        <v>0</v>
      </c>
      <c r="AB107" s="17">
        <v>0</v>
      </c>
      <c r="AC107" s="17">
        <v>0</v>
      </c>
      <c r="AD107" s="17">
        <v>0</v>
      </c>
      <c r="AE107" s="17">
        <v>0</v>
      </c>
      <c r="AF107" s="17">
        <v>0</v>
      </c>
      <c r="AG107" s="17">
        <v>0</v>
      </c>
      <c r="AH107" s="17">
        <v>0</v>
      </c>
      <c r="AI107" s="17">
        <v>0</v>
      </c>
      <c r="AJ107" s="17">
        <v>0</v>
      </c>
      <c r="AK107" s="17">
        <v>0</v>
      </c>
      <c r="AL107" s="17">
        <v>0</v>
      </c>
      <c r="AM107" s="17">
        <v>0</v>
      </c>
      <c r="AN107" s="17">
        <v>0</v>
      </c>
      <c r="AO107" s="17">
        <v>0</v>
      </c>
      <c r="AP107" s="18">
        <f t="shared" si="1"/>
        <v>15892855.1588</v>
      </c>
    </row>
    <row r="108" spans="1:42" ht="15" customHeight="1" x14ac:dyDescent="0.2">
      <c r="A108" s="16" t="s">
        <v>522</v>
      </c>
      <c r="B108" s="16" t="s">
        <v>549</v>
      </c>
      <c r="C108" s="16" t="s">
        <v>362</v>
      </c>
      <c r="D108" s="16" t="s">
        <v>511</v>
      </c>
      <c r="E108" s="17">
        <v>230453.88620000001</v>
      </c>
      <c r="F108" s="17">
        <v>191899.54680000001</v>
      </c>
      <c r="G108" s="17">
        <v>161340.45869999999</v>
      </c>
      <c r="H108" s="17">
        <v>0</v>
      </c>
      <c r="I108" s="17">
        <v>0</v>
      </c>
      <c r="J108" s="17">
        <v>0</v>
      </c>
      <c r="K108" s="17">
        <v>0</v>
      </c>
      <c r="L108" s="17">
        <v>0</v>
      </c>
      <c r="M108" s="17">
        <v>0</v>
      </c>
      <c r="N108" s="17">
        <v>0</v>
      </c>
      <c r="O108" s="17">
        <v>0</v>
      </c>
      <c r="P108" s="17">
        <v>0</v>
      </c>
      <c r="Q108" s="17">
        <v>0</v>
      </c>
      <c r="R108" s="17">
        <v>0</v>
      </c>
      <c r="S108" s="17">
        <v>0</v>
      </c>
      <c r="T108" s="17">
        <v>0</v>
      </c>
      <c r="U108" s="17">
        <v>0</v>
      </c>
      <c r="V108" s="17">
        <v>0</v>
      </c>
      <c r="W108" s="17">
        <v>0</v>
      </c>
      <c r="X108" s="17">
        <v>0</v>
      </c>
      <c r="Y108" s="17">
        <v>0</v>
      </c>
      <c r="Z108" s="17">
        <v>0</v>
      </c>
      <c r="AA108" s="17">
        <v>0</v>
      </c>
      <c r="AB108" s="17">
        <v>0</v>
      </c>
      <c r="AC108" s="17">
        <v>0</v>
      </c>
      <c r="AD108" s="17">
        <v>0</v>
      </c>
      <c r="AE108" s="17">
        <v>0</v>
      </c>
      <c r="AF108" s="17">
        <v>0</v>
      </c>
      <c r="AG108" s="17">
        <v>0</v>
      </c>
      <c r="AH108" s="17">
        <v>0</v>
      </c>
      <c r="AI108" s="17">
        <v>0</v>
      </c>
      <c r="AJ108" s="17">
        <v>0</v>
      </c>
      <c r="AK108" s="17">
        <v>0</v>
      </c>
      <c r="AL108" s="17">
        <v>0</v>
      </c>
      <c r="AM108" s="17">
        <v>0</v>
      </c>
      <c r="AN108" s="17">
        <v>0</v>
      </c>
      <c r="AO108" s="17">
        <v>0</v>
      </c>
      <c r="AP108" s="18">
        <f t="shared" si="1"/>
        <v>583693.89170000004</v>
      </c>
    </row>
    <row r="109" spans="1:42" ht="15" customHeight="1" x14ac:dyDescent="0.2">
      <c r="A109" s="16" t="s">
        <v>522</v>
      </c>
      <c r="B109" s="16" t="s">
        <v>549</v>
      </c>
      <c r="C109" s="16" t="s">
        <v>363</v>
      </c>
      <c r="D109" s="16" t="s">
        <v>511</v>
      </c>
      <c r="E109" s="17">
        <v>135260.97510000001</v>
      </c>
      <c r="F109" s="17">
        <v>108593.99559999999</v>
      </c>
      <c r="G109" s="17">
        <v>79214.791700000002</v>
      </c>
      <c r="H109" s="17">
        <v>58061.196199999998</v>
      </c>
      <c r="I109" s="17">
        <v>42874.243000000002</v>
      </c>
      <c r="J109" s="17">
        <v>31628.359799999998</v>
      </c>
      <c r="K109" s="17">
        <v>23498.671999999999</v>
      </c>
      <c r="L109" s="17">
        <v>0</v>
      </c>
      <c r="M109" s="17">
        <v>0</v>
      </c>
      <c r="N109" s="17">
        <v>0</v>
      </c>
      <c r="O109" s="17">
        <v>0</v>
      </c>
      <c r="P109" s="17">
        <v>0</v>
      </c>
      <c r="Q109" s="17">
        <v>0</v>
      </c>
      <c r="R109" s="17">
        <v>0</v>
      </c>
      <c r="S109" s="17">
        <v>0</v>
      </c>
      <c r="T109" s="17">
        <v>0</v>
      </c>
      <c r="U109" s="17">
        <v>0</v>
      </c>
      <c r="V109" s="17">
        <v>0</v>
      </c>
      <c r="W109" s="17">
        <v>0</v>
      </c>
      <c r="X109" s="17">
        <v>0</v>
      </c>
      <c r="Y109" s="17">
        <v>0</v>
      </c>
      <c r="Z109" s="17">
        <v>0</v>
      </c>
      <c r="AA109" s="17">
        <v>0</v>
      </c>
      <c r="AB109" s="17">
        <v>0</v>
      </c>
      <c r="AC109" s="17">
        <v>0</v>
      </c>
      <c r="AD109" s="17">
        <v>0</v>
      </c>
      <c r="AE109" s="17">
        <v>0</v>
      </c>
      <c r="AF109" s="17">
        <v>0</v>
      </c>
      <c r="AG109" s="17">
        <v>0</v>
      </c>
      <c r="AH109" s="17">
        <v>0</v>
      </c>
      <c r="AI109" s="17">
        <v>0</v>
      </c>
      <c r="AJ109" s="17">
        <v>0</v>
      </c>
      <c r="AK109" s="17">
        <v>0</v>
      </c>
      <c r="AL109" s="17">
        <v>0</v>
      </c>
      <c r="AM109" s="17">
        <v>0</v>
      </c>
      <c r="AN109" s="17">
        <v>0</v>
      </c>
      <c r="AO109" s="17">
        <v>0</v>
      </c>
      <c r="AP109" s="18">
        <f t="shared" si="1"/>
        <v>479132.23340000003</v>
      </c>
    </row>
    <row r="110" spans="1:42" ht="15" customHeight="1" x14ac:dyDescent="0.2">
      <c r="A110" s="16" t="s">
        <v>522</v>
      </c>
      <c r="B110" s="16" t="s">
        <v>550</v>
      </c>
      <c r="C110" s="16" t="s">
        <v>133</v>
      </c>
      <c r="D110" s="16" t="s">
        <v>511</v>
      </c>
      <c r="E110" s="17">
        <v>536979</v>
      </c>
      <c r="F110" s="17">
        <v>444328</v>
      </c>
      <c r="G110" s="17">
        <v>368732</v>
      </c>
      <c r="H110" s="17">
        <v>307136</v>
      </c>
      <c r="I110" s="17">
        <v>0</v>
      </c>
      <c r="J110" s="17">
        <v>0</v>
      </c>
      <c r="K110" s="17">
        <v>0</v>
      </c>
      <c r="L110" s="17">
        <v>0</v>
      </c>
      <c r="M110" s="17">
        <v>0</v>
      </c>
      <c r="N110" s="17">
        <v>0</v>
      </c>
      <c r="O110" s="17">
        <v>0</v>
      </c>
      <c r="P110" s="17">
        <v>0</v>
      </c>
      <c r="Q110" s="17">
        <v>0</v>
      </c>
      <c r="R110" s="17">
        <v>0</v>
      </c>
      <c r="S110" s="17">
        <v>0</v>
      </c>
      <c r="T110" s="17">
        <v>0</v>
      </c>
      <c r="U110" s="17">
        <v>0</v>
      </c>
      <c r="V110" s="17">
        <v>0</v>
      </c>
      <c r="W110" s="17">
        <v>0</v>
      </c>
      <c r="X110" s="17">
        <v>0</v>
      </c>
      <c r="Y110" s="17">
        <v>0</v>
      </c>
      <c r="Z110" s="17">
        <v>0</v>
      </c>
      <c r="AA110" s="17">
        <v>0</v>
      </c>
      <c r="AB110" s="17">
        <v>0</v>
      </c>
      <c r="AC110" s="17">
        <v>0</v>
      </c>
      <c r="AD110" s="17">
        <v>0</v>
      </c>
      <c r="AE110" s="17">
        <v>0</v>
      </c>
      <c r="AF110" s="17">
        <v>0</v>
      </c>
      <c r="AG110" s="17">
        <v>0</v>
      </c>
      <c r="AH110" s="17">
        <v>0</v>
      </c>
      <c r="AI110" s="17">
        <v>0</v>
      </c>
      <c r="AJ110" s="17">
        <v>0</v>
      </c>
      <c r="AK110" s="17">
        <v>0</v>
      </c>
      <c r="AL110" s="17">
        <v>0</v>
      </c>
      <c r="AM110" s="17">
        <v>0</v>
      </c>
      <c r="AN110" s="17">
        <v>0</v>
      </c>
      <c r="AO110" s="17">
        <v>0</v>
      </c>
      <c r="AP110" s="18">
        <f t="shared" si="1"/>
        <v>1657175</v>
      </c>
    </row>
    <row r="111" spans="1:42" ht="15" customHeight="1" x14ac:dyDescent="0.2">
      <c r="A111" s="16" t="s">
        <v>522</v>
      </c>
      <c r="B111" s="16" t="s">
        <v>400</v>
      </c>
      <c r="C111" s="16" t="s">
        <v>391</v>
      </c>
      <c r="D111" s="16" t="s">
        <v>511</v>
      </c>
      <c r="E111" s="17">
        <v>51083</v>
      </c>
      <c r="F111" s="17">
        <v>45223</v>
      </c>
      <c r="G111" s="17">
        <v>39896</v>
      </c>
      <c r="H111" s="17">
        <v>35208</v>
      </c>
      <c r="I111" s="17">
        <v>25397</v>
      </c>
      <c r="J111" s="17">
        <v>0</v>
      </c>
      <c r="K111" s="17">
        <v>0</v>
      </c>
      <c r="L111" s="17">
        <v>0</v>
      </c>
      <c r="M111" s="17">
        <v>0</v>
      </c>
      <c r="N111" s="17">
        <v>0</v>
      </c>
      <c r="O111" s="17">
        <v>0</v>
      </c>
      <c r="P111" s="17">
        <v>0</v>
      </c>
      <c r="Q111" s="17">
        <v>0</v>
      </c>
      <c r="R111" s="17">
        <v>0</v>
      </c>
      <c r="S111" s="17">
        <v>0</v>
      </c>
      <c r="T111" s="17">
        <v>0</v>
      </c>
      <c r="U111" s="17">
        <v>0</v>
      </c>
      <c r="V111" s="17">
        <v>0</v>
      </c>
      <c r="W111" s="17">
        <v>0</v>
      </c>
      <c r="X111" s="17">
        <v>0</v>
      </c>
      <c r="Y111" s="17">
        <v>0</v>
      </c>
      <c r="Z111" s="17">
        <v>0</v>
      </c>
      <c r="AA111" s="17">
        <v>0</v>
      </c>
      <c r="AB111" s="17">
        <v>0</v>
      </c>
      <c r="AC111" s="17">
        <v>0</v>
      </c>
      <c r="AD111" s="17">
        <v>0</v>
      </c>
      <c r="AE111" s="17">
        <v>0</v>
      </c>
      <c r="AF111" s="17">
        <v>0</v>
      </c>
      <c r="AG111" s="17">
        <v>0</v>
      </c>
      <c r="AH111" s="17">
        <v>0</v>
      </c>
      <c r="AI111" s="17">
        <v>0</v>
      </c>
      <c r="AJ111" s="17">
        <v>0</v>
      </c>
      <c r="AK111" s="17">
        <v>0</v>
      </c>
      <c r="AL111" s="17">
        <v>0</v>
      </c>
      <c r="AM111" s="17">
        <v>0</v>
      </c>
      <c r="AN111" s="17">
        <v>0</v>
      </c>
      <c r="AO111" s="17">
        <v>0</v>
      </c>
      <c r="AP111" s="18">
        <f t="shared" si="1"/>
        <v>196807</v>
      </c>
    </row>
    <row r="112" spans="1:42" ht="15" customHeight="1" x14ac:dyDescent="0.2">
      <c r="A112" s="16" t="s">
        <v>522</v>
      </c>
      <c r="B112" s="16" t="s">
        <v>400</v>
      </c>
      <c r="C112" s="16" t="s">
        <v>400</v>
      </c>
      <c r="D112" s="16" t="s">
        <v>511</v>
      </c>
      <c r="E112" s="17">
        <v>536353</v>
      </c>
      <c r="F112" s="17">
        <v>559346</v>
      </c>
      <c r="G112" s="17">
        <v>522325</v>
      </c>
      <c r="H112" s="17">
        <v>461816</v>
      </c>
      <c r="I112" s="17">
        <v>413500</v>
      </c>
      <c r="J112" s="17">
        <v>368705</v>
      </c>
      <c r="K112" s="17">
        <v>324705</v>
      </c>
      <c r="L112" s="17">
        <v>277687</v>
      </c>
      <c r="M112" s="17">
        <v>0</v>
      </c>
      <c r="N112" s="17">
        <v>0</v>
      </c>
      <c r="O112" s="17">
        <v>0</v>
      </c>
      <c r="P112" s="17">
        <v>0</v>
      </c>
      <c r="Q112" s="17">
        <v>0</v>
      </c>
      <c r="R112" s="17">
        <v>0</v>
      </c>
      <c r="S112" s="17">
        <v>0</v>
      </c>
      <c r="T112" s="17">
        <v>0</v>
      </c>
      <c r="U112" s="17">
        <v>0</v>
      </c>
      <c r="V112" s="17">
        <v>0</v>
      </c>
      <c r="W112" s="17">
        <v>0</v>
      </c>
      <c r="X112" s="17">
        <v>0</v>
      </c>
      <c r="Y112" s="17">
        <v>0</v>
      </c>
      <c r="Z112" s="17">
        <v>0</v>
      </c>
      <c r="AA112" s="17">
        <v>0</v>
      </c>
      <c r="AB112" s="17">
        <v>0</v>
      </c>
      <c r="AC112" s="17">
        <v>0</v>
      </c>
      <c r="AD112" s="17">
        <v>0</v>
      </c>
      <c r="AE112" s="17">
        <v>0</v>
      </c>
      <c r="AF112" s="17">
        <v>0</v>
      </c>
      <c r="AG112" s="17">
        <v>0</v>
      </c>
      <c r="AH112" s="17">
        <v>0</v>
      </c>
      <c r="AI112" s="17">
        <v>0</v>
      </c>
      <c r="AJ112" s="17">
        <v>0</v>
      </c>
      <c r="AK112" s="17">
        <v>0</v>
      </c>
      <c r="AL112" s="17">
        <v>0</v>
      </c>
      <c r="AM112" s="17">
        <v>0</v>
      </c>
      <c r="AN112" s="17">
        <v>0</v>
      </c>
      <c r="AO112" s="17">
        <v>0</v>
      </c>
      <c r="AP112" s="18">
        <f t="shared" si="1"/>
        <v>3464437</v>
      </c>
    </row>
    <row r="113" spans="1:42" ht="15" customHeight="1" x14ac:dyDescent="0.2">
      <c r="A113" s="16" t="s">
        <v>522</v>
      </c>
      <c r="B113" s="16" t="s">
        <v>405</v>
      </c>
      <c r="C113" s="16" t="s">
        <v>386</v>
      </c>
      <c r="D113" s="16" t="s">
        <v>511</v>
      </c>
      <c r="E113" s="17">
        <v>577386</v>
      </c>
      <c r="F113" s="17">
        <v>516130</v>
      </c>
      <c r="G113" s="17">
        <v>435264</v>
      </c>
      <c r="H113" s="17">
        <v>367332</v>
      </c>
      <c r="I113" s="17">
        <v>310998</v>
      </c>
      <c r="J113" s="17">
        <v>262053</v>
      </c>
      <c r="K113" s="17">
        <v>221636</v>
      </c>
      <c r="L113" s="17">
        <v>187609</v>
      </c>
      <c r="M113" s="17">
        <v>159327</v>
      </c>
      <c r="N113" s="17">
        <v>134694</v>
      </c>
      <c r="O113" s="17">
        <v>113732</v>
      </c>
      <c r="P113" s="17">
        <v>0</v>
      </c>
      <c r="Q113" s="17">
        <v>0</v>
      </c>
      <c r="R113" s="17">
        <v>0</v>
      </c>
      <c r="S113" s="17">
        <v>0</v>
      </c>
      <c r="T113" s="17">
        <v>0</v>
      </c>
      <c r="U113" s="17">
        <v>0</v>
      </c>
      <c r="V113" s="17">
        <v>0</v>
      </c>
      <c r="W113" s="17">
        <v>0</v>
      </c>
      <c r="X113" s="17">
        <v>0</v>
      </c>
      <c r="Y113" s="17">
        <v>0</v>
      </c>
      <c r="Z113" s="17">
        <v>0</v>
      </c>
      <c r="AA113" s="17">
        <v>0</v>
      </c>
      <c r="AB113" s="17">
        <v>0</v>
      </c>
      <c r="AC113" s="17">
        <v>0</v>
      </c>
      <c r="AD113" s="17">
        <v>0</v>
      </c>
      <c r="AE113" s="17">
        <v>0</v>
      </c>
      <c r="AF113" s="17">
        <v>0</v>
      </c>
      <c r="AG113" s="17">
        <v>0</v>
      </c>
      <c r="AH113" s="17">
        <v>0</v>
      </c>
      <c r="AI113" s="17">
        <v>0</v>
      </c>
      <c r="AJ113" s="17">
        <v>0</v>
      </c>
      <c r="AK113" s="17">
        <v>0</v>
      </c>
      <c r="AL113" s="17">
        <v>0</v>
      </c>
      <c r="AM113" s="17">
        <v>0</v>
      </c>
      <c r="AN113" s="17">
        <v>0</v>
      </c>
      <c r="AO113" s="17">
        <v>0</v>
      </c>
      <c r="AP113" s="18">
        <f t="shared" si="1"/>
        <v>3286161</v>
      </c>
    </row>
    <row r="114" spans="1:42" ht="15" customHeight="1" x14ac:dyDescent="0.2">
      <c r="A114" s="16" t="s">
        <v>522</v>
      </c>
      <c r="B114" s="16" t="s">
        <v>405</v>
      </c>
      <c r="C114" s="16" t="s">
        <v>405</v>
      </c>
      <c r="D114" s="16" t="s">
        <v>511</v>
      </c>
      <c r="E114" s="17">
        <v>484823</v>
      </c>
      <c r="F114" s="17">
        <v>410571</v>
      </c>
      <c r="G114" s="17">
        <v>321020</v>
      </c>
      <c r="H114" s="17">
        <v>253274</v>
      </c>
      <c r="I114" s="17">
        <v>201986</v>
      </c>
      <c r="J114" s="17">
        <v>161488</v>
      </c>
      <c r="K114" s="17">
        <v>129784</v>
      </c>
      <c r="L114" s="17">
        <v>0</v>
      </c>
      <c r="M114" s="17">
        <v>0</v>
      </c>
      <c r="N114" s="17">
        <v>0</v>
      </c>
      <c r="O114" s="17">
        <v>0</v>
      </c>
      <c r="P114" s="17">
        <v>0</v>
      </c>
      <c r="Q114" s="17">
        <v>0</v>
      </c>
      <c r="R114" s="17">
        <v>0</v>
      </c>
      <c r="S114" s="17">
        <v>0</v>
      </c>
      <c r="T114" s="17">
        <v>0</v>
      </c>
      <c r="U114" s="17">
        <v>0</v>
      </c>
      <c r="V114" s="17">
        <v>0</v>
      </c>
      <c r="W114" s="17">
        <v>0</v>
      </c>
      <c r="X114" s="17">
        <v>0</v>
      </c>
      <c r="Y114" s="17">
        <v>0</v>
      </c>
      <c r="Z114" s="17">
        <v>0</v>
      </c>
      <c r="AA114" s="17">
        <v>0</v>
      </c>
      <c r="AB114" s="17">
        <v>0</v>
      </c>
      <c r="AC114" s="17">
        <v>0</v>
      </c>
      <c r="AD114" s="17">
        <v>0</v>
      </c>
      <c r="AE114" s="17">
        <v>0</v>
      </c>
      <c r="AF114" s="17">
        <v>0</v>
      </c>
      <c r="AG114" s="17">
        <v>0</v>
      </c>
      <c r="AH114" s="17">
        <v>0</v>
      </c>
      <c r="AI114" s="17">
        <v>0</v>
      </c>
      <c r="AJ114" s="17">
        <v>0</v>
      </c>
      <c r="AK114" s="17">
        <v>0</v>
      </c>
      <c r="AL114" s="17">
        <v>0</v>
      </c>
      <c r="AM114" s="17">
        <v>0</v>
      </c>
      <c r="AN114" s="17">
        <v>0</v>
      </c>
      <c r="AO114" s="17">
        <v>0</v>
      </c>
      <c r="AP114" s="18">
        <f t="shared" si="1"/>
        <v>1962946</v>
      </c>
    </row>
    <row r="115" spans="1:42" ht="15" customHeight="1" x14ac:dyDescent="0.2">
      <c r="A115" s="16" t="s">
        <v>551</v>
      </c>
      <c r="B115" s="16" t="s">
        <v>155</v>
      </c>
      <c r="C115" s="16" t="s">
        <v>155</v>
      </c>
      <c r="D115" s="16" t="s">
        <v>511</v>
      </c>
      <c r="E115" s="17">
        <v>58681.106200000002</v>
      </c>
      <c r="F115" s="17">
        <v>92889.359700000001</v>
      </c>
      <c r="G115" s="17">
        <v>84734.224700000006</v>
      </c>
      <c r="H115" s="17">
        <v>32893.113899999997</v>
      </c>
      <c r="I115" s="17">
        <v>0</v>
      </c>
      <c r="J115" s="17">
        <v>0</v>
      </c>
      <c r="K115" s="17">
        <v>0</v>
      </c>
      <c r="L115" s="17">
        <v>0</v>
      </c>
      <c r="M115" s="17">
        <v>0</v>
      </c>
      <c r="N115" s="17">
        <v>0</v>
      </c>
      <c r="O115" s="17">
        <v>0</v>
      </c>
      <c r="P115" s="17">
        <v>0</v>
      </c>
      <c r="Q115" s="17">
        <v>0</v>
      </c>
      <c r="R115" s="17">
        <v>0</v>
      </c>
      <c r="S115" s="17">
        <v>0</v>
      </c>
      <c r="T115" s="17">
        <v>0</v>
      </c>
      <c r="U115" s="17">
        <v>0</v>
      </c>
      <c r="V115" s="17">
        <v>0</v>
      </c>
      <c r="W115" s="17">
        <v>0</v>
      </c>
      <c r="X115" s="17">
        <v>0</v>
      </c>
      <c r="Y115" s="17">
        <v>0</v>
      </c>
      <c r="Z115" s="17">
        <v>0</v>
      </c>
      <c r="AA115" s="17">
        <v>0</v>
      </c>
      <c r="AB115" s="17">
        <v>0</v>
      </c>
      <c r="AC115" s="17">
        <v>0</v>
      </c>
      <c r="AD115" s="17">
        <v>0</v>
      </c>
      <c r="AE115" s="17">
        <v>0</v>
      </c>
      <c r="AF115" s="17">
        <v>0</v>
      </c>
      <c r="AG115" s="17">
        <v>0</v>
      </c>
      <c r="AH115" s="17">
        <v>0</v>
      </c>
      <c r="AI115" s="17">
        <v>0</v>
      </c>
      <c r="AJ115" s="17">
        <v>0</v>
      </c>
      <c r="AK115" s="17">
        <v>0</v>
      </c>
      <c r="AL115" s="17">
        <v>0</v>
      </c>
      <c r="AM115" s="17">
        <v>0</v>
      </c>
      <c r="AN115" s="17">
        <v>0</v>
      </c>
      <c r="AO115" s="17">
        <v>0</v>
      </c>
      <c r="AP115" s="18">
        <f t="shared" si="1"/>
        <v>269197.80450000003</v>
      </c>
    </row>
    <row r="116" spans="1:42" ht="15" customHeight="1" x14ac:dyDescent="0.2">
      <c r="A116" s="16" t="s">
        <v>551</v>
      </c>
      <c r="B116" s="16" t="s">
        <v>155</v>
      </c>
      <c r="C116" s="16" t="s">
        <v>188</v>
      </c>
      <c r="D116" s="16" t="s">
        <v>511</v>
      </c>
      <c r="E116" s="17">
        <v>18085.792099999999</v>
      </c>
      <c r="F116" s="17">
        <v>28550.288100000002</v>
      </c>
      <c r="G116" s="17">
        <v>25950.231899999999</v>
      </c>
      <c r="H116" s="17">
        <v>10047.257</v>
      </c>
      <c r="I116" s="17">
        <v>0</v>
      </c>
      <c r="J116" s="17">
        <v>0</v>
      </c>
      <c r="K116" s="17">
        <v>0</v>
      </c>
      <c r="L116" s="17">
        <v>0</v>
      </c>
      <c r="M116" s="17">
        <v>0</v>
      </c>
      <c r="N116" s="17">
        <v>0</v>
      </c>
      <c r="O116" s="17">
        <v>0</v>
      </c>
      <c r="P116" s="17">
        <v>0</v>
      </c>
      <c r="Q116" s="17">
        <v>0</v>
      </c>
      <c r="R116" s="17">
        <v>0</v>
      </c>
      <c r="S116" s="17">
        <v>0</v>
      </c>
      <c r="T116" s="17">
        <v>0</v>
      </c>
      <c r="U116" s="17">
        <v>0</v>
      </c>
      <c r="V116" s="17">
        <v>0</v>
      </c>
      <c r="W116" s="17">
        <v>0</v>
      </c>
      <c r="X116" s="17">
        <v>0</v>
      </c>
      <c r="Y116" s="17">
        <v>0</v>
      </c>
      <c r="Z116" s="17">
        <v>0</v>
      </c>
      <c r="AA116" s="17">
        <v>0</v>
      </c>
      <c r="AB116" s="17">
        <v>0</v>
      </c>
      <c r="AC116" s="17">
        <v>0</v>
      </c>
      <c r="AD116" s="17">
        <v>0</v>
      </c>
      <c r="AE116" s="17">
        <v>0</v>
      </c>
      <c r="AF116" s="17">
        <v>0</v>
      </c>
      <c r="AG116" s="17">
        <v>0</v>
      </c>
      <c r="AH116" s="17">
        <v>0</v>
      </c>
      <c r="AI116" s="17">
        <v>0</v>
      </c>
      <c r="AJ116" s="17">
        <v>0</v>
      </c>
      <c r="AK116" s="17">
        <v>0</v>
      </c>
      <c r="AL116" s="17">
        <v>0</v>
      </c>
      <c r="AM116" s="17">
        <v>0</v>
      </c>
      <c r="AN116" s="17">
        <v>0</v>
      </c>
      <c r="AO116" s="17">
        <v>0</v>
      </c>
      <c r="AP116" s="18">
        <f t="shared" si="1"/>
        <v>82633.569099999993</v>
      </c>
    </row>
    <row r="117" spans="1:42" ht="15" customHeight="1" x14ac:dyDescent="0.2">
      <c r="A117" s="16" t="s">
        <v>551</v>
      </c>
      <c r="B117" s="16" t="s">
        <v>155</v>
      </c>
      <c r="C117" s="16" t="s">
        <v>301</v>
      </c>
      <c r="D117" s="16" t="s">
        <v>511</v>
      </c>
      <c r="E117" s="17">
        <v>41307.784200000002</v>
      </c>
      <c r="F117" s="17">
        <v>0</v>
      </c>
      <c r="G117" s="17">
        <v>0</v>
      </c>
      <c r="H117" s="17">
        <v>0</v>
      </c>
      <c r="I117" s="17">
        <v>0</v>
      </c>
      <c r="J117" s="17">
        <v>0</v>
      </c>
      <c r="K117" s="17">
        <v>0</v>
      </c>
      <c r="L117" s="17">
        <v>0</v>
      </c>
      <c r="M117" s="17">
        <v>0</v>
      </c>
      <c r="N117" s="17">
        <v>0</v>
      </c>
      <c r="O117" s="17">
        <v>0</v>
      </c>
      <c r="P117" s="17">
        <v>0</v>
      </c>
      <c r="Q117" s="17">
        <v>0</v>
      </c>
      <c r="R117" s="17">
        <v>0</v>
      </c>
      <c r="S117" s="17">
        <v>0</v>
      </c>
      <c r="T117" s="17">
        <v>0</v>
      </c>
      <c r="U117" s="17">
        <v>0</v>
      </c>
      <c r="V117" s="17">
        <v>0</v>
      </c>
      <c r="W117" s="17">
        <v>0</v>
      </c>
      <c r="X117" s="17">
        <v>0</v>
      </c>
      <c r="Y117" s="17">
        <v>0</v>
      </c>
      <c r="Z117" s="17">
        <v>0</v>
      </c>
      <c r="AA117" s="17">
        <v>0</v>
      </c>
      <c r="AB117" s="17">
        <v>0</v>
      </c>
      <c r="AC117" s="17">
        <v>0</v>
      </c>
      <c r="AD117" s="17">
        <v>0</v>
      </c>
      <c r="AE117" s="17">
        <v>0</v>
      </c>
      <c r="AF117" s="17">
        <v>0</v>
      </c>
      <c r="AG117" s="17">
        <v>0</v>
      </c>
      <c r="AH117" s="17">
        <v>0</v>
      </c>
      <c r="AI117" s="17">
        <v>0</v>
      </c>
      <c r="AJ117" s="17">
        <v>0</v>
      </c>
      <c r="AK117" s="17">
        <v>0</v>
      </c>
      <c r="AL117" s="17">
        <v>0</v>
      </c>
      <c r="AM117" s="17">
        <v>0</v>
      </c>
      <c r="AN117" s="17">
        <v>0</v>
      </c>
      <c r="AO117" s="17">
        <v>0</v>
      </c>
      <c r="AP117" s="18">
        <f t="shared" si="1"/>
        <v>41307.784200000002</v>
      </c>
    </row>
    <row r="118" spans="1:42" ht="15" customHeight="1" x14ac:dyDescent="0.2">
      <c r="A118" s="16" t="s">
        <v>551</v>
      </c>
      <c r="B118" s="16" t="s">
        <v>155</v>
      </c>
      <c r="C118" s="16" t="s">
        <v>423</v>
      </c>
      <c r="D118" s="16" t="s">
        <v>511</v>
      </c>
      <c r="E118" s="17">
        <v>245790.34080000001</v>
      </c>
      <c r="F118" s="17">
        <v>335637.4473</v>
      </c>
      <c r="G118" s="17">
        <v>270015.77399999998</v>
      </c>
      <c r="H118" s="17">
        <v>85822.681299999997</v>
      </c>
      <c r="I118" s="17">
        <v>0</v>
      </c>
      <c r="J118" s="17">
        <v>0</v>
      </c>
      <c r="K118" s="17">
        <v>0</v>
      </c>
      <c r="L118" s="17">
        <v>0</v>
      </c>
      <c r="M118" s="17">
        <v>0</v>
      </c>
      <c r="N118" s="17">
        <v>0</v>
      </c>
      <c r="O118" s="17">
        <v>0</v>
      </c>
      <c r="P118" s="17">
        <v>0</v>
      </c>
      <c r="Q118" s="17">
        <v>0</v>
      </c>
      <c r="R118" s="17">
        <v>0</v>
      </c>
      <c r="S118" s="17">
        <v>0</v>
      </c>
      <c r="T118" s="17">
        <v>0</v>
      </c>
      <c r="U118" s="17">
        <v>0</v>
      </c>
      <c r="V118" s="17">
        <v>0</v>
      </c>
      <c r="W118" s="17">
        <v>0</v>
      </c>
      <c r="X118" s="17">
        <v>0</v>
      </c>
      <c r="Y118" s="17">
        <v>0</v>
      </c>
      <c r="Z118" s="17">
        <v>0</v>
      </c>
      <c r="AA118" s="17">
        <v>0</v>
      </c>
      <c r="AB118" s="17">
        <v>0</v>
      </c>
      <c r="AC118" s="17">
        <v>0</v>
      </c>
      <c r="AD118" s="17">
        <v>0</v>
      </c>
      <c r="AE118" s="17">
        <v>0</v>
      </c>
      <c r="AF118" s="17">
        <v>0</v>
      </c>
      <c r="AG118" s="17">
        <v>0</v>
      </c>
      <c r="AH118" s="17">
        <v>0</v>
      </c>
      <c r="AI118" s="17">
        <v>0</v>
      </c>
      <c r="AJ118" s="17">
        <v>0</v>
      </c>
      <c r="AK118" s="17">
        <v>0</v>
      </c>
      <c r="AL118" s="17">
        <v>0</v>
      </c>
      <c r="AM118" s="17">
        <v>0</v>
      </c>
      <c r="AN118" s="17">
        <v>0</v>
      </c>
      <c r="AO118" s="17">
        <v>0</v>
      </c>
      <c r="AP118" s="18">
        <f t="shared" si="1"/>
        <v>937266.24340000004</v>
      </c>
    </row>
    <row r="119" spans="1:42" ht="15" customHeight="1" x14ac:dyDescent="0.2">
      <c r="A119" s="16" t="s">
        <v>551</v>
      </c>
      <c r="B119" s="16" t="s">
        <v>155</v>
      </c>
      <c r="C119" s="16" t="s">
        <v>424</v>
      </c>
      <c r="D119" s="16" t="s">
        <v>511</v>
      </c>
      <c r="E119" s="17">
        <v>698214.95970000001</v>
      </c>
      <c r="F119" s="17">
        <v>1016203.3949</v>
      </c>
      <c r="G119" s="17">
        <v>678456.6189</v>
      </c>
      <c r="H119" s="17">
        <v>204874.0203</v>
      </c>
      <c r="I119" s="17">
        <v>0</v>
      </c>
      <c r="J119" s="17">
        <v>0</v>
      </c>
      <c r="K119" s="17">
        <v>0</v>
      </c>
      <c r="L119" s="17">
        <v>0</v>
      </c>
      <c r="M119" s="17">
        <v>0</v>
      </c>
      <c r="N119" s="17">
        <v>0</v>
      </c>
      <c r="O119" s="17">
        <v>0</v>
      </c>
      <c r="P119" s="17">
        <v>0</v>
      </c>
      <c r="Q119" s="17">
        <v>0</v>
      </c>
      <c r="R119" s="17">
        <v>0</v>
      </c>
      <c r="S119" s="17">
        <v>0</v>
      </c>
      <c r="T119" s="17">
        <v>0</v>
      </c>
      <c r="U119" s="17">
        <v>0</v>
      </c>
      <c r="V119" s="17">
        <v>0</v>
      </c>
      <c r="W119" s="17">
        <v>0</v>
      </c>
      <c r="X119" s="17">
        <v>0</v>
      </c>
      <c r="Y119" s="17">
        <v>0</v>
      </c>
      <c r="Z119" s="17">
        <v>0</v>
      </c>
      <c r="AA119" s="17">
        <v>0</v>
      </c>
      <c r="AB119" s="17">
        <v>0</v>
      </c>
      <c r="AC119" s="17">
        <v>0</v>
      </c>
      <c r="AD119" s="17">
        <v>0</v>
      </c>
      <c r="AE119" s="17">
        <v>0</v>
      </c>
      <c r="AF119" s="17">
        <v>0</v>
      </c>
      <c r="AG119" s="17">
        <v>0</v>
      </c>
      <c r="AH119" s="17">
        <v>0</v>
      </c>
      <c r="AI119" s="17">
        <v>0</v>
      </c>
      <c r="AJ119" s="17">
        <v>0</v>
      </c>
      <c r="AK119" s="17">
        <v>0</v>
      </c>
      <c r="AL119" s="17">
        <v>0</v>
      </c>
      <c r="AM119" s="17">
        <v>0</v>
      </c>
      <c r="AN119" s="17">
        <v>0</v>
      </c>
      <c r="AO119" s="17">
        <v>0</v>
      </c>
      <c r="AP119" s="18">
        <f t="shared" si="1"/>
        <v>2597748.9937999998</v>
      </c>
    </row>
    <row r="120" spans="1:42" ht="15" customHeight="1" x14ac:dyDescent="0.2">
      <c r="A120" s="16" t="s">
        <v>551</v>
      </c>
      <c r="B120" s="16" t="s">
        <v>552</v>
      </c>
      <c r="C120" s="16" t="s">
        <v>315</v>
      </c>
      <c r="D120" s="16" t="s">
        <v>511</v>
      </c>
      <c r="E120" s="17">
        <v>154611.65460000001</v>
      </c>
      <c r="F120" s="17">
        <v>207972.59349999999</v>
      </c>
      <c r="G120" s="17">
        <v>150807.89550000001</v>
      </c>
      <c r="H120" s="17">
        <v>114507.58990000001</v>
      </c>
      <c r="I120" s="17">
        <v>90012.646500000003</v>
      </c>
      <c r="J120" s="17">
        <v>72079.216400000005</v>
      </c>
      <c r="K120" s="17">
        <v>0</v>
      </c>
      <c r="L120" s="17">
        <v>0</v>
      </c>
      <c r="M120" s="17">
        <v>0</v>
      </c>
      <c r="N120" s="17">
        <v>0</v>
      </c>
      <c r="O120" s="17">
        <v>0</v>
      </c>
      <c r="P120" s="17">
        <v>0</v>
      </c>
      <c r="Q120" s="17">
        <v>0</v>
      </c>
      <c r="R120" s="17">
        <v>0</v>
      </c>
      <c r="S120" s="17">
        <v>0</v>
      </c>
      <c r="T120" s="17">
        <v>0</v>
      </c>
      <c r="U120" s="17">
        <v>0</v>
      </c>
      <c r="V120" s="17">
        <v>0</v>
      </c>
      <c r="W120" s="17">
        <v>0</v>
      </c>
      <c r="X120" s="17">
        <v>0</v>
      </c>
      <c r="Y120" s="17">
        <v>0</v>
      </c>
      <c r="Z120" s="17">
        <v>0</v>
      </c>
      <c r="AA120" s="17">
        <v>0</v>
      </c>
      <c r="AB120" s="17">
        <v>0</v>
      </c>
      <c r="AC120" s="17">
        <v>0</v>
      </c>
      <c r="AD120" s="17">
        <v>0</v>
      </c>
      <c r="AE120" s="17">
        <v>0</v>
      </c>
      <c r="AF120" s="17">
        <v>0</v>
      </c>
      <c r="AG120" s="17">
        <v>0</v>
      </c>
      <c r="AH120" s="17">
        <v>0</v>
      </c>
      <c r="AI120" s="17">
        <v>0</v>
      </c>
      <c r="AJ120" s="17">
        <v>0</v>
      </c>
      <c r="AK120" s="17">
        <v>0</v>
      </c>
      <c r="AL120" s="17">
        <v>0</v>
      </c>
      <c r="AM120" s="17">
        <v>0</v>
      </c>
      <c r="AN120" s="17">
        <v>0</v>
      </c>
      <c r="AO120" s="17">
        <v>0</v>
      </c>
      <c r="AP120" s="18">
        <f t="shared" si="1"/>
        <v>789991.59640000004</v>
      </c>
    </row>
    <row r="121" spans="1:42" ht="15" customHeight="1" x14ac:dyDescent="0.2">
      <c r="A121" s="16" t="s">
        <v>551</v>
      </c>
      <c r="B121" s="16" t="s">
        <v>553</v>
      </c>
      <c r="C121" s="16" t="s">
        <v>170</v>
      </c>
      <c r="D121" s="16" t="s">
        <v>511</v>
      </c>
      <c r="E121" s="17">
        <v>642042.54520000005</v>
      </c>
      <c r="F121" s="17">
        <v>1284407.0436</v>
      </c>
      <c r="G121" s="17">
        <v>1871904.6288999999</v>
      </c>
      <c r="H121" s="17">
        <v>2440592.2138</v>
      </c>
      <c r="I121" s="17">
        <v>3539420.4139999999</v>
      </c>
      <c r="J121" s="17">
        <v>3389598.2450000001</v>
      </c>
      <c r="K121" s="17">
        <v>2583885.4706000001</v>
      </c>
      <c r="L121" s="17">
        <v>1979399.8067999999</v>
      </c>
      <c r="M121" s="17">
        <v>1466302.2272000001</v>
      </c>
      <c r="N121" s="17">
        <v>1059662.2376000001</v>
      </c>
      <c r="O121" s="17">
        <v>765078.39309999999</v>
      </c>
      <c r="P121" s="17">
        <v>297170.32740000001</v>
      </c>
      <c r="Q121" s="17">
        <v>0</v>
      </c>
      <c r="R121" s="17">
        <v>0</v>
      </c>
      <c r="S121" s="17">
        <v>0</v>
      </c>
      <c r="T121" s="17">
        <v>0</v>
      </c>
      <c r="U121" s="17">
        <v>0</v>
      </c>
      <c r="V121" s="17">
        <v>0</v>
      </c>
      <c r="W121" s="17">
        <v>0</v>
      </c>
      <c r="X121" s="17">
        <v>0</v>
      </c>
      <c r="Y121" s="17">
        <v>0</v>
      </c>
      <c r="Z121" s="17">
        <v>0</v>
      </c>
      <c r="AA121" s="17">
        <v>0</v>
      </c>
      <c r="AB121" s="17">
        <v>0</v>
      </c>
      <c r="AC121" s="17">
        <v>0</v>
      </c>
      <c r="AD121" s="17">
        <v>0</v>
      </c>
      <c r="AE121" s="17">
        <v>0</v>
      </c>
      <c r="AF121" s="17">
        <v>0</v>
      </c>
      <c r="AG121" s="17">
        <v>0</v>
      </c>
      <c r="AH121" s="17">
        <v>0</v>
      </c>
      <c r="AI121" s="17">
        <v>0</v>
      </c>
      <c r="AJ121" s="17">
        <v>0</v>
      </c>
      <c r="AK121" s="17">
        <v>0</v>
      </c>
      <c r="AL121" s="17">
        <v>0</v>
      </c>
      <c r="AM121" s="17">
        <v>0</v>
      </c>
      <c r="AN121" s="17">
        <v>0</v>
      </c>
      <c r="AO121" s="17">
        <v>0</v>
      </c>
      <c r="AP121" s="18">
        <f t="shared" si="1"/>
        <v>21319463.553199999</v>
      </c>
    </row>
    <row r="122" spans="1:42" ht="24" customHeight="1" x14ac:dyDescent="0.2">
      <c r="A122" s="16" t="s">
        <v>542</v>
      </c>
      <c r="B122" s="16" t="s">
        <v>554</v>
      </c>
      <c r="C122" s="16" t="s">
        <v>138</v>
      </c>
      <c r="D122" s="16" t="s">
        <v>511</v>
      </c>
      <c r="E122" s="17">
        <v>12561</v>
      </c>
      <c r="F122" s="17">
        <v>19636</v>
      </c>
      <c r="G122" s="17">
        <v>16148</v>
      </c>
      <c r="H122" s="17">
        <v>12617</v>
      </c>
      <c r="I122" s="17">
        <v>9880</v>
      </c>
      <c r="J122" s="17">
        <v>0</v>
      </c>
      <c r="K122" s="17">
        <v>0</v>
      </c>
      <c r="L122" s="17">
        <v>0</v>
      </c>
      <c r="M122" s="17">
        <v>0</v>
      </c>
      <c r="N122" s="17">
        <v>0</v>
      </c>
      <c r="O122" s="17">
        <v>0</v>
      </c>
      <c r="P122" s="17">
        <v>0</v>
      </c>
      <c r="Q122" s="17">
        <v>0</v>
      </c>
      <c r="R122" s="17">
        <v>0</v>
      </c>
      <c r="S122" s="17">
        <v>0</v>
      </c>
      <c r="T122" s="17">
        <v>0</v>
      </c>
      <c r="U122" s="17">
        <v>0</v>
      </c>
      <c r="V122" s="17">
        <v>0</v>
      </c>
      <c r="W122" s="17">
        <v>0</v>
      </c>
      <c r="X122" s="17">
        <v>0</v>
      </c>
      <c r="Y122" s="17">
        <v>0</v>
      </c>
      <c r="Z122" s="17">
        <v>0</v>
      </c>
      <c r="AA122" s="17">
        <v>0</v>
      </c>
      <c r="AB122" s="17">
        <v>0</v>
      </c>
      <c r="AC122" s="17">
        <v>0</v>
      </c>
      <c r="AD122" s="17">
        <v>0</v>
      </c>
      <c r="AE122" s="17">
        <v>0</v>
      </c>
      <c r="AF122" s="17">
        <v>0</v>
      </c>
      <c r="AG122" s="17">
        <v>0</v>
      </c>
      <c r="AH122" s="17">
        <v>0</v>
      </c>
      <c r="AI122" s="17">
        <v>0</v>
      </c>
      <c r="AJ122" s="17">
        <v>0</v>
      </c>
      <c r="AK122" s="17">
        <v>0</v>
      </c>
      <c r="AL122" s="17">
        <v>0</v>
      </c>
      <c r="AM122" s="17">
        <v>0</v>
      </c>
      <c r="AN122" s="17">
        <v>0</v>
      </c>
      <c r="AO122" s="17">
        <v>0</v>
      </c>
      <c r="AP122" s="18">
        <f t="shared" si="1"/>
        <v>70842</v>
      </c>
    </row>
    <row r="123" spans="1:42" ht="24" customHeight="1" x14ac:dyDescent="0.2">
      <c r="A123" s="16" t="s">
        <v>542</v>
      </c>
      <c r="B123" s="16" t="s">
        <v>554</v>
      </c>
      <c r="C123" s="16" t="s">
        <v>428</v>
      </c>
      <c r="D123" s="16" t="s">
        <v>511</v>
      </c>
      <c r="E123" s="17">
        <v>191994</v>
      </c>
      <c r="F123" s="17">
        <v>185495</v>
      </c>
      <c r="G123" s="17">
        <v>176716</v>
      </c>
      <c r="H123" s="17">
        <v>138620</v>
      </c>
      <c r="I123" s="17">
        <v>109778</v>
      </c>
      <c r="J123" s="17">
        <v>85475</v>
      </c>
      <c r="K123" s="17">
        <v>67151</v>
      </c>
      <c r="L123" s="17">
        <v>53852</v>
      </c>
      <c r="M123" s="17">
        <v>42702</v>
      </c>
      <c r="N123" s="17">
        <v>34688</v>
      </c>
      <c r="O123" s="17">
        <v>28091</v>
      </c>
      <c r="P123" s="17">
        <v>0</v>
      </c>
      <c r="Q123" s="17">
        <v>0</v>
      </c>
      <c r="R123" s="17">
        <v>0</v>
      </c>
      <c r="S123" s="17">
        <v>0</v>
      </c>
      <c r="T123" s="17">
        <v>0</v>
      </c>
      <c r="U123" s="17">
        <v>0</v>
      </c>
      <c r="V123" s="17">
        <v>0</v>
      </c>
      <c r="W123" s="17">
        <v>0</v>
      </c>
      <c r="X123" s="17">
        <v>0</v>
      </c>
      <c r="Y123" s="17">
        <v>0</v>
      </c>
      <c r="Z123" s="17">
        <v>0</v>
      </c>
      <c r="AA123" s="17">
        <v>0</v>
      </c>
      <c r="AB123" s="17">
        <v>0</v>
      </c>
      <c r="AC123" s="17">
        <v>0</v>
      </c>
      <c r="AD123" s="17">
        <v>0</v>
      </c>
      <c r="AE123" s="17">
        <v>0</v>
      </c>
      <c r="AF123" s="17">
        <v>0</v>
      </c>
      <c r="AG123" s="17">
        <v>0</v>
      </c>
      <c r="AH123" s="17">
        <v>0</v>
      </c>
      <c r="AI123" s="17">
        <v>0</v>
      </c>
      <c r="AJ123" s="17">
        <v>0</v>
      </c>
      <c r="AK123" s="17">
        <v>0</v>
      </c>
      <c r="AL123" s="17">
        <v>0</v>
      </c>
      <c r="AM123" s="17">
        <v>0</v>
      </c>
      <c r="AN123" s="17">
        <v>0</v>
      </c>
      <c r="AO123" s="17">
        <v>0</v>
      </c>
      <c r="AP123" s="18">
        <f t="shared" si="1"/>
        <v>1114562</v>
      </c>
    </row>
    <row r="124" spans="1:42" ht="24" customHeight="1" x14ac:dyDescent="0.2">
      <c r="A124" s="16" t="s">
        <v>542</v>
      </c>
      <c r="B124" s="16" t="s">
        <v>555</v>
      </c>
      <c r="C124" s="16" t="s">
        <v>199</v>
      </c>
      <c r="D124" s="16" t="s">
        <v>511</v>
      </c>
      <c r="E124" s="17">
        <v>18908</v>
      </c>
      <c r="F124" s="17">
        <v>13630</v>
      </c>
      <c r="G124" s="17">
        <v>26430</v>
      </c>
      <c r="H124" s="17">
        <v>21372</v>
      </c>
      <c r="I124" s="17">
        <v>15959</v>
      </c>
      <c r="J124" s="17">
        <v>13255</v>
      </c>
      <c r="K124" s="17">
        <v>11058</v>
      </c>
      <c r="L124" s="17">
        <v>9248</v>
      </c>
      <c r="M124" s="17">
        <v>7763</v>
      </c>
      <c r="N124" s="17">
        <v>6494</v>
      </c>
      <c r="O124" s="17">
        <v>5457</v>
      </c>
      <c r="P124" s="17">
        <v>4589</v>
      </c>
      <c r="Q124" s="17">
        <v>3872</v>
      </c>
      <c r="R124" s="17">
        <v>0</v>
      </c>
      <c r="S124" s="17">
        <v>0</v>
      </c>
      <c r="T124" s="17">
        <v>0</v>
      </c>
      <c r="U124" s="17">
        <v>0</v>
      </c>
      <c r="V124" s="17">
        <v>0</v>
      </c>
      <c r="W124" s="17">
        <v>0</v>
      </c>
      <c r="X124" s="17">
        <v>0</v>
      </c>
      <c r="Y124" s="17">
        <v>0</v>
      </c>
      <c r="Z124" s="17">
        <v>0</v>
      </c>
      <c r="AA124" s="17">
        <v>0</v>
      </c>
      <c r="AB124" s="17">
        <v>0</v>
      </c>
      <c r="AC124" s="17">
        <v>0</v>
      </c>
      <c r="AD124" s="17">
        <v>0</v>
      </c>
      <c r="AE124" s="17">
        <v>0</v>
      </c>
      <c r="AF124" s="17">
        <v>0</v>
      </c>
      <c r="AG124" s="17">
        <v>0</v>
      </c>
      <c r="AH124" s="17">
        <v>0</v>
      </c>
      <c r="AI124" s="17">
        <v>0</v>
      </c>
      <c r="AJ124" s="17">
        <v>0</v>
      </c>
      <c r="AK124" s="17">
        <v>0</v>
      </c>
      <c r="AL124" s="17">
        <v>0</v>
      </c>
      <c r="AM124" s="17">
        <v>0</v>
      </c>
      <c r="AN124" s="17">
        <v>0</v>
      </c>
      <c r="AO124" s="17">
        <v>0</v>
      </c>
      <c r="AP124" s="18">
        <f t="shared" si="1"/>
        <v>158035</v>
      </c>
    </row>
    <row r="125" spans="1:42" ht="24" customHeight="1" x14ac:dyDescent="0.2">
      <c r="A125" s="16" t="s">
        <v>542</v>
      </c>
      <c r="B125" s="16" t="s">
        <v>555</v>
      </c>
      <c r="C125" s="16" t="s">
        <v>247</v>
      </c>
      <c r="D125" s="16" t="s">
        <v>511</v>
      </c>
      <c r="E125" s="17">
        <v>39109</v>
      </c>
      <c r="F125" s="17">
        <v>33147</v>
      </c>
      <c r="G125" s="17">
        <v>28176</v>
      </c>
      <c r="H125" s="17">
        <v>23955</v>
      </c>
      <c r="I125" s="17">
        <v>20415</v>
      </c>
      <c r="J125" s="17">
        <v>17303</v>
      </c>
      <c r="K125" s="17">
        <v>14708</v>
      </c>
      <c r="L125" s="17">
        <v>12505</v>
      </c>
      <c r="M125" s="17">
        <v>10657</v>
      </c>
      <c r="N125" s="17">
        <v>9032</v>
      </c>
      <c r="O125" s="17">
        <v>7677</v>
      </c>
      <c r="P125" s="17">
        <v>6526</v>
      </c>
      <c r="Q125" s="17">
        <v>0</v>
      </c>
      <c r="R125" s="17">
        <v>0</v>
      </c>
      <c r="S125" s="17">
        <v>0</v>
      </c>
      <c r="T125" s="17">
        <v>0</v>
      </c>
      <c r="U125" s="17">
        <v>0</v>
      </c>
      <c r="V125" s="17">
        <v>0</v>
      </c>
      <c r="W125" s="17">
        <v>0</v>
      </c>
      <c r="X125" s="17">
        <v>0</v>
      </c>
      <c r="Y125" s="17">
        <v>0</v>
      </c>
      <c r="Z125" s="17">
        <v>0</v>
      </c>
      <c r="AA125" s="17">
        <v>0</v>
      </c>
      <c r="AB125" s="17">
        <v>0</v>
      </c>
      <c r="AC125" s="17">
        <v>0</v>
      </c>
      <c r="AD125" s="17">
        <v>0</v>
      </c>
      <c r="AE125" s="17">
        <v>0</v>
      </c>
      <c r="AF125" s="17">
        <v>0</v>
      </c>
      <c r="AG125" s="17">
        <v>0</v>
      </c>
      <c r="AH125" s="17">
        <v>0</v>
      </c>
      <c r="AI125" s="17">
        <v>0</v>
      </c>
      <c r="AJ125" s="17">
        <v>0</v>
      </c>
      <c r="AK125" s="17">
        <v>0</v>
      </c>
      <c r="AL125" s="17">
        <v>0</v>
      </c>
      <c r="AM125" s="17">
        <v>0</v>
      </c>
      <c r="AN125" s="17">
        <v>0</v>
      </c>
      <c r="AO125" s="17">
        <v>0</v>
      </c>
      <c r="AP125" s="18">
        <f t="shared" si="1"/>
        <v>223210</v>
      </c>
    </row>
    <row r="126" spans="1:42" ht="24" customHeight="1" x14ac:dyDescent="0.2">
      <c r="A126" s="16" t="s">
        <v>542</v>
      </c>
      <c r="B126" s="16" t="s">
        <v>555</v>
      </c>
      <c r="C126" s="16" t="s">
        <v>248</v>
      </c>
      <c r="D126" s="16" t="s">
        <v>511</v>
      </c>
      <c r="E126" s="17">
        <v>28363</v>
      </c>
      <c r="F126" s="17">
        <v>26009</v>
      </c>
      <c r="G126" s="17">
        <v>20077</v>
      </c>
      <c r="H126" s="17">
        <v>4922</v>
      </c>
      <c r="I126" s="17">
        <v>0</v>
      </c>
      <c r="J126" s="17">
        <v>0</v>
      </c>
      <c r="K126" s="17">
        <v>0</v>
      </c>
      <c r="L126" s="17">
        <v>0</v>
      </c>
      <c r="M126" s="17">
        <v>0</v>
      </c>
      <c r="N126" s="17">
        <v>0</v>
      </c>
      <c r="O126" s="17">
        <v>0</v>
      </c>
      <c r="P126" s="17">
        <v>0</v>
      </c>
      <c r="Q126" s="17">
        <v>0</v>
      </c>
      <c r="R126" s="17">
        <v>0</v>
      </c>
      <c r="S126" s="17">
        <v>0</v>
      </c>
      <c r="T126" s="17">
        <v>0</v>
      </c>
      <c r="U126" s="17">
        <v>0</v>
      </c>
      <c r="V126" s="17">
        <v>0</v>
      </c>
      <c r="W126" s="17">
        <v>0</v>
      </c>
      <c r="X126" s="17">
        <v>0</v>
      </c>
      <c r="Y126" s="17">
        <v>0</v>
      </c>
      <c r="Z126" s="17">
        <v>0</v>
      </c>
      <c r="AA126" s="17">
        <v>0</v>
      </c>
      <c r="AB126" s="17">
        <v>0</v>
      </c>
      <c r="AC126" s="17">
        <v>0</v>
      </c>
      <c r="AD126" s="17">
        <v>0</v>
      </c>
      <c r="AE126" s="17">
        <v>0</v>
      </c>
      <c r="AF126" s="17">
        <v>0</v>
      </c>
      <c r="AG126" s="17">
        <v>0</v>
      </c>
      <c r="AH126" s="17">
        <v>0</v>
      </c>
      <c r="AI126" s="17">
        <v>0</v>
      </c>
      <c r="AJ126" s="17">
        <v>0</v>
      </c>
      <c r="AK126" s="17">
        <v>0</v>
      </c>
      <c r="AL126" s="17">
        <v>0</v>
      </c>
      <c r="AM126" s="17">
        <v>0</v>
      </c>
      <c r="AN126" s="17">
        <v>0</v>
      </c>
      <c r="AO126" s="17">
        <v>0</v>
      </c>
      <c r="AP126" s="18">
        <f t="shared" si="1"/>
        <v>79371</v>
      </c>
    </row>
    <row r="127" spans="1:42" ht="24" customHeight="1" x14ac:dyDescent="0.2">
      <c r="A127" s="16" t="s">
        <v>542</v>
      </c>
      <c r="B127" s="16" t="s">
        <v>555</v>
      </c>
      <c r="C127" s="16" t="s">
        <v>259</v>
      </c>
      <c r="D127" s="16" t="s">
        <v>511</v>
      </c>
      <c r="E127" s="17">
        <v>10722</v>
      </c>
      <c r="F127" s="17">
        <v>4745</v>
      </c>
      <c r="G127" s="17">
        <v>0</v>
      </c>
      <c r="H127" s="17">
        <v>0</v>
      </c>
      <c r="I127" s="17">
        <v>0</v>
      </c>
      <c r="J127" s="17">
        <v>0</v>
      </c>
      <c r="K127" s="17">
        <v>0</v>
      </c>
      <c r="L127" s="17">
        <v>0</v>
      </c>
      <c r="M127" s="17">
        <v>0</v>
      </c>
      <c r="N127" s="17">
        <v>0</v>
      </c>
      <c r="O127" s="17">
        <v>0</v>
      </c>
      <c r="P127" s="17">
        <v>0</v>
      </c>
      <c r="Q127" s="17">
        <v>0</v>
      </c>
      <c r="R127" s="17">
        <v>0</v>
      </c>
      <c r="S127" s="17">
        <v>0</v>
      </c>
      <c r="T127" s="17">
        <v>0</v>
      </c>
      <c r="U127" s="17">
        <v>0</v>
      </c>
      <c r="V127" s="17">
        <v>0</v>
      </c>
      <c r="W127" s="17">
        <v>0</v>
      </c>
      <c r="X127" s="17">
        <v>0</v>
      </c>
      <c r="Y127" s="17">
        <v>0</v>
      </c>
      <c r="Z127" s="17">
        <v>0</v>
      </c>
      <c r="AA127" s="17">
        <v>0</v>
      </c>
      <c r="AB127" s="17">
        <v>0</v>
      </c>
      <c r="AC127" s="17">
        <v>0</v>
      </c>
      <c r="AD127" s="17">
        <v>0</v>
      </c>
      <c r="AE127" s="17">
        <v>0</v>
      </c>
      <c r="AF127" s="17">
        <v>0</v>
      </c>
      <c r="AG127" s="17">
        <v>0</v>
      </c>
      <c r="AH127" s="17">
        <v>0</v>
      </c>
      <c r="AI127" s="17">
        <v>0</v>
      </c>
      <c r="AJ127" s="17">
        <v>0</v>
      </c>
      <c r="AK127" s="17">
        <v>0</v>
      </c>
      <c r="AL127" s="17">
        <v>0</v>
      </c>
      <c r="AM127" s="17">
        <v>0</v>
      </c>
      <c r="AN127" s="17">
        <v>0</v>
      </c>
      <c r="AO127" s="17">
        <v>0</v>
      </c>
      <c r="AP127" s="18">
        <f t="shared" si="1"/>
        <v>15467</v>
      </c>
    </row>
    <row r="128" spans="1:42" ht="24" customHeight="1" x14ac:dyDescent="0.2">
      <c r="A128" s="16" t="s">
        <v>542</v>
      </c>
      <c r="B128" s="16" t="s">
        <v>555</v>
      </c>
      <c r="C128" s="16" t="s">
        <v>260</v>
      </c>
      <c r="D128" s="16" t="s">
        <v>511</v>
      </c>
      <c r="E128" s="17">
        <v>30687</v>
      </c>
      <c r="F128" s="17">
        <v>23838</v>
      </c>
      <c r="G128" s="17">
        <v>18579</v>
      </c>
      <c r="H128" s="17">
        <v>11168</v>
      </c>
      <c r="I128" s="17">
        <v>5802</v>
      </c>
      <c r="J128" s="17">
        <v>4501</v>
      </c>
      <c r="K128" s="17">
        <v>3501</v>
      </c>
      <c r="L128" s="17">
        <v>2726</v>
      </c>
      <c r="M128" s="17">
        <v>0</v>
      </c>
      <c r="N128" s="17">
        <v>0</v>
      </c>
      <c r="O128" s="17">
        <v>0</v>
      </c>
      <c r="P128" s="17">
        <v>0</v>
      </c>
      <c r="Q128" s="17">
        <v>0</v>
      </c>
      <c r="R128" s="17">
        <v>0</v>
      </c>
      <c r="S128" s="17">
        <v>0</v>
      </c>
      <c r="T128" s="17">
        <v>0</v>
      </c>
      <c r="U128" s="17">
        <v>0</v>
      </c>
      <c r="V128" s="17">
        <v>0</v>
      </c>
      <c r="W128" s="17">
        <v>0</v>
      </c>
      <c r="X128" s="17">
        <v>0</v>
      </c>
      <c r="Y128" s="17">
        <v>0</v>
      </c>
      <c r="Z128" s="17">
        <v>0</v>
      </c>
      <c r="AA128" s="17">
        <v>0</v>
      </c>
      <c r="AB128" s="17">
        <v>0</v>
      </c>
      <c r="AC128" s="17">
        <v>0</v>
      </c>
      <c r="AD128" s="17">
        <v>0</v>
      </c>
      <c r="AE128" s="17">
        <v>0</v>
      </c>
      <c r="AF128" s="17">
        <v>0</v>
      </c>
      <c r="AG128" s="17">
        <v>0</v>
      </c>
      <c r="AH128" s="17">
        <v>0</v>
      </c>
      <c r="AI128" s="17">
        <v>0</v>
      </c>
      <c r="AJ128" s="17">
        <v>0</v>
      </c>
      <c r="AK128" s="17">
        <v>0</v>
      </c>
      <c r="AL128" s="17">
        <v>0</v>
      </c>
      <c r="AM128" s="17">
        <v>0</v>
      </c>
      <c r="AN128" s="17">
        <v>0</v>
      </c>
      <c r="AO128" s="17">
        <v>0</v>
      </c>
      <c r="AP128" s="18">
        <f t="shared" si="1"/>
        <v>100802</v>
      </c>
    </row>
    <row r="129" spans="1:42" ht="24" customHeight="1" x14ac:dyDescent="0.2">
      <c r="A129" s="16" t="s">
        <v>542</v>
      </c>
      <c r="B129" s="16" t="s">
        <v>556</v>
      </c>
      <c r="C129" s="16" t="s">
        <v>157</v>
      </c>
      <c r="D129" s="16" t="s">
        <v>511</v>
      </c>
      <c r="E129" s="17">
        <v>65960</v>
      </c>
      <c r="F129" s="17">
        <v>30178</v>
      </c>
      <c r="G129" s="17">
        <v>16949</v>
      </c>
      <c r="H129" s="17">
        <v>0</v>
      </c>
      <c r="I129" s="17">
        <v>0</v>
      </c>
      <c r="J129" s="17">
        <v>0</v>
      </c>
      <c r="K129" s="17">
        <v>0</v>
      </c>
      <c r="L129" s="17">
        <v>0</v>
      </c>
      <c r="M129" s="17">
        <v>0</v>
      </c>
      <c r="N129" s="17">
        <v>0</v>
      </c>
      <c r="O129" s="17">
        <v>0</v>
      </c>
      <c r="P129" s="17">
        <v>0</v>
      </c>
      <c r="Q129" s="17">
        <v>0</v>
      </c>
      <c r="R129" s="17">
        <v>0</v>
      </c>
      <c r="S129" s="17">
        <v>0</v>
      </c>
      <c r="T129" s="17">
        <v>0</v>
      </c>
      <c r="U129" s="17">
        <v>0</v>
      </c>
      <c r="V129" s="17">
        <v>0</v>
      </c>
      <c r="W129" s="17">
        <v>0</v>
      </c>
      <c r="X129" s="17">
        <v>0</v>
      </c>
      <c r="Y129" s="17">
        <v>0</v>
      </c>
      <c r="Z129" s="17">
        <v>0</v>
      </c>
      <c r="AA129" s="17">
        <v>0</v>
      </c>
      <c r="AB129" s="17">
        <v>0</v>
      </c>
      <c r="AC129" s="17">
        <v>0</v>
      </c>
      <c r="AD129" s="17">
        <v>0</v>
      </c>
      <c r="AE129" s="17">
        <v>0</v>
      </c>
      <c r="AF129" s="17">
        <v>0</v>
      </c>
      <c r="AG129" s="17">
        <v>0</v>
      </c>
      <c r="AH129" s="17">
        <v>0</v>
      </c>
      <c r="AI129" s="17">
        <v>0</v>
      </c>
      <c r="AJ129" s="17">
        <v>0</v>
      </c>
      <c r="AK129" s="17">
        <v>0</v>
      </c>
      <c r="AL129" s="17">
        <v>0</v>
      </c>
      <c r="AM129" s="17">
        <v>0</v>
      </c>
      <c r="AN129" s="17">
        <v>0</v>
      </c>
      <c r="AO129" s="17">
        <v>0</v>
      </c>
      <c r="AP129" s="18">
        <f t="shared" si="1"/>
        <v>113087</v>
      </c>
    </row>
    <row r="130" spans="1:42" ht="24" customHeight="1" x14ac:dyDescent="0.2">
      <c r="A130" s="16" t="s">
        <v>542</v>
      </c>
      <c r="B130" s="16" t="s">
        <v>557</v>
      </c>
      <c r="C130" s="16" t="s">
        <v>306</v>
      </c>
      <c r="D130" s="16" t="s">
        <v>511</v>
      </c>
      <c r="E130" s="17">
        <v>185787</v>
      </c>
      <c r="F130" s="17">
        <v>155674</v>
      </c>
      <c r="G130" s="17">
        <v>131509</v>
      </c>
      <c r="H130" s="17">
        <v>111613</v>
      </c>
      <c r="I130" s="17">
        <v>95352</v>
      </c>
      <c r="J130" s="17">
        <v>81308</v>
      </c>
      <c r="K130" s="17">
        <v>69761</v>
      </c>
      <c r="L130" s="17">
        <v>59556</v>
      </c>
      <c r="M130" s="17">
        <v>50526</v>
      </c>
      <c r="N130" s="17">
        <v>43777</v>
      </c>
      <c r="O130" s="17">
        <v>37042</v>
      </c>
      <c r="P130" s="17">
        <v>31045</v>
      </c>
      <c r="Q130" s="17">
        <v>0</v>
      </c>
      <c r="R130" s="17">
        <v>0</v>
      </c>
      <c r="S130" s="17">
        <v>0</v>
      </c>
      <c r="T130" s="17">
        <v>0</v>
      </c>
      <c r="U130" s="17">
        <v>0</v>
      </c>
      <c r="V130" s="17">
        <v>0</v>
      </c>
      <c r="W130" s="17">
        <v>0</v>
      </c>
      <c r="X130" s="17">
        <v>0</v>
      </c>
      <c r="Y130" s="17">
        <v>0</v>
      </c>
      <c r="Z130" s="17">
        <v>0</v>
      </c>
      <c r="AA130" s="17">
        <v>0</v>
      </c>
      <c r="AB130" s="17">
        <v>0</v>
      </c>
      <c r="AC130" s="17">
        <v>0</v>
      </c>
      <c r="AD130" s="17">
        <v>0</v>
      </c>
      <c r="AE130" s="17">
        <v>0</v>
      </c>
      <c r="AF130" s="17">
        <v>0</v>
      </c>
      <c r="AG130" s="17">
        <v>0</v>
      </c>
      <c r="AH130" s="17">
        <v>0</v>
      </c>
      <c r="AI130" s="17">
        <v>0</v>
      </c>
      <c r="AJ130" s="17">
        <v>0</v>
      </c>
      <c r="AK130" s="17">
        <v>0</v>
      </c>
      <c r="AL130" s="17">
        <v>0</v>
      </c>
      <c r="AM130" s="17">
        <v>0</v>
      </c>
      <c r="AN130" s="17">
        <v>0</v>
      </c>
      <c r="AO130" s="17">
        <v>0</v>
      </c>
      <c r="AP130" s="18">
        <f t="shared" ref="AP130:AP193" si="2">SUM(E130:AO130)</f>
        <v>1052950</v>
      </c>
    </row>
    <row r="131" spans="1:42" ht="24" customHeight="1" x14ac:dyDescent="0.2">
      <c r="A131" s="16" t="s">
        <v>542</v>
      </c>
      <c r="B131" s="16" t="s">
        <v>557</v>
      </c>
      <c r="C131" s="16" t="s">
        <v>354</v>
      </c>
      <c r="D131" s="16" t="s">
        <v>511</v>
      </c>
      <c r="E131" s="17">
        <v>91205</v>
      </c>
      <c r="F131" s="17">
        <v>69994</v>
      </c>
      <c r="G131" s="17">
        <v>53178</v>
      </c>
      <c r="H131" s="17">
        <v>41678</v>
      </c>
      <c r="I131" s="17">
        <v>31458</v>
      </c>
      <c r="J131" s="17">
        <v>24728</v>
      </c>
      <c r="K131" s="17">
        <v>19569</v>
      </c>
      <c r="L131" s="17">
        <v>15497</v>
      </c>
      <c r="M131" s="17">
        <v>12307</v>
      </c>
      <c r="N131" s="17">
        <v>0</v>
      </c>
      <c r="O131" s="17">
        <v>0</v>
      </c>
      <c r="P131" s="17">
        <v>0</v>
      </c>
      <c r="Q131" s="17">
        <v>0</v>
      </c>
      <c r="R131" s="17">
        <v>0</v>
      </c>
      <c r="S131" s="17">
        <v>0</v>
      </c>
      <c r="T131" s="17">
        <v>0</v>
      </c>
      <c r="U131" s="17">
        <v>0</v>
      </c>
      <c r="V131" s="17">
        <v>0</v>
      </c>
      <c r="W131" s="17">
        <v>0</v>
      </c>
      <c r="X131" s="17">
        <v>0</v>
      </c>
      <c r="Y131" s="17">
        <v>0</v>
      </c>
      <c r="Z131" s="17">
        <v>0</v>
      </c>
      <c r="AA131" s="17">
        <v>0</v>
      </c>
      <c r="AB131" s="17">
        <v>0</v>
      </c>
      <c r="AC131" s="17">
        <v>0</v>
      </c>
      <c r="AD131" s="17">
        <v>0</v>
      </c>
      <c r="AE131" s="17">
        <v>0</v>
      </c>
      <c r="AF131" s="17">
        <v>0</v>
      </c>
      <c r="AG131" s="17">
        <v>0</v>
      </c>
      <c r="AH131" s="17">
        <v>0</v>
      </c>
      <c r="AI131" s="17">
        <v>0</v>
      </c>
      <c r="AJ131" s="17">
        <v>0</v>
      </c>
      <c r="AK131" s="17">
        <v>0</v>
      </c>
      <c r="AL131" s="17">
        <v>0</v>
      </c>
      <c r="AM131" s="17">
        <v>0</v>
      </c>
      <c r="AN131" s="17">
        <v>0</v>
      </c>
      <c r="AO131" s="17">
        <v>0</v>
      </c>
      <c r="AP131" s="18">
        <f t="shared" si="2"/>
        <v>359614</v>
      </c>
    </row>
    <row r="132" spans="1:42" ht="24" customHeight="1" x14ac:dyDescent="0.2">
      <c r="A132" s="16" t="s">
        <v>542</v>
      </c>
      <c r="B132" s="16" t="s">
        <v>557</v>
      </c>
      <c r="C132" s="16" t="s">
        <v>432</v>
      </c>
      <c r="D132" s="16" t="s">
        <v>511</v>
      </c>
      <c r="E132" s="17">
        <v>99212</v>
      </c>
      <c r="F132" s="17">
        <v>93612</v>
      </c>
      <c r="G132" s="17">
        <v>91509</v>
      </c>
      <c r="H132" s="17">
        <v>72226</v>
      </c>
      <c r="I132" s="17">
        <v>56358</v>
      </c>
      <c r="J132" s="17">
        <v>43825</v>
      </c>
      <c r="K132" s="17">
        <v>34258</v>
      </c>
      <c r="L132" s="17">
        <v>25539</v>
      </c>
      <c r="M132" s="17">
        <v>0</v>
      </c>
      <c r="N132" s="17">
        <v>0</v>
      </c>
      <c r="O132" s="17">
        <v>0</v>
      </c>
      <c r="P132" s="17">
        <v>0</v>
      </c>
      <c r="Q132" s="17">
        <v>0</v>
      </c>
      <c r="R132" s="17">
        <v>0</v>
      </c>
      <c r="S132" s="17">
        <v>0</v>
      </c>
      <c r="T132" s="17">
        <v>0</v>
      </c>
      <c r="U132" s="17">
        <v>0</v>
      </c>
      <c r="V132" s="17">
        <v>0</v>
      </c>
      <c r="W132" s="17">
        <v>0</v>
      </c>
      <c r="X132" s="17">
        <v>0</v>
      </c>
      <c r="Y132" s="17">
        <v>0</v>
      </c>
      <c r="Z132" s="17">
        <v>0</v>
      </c>
      <c r="AA132" s="17">
        <v>0</v>
      </c>
      <c r="AB132" s="17">
        <v>0</v>
      </c>
      <c r="AC132" s="17">
        <v>0</v>
      </c>
      <c r="AD132" s="17">
        <v>0</v>
      </c>
      <c r="AE132" s="17">
        <v>0</v>
      </c>
      <c r="AF132" s="17">
        <v>0</v>
      </c>
      <c r="AG132" s="17">
        <v>0</v>
      </c>
      <c r="AH132" s="17">
        <v>0</v>
      </c>
      <c r="AI132" s="17">
        <v>0</v>
      </c>
      <c r="AJ132" s="17">
        <v>0</v>
      </c>
      <c r="AK132" s="17">
        <v>0</v>
      </c>
      <c r="AL132" s="17">
        <v>0</v>
      </c>
      <c r="AM132" s="17">
        <v>0</v>
      </c>
      <c r="AN132" s="17">
        <v>0</v>
      </c>
      <c r="AO132" s="17">
        <v>0</v>
      </c>
      <c r="AP132" s="18">
        <f t="shared" si="2"/>
        <v>516539</v>
      </c>
    </row>
    <row r="133" spans="1:42" ht="24" customHeight="1" x14ac:dyDescent="0.2">
      <c r="A133" s="16" t="s">
        <v>542</v>
      </c>
      <c r="B133" s="16" t="s">
        <v>558</v>
      </c>
      <c r="C133" s="16" t="s">
        <v>180</v>
      </c>
      <c r="D133" s="16" t="s">
        <v>511</v>
      </c>
      <c r="E133" s="17">
        <v>28585</v>
      </c>
      <c r="F133" s="17">
        <v>22027</v>
      </c>
      <c r="G133" s="17">
        <v>17026</v>
      </c>
      <c r="H133" s="17">
        <v>13160</v>
      </c>
      <c r="I133" s="17">
        <v>10197</v>
      </c>
      <c r="J133" s="17">
        <v>0</v>
      </c>
      <c r="K133" s="17">
        <v>0</v>
      </c>
      <c r="L133" s="17">
        <v>0</v>
      </c>
      <c r="M133" s="17">
        <v>0</v>
      </c>
      <c r="N133" s="17">
        <v>0</v>
      </c>
      <c r="O133" s="17">
        <v>0</v>
      </c>
      <c r="P133" s="17">
        <v>0</v>
      </c>
      <c r="Q133" s="17">
        <v>0</v>
      </c>
      <c r="R133" s="17">
        <v>0</v>
      </c>
      <c r="S133" s="17">
        <v>0</v>
      </c>
      <c r="T133" s="17">
        <v>0</v>
      </c>
      <c r="U133" s="17">
        <v>0</v>
      </c>
      <c r="V133" s="17">
        <v>0</v>
      </c>
      <c r="W133" s="17">
        <v>0</v>
      </c>
      <c r="X133" s="17">
        <v>0</v>
      </c>
      <c r="Y133" s="17">
        <v>0</v>
      </c>
      <c r="Z133" s="17">
        <v>0</v>
      </c>
      <c r="AA133" s="17">
        <v>0</v>
      </c>
      <c r="AB133" s="17">
        <v>0</v>
      </c>
      <c r="AC133" s="17">
        <v>0</v>
      </c>
      <c r="AD133" s="17">
        <v>0</v>
      </c>
      <c r="AE133" s="17">
        <v>0</v>
      </c>
      <c r="AF133" s="17">
        <v>0</v>
      </c>
      <c r="AG133" s="17">
        <v>0</v>
      </c>
      <c r="AH133" s="17">
        <v>0</v>
      </c>
      <c r="AI133" s="17">
        <v>0</v>
      </c>
      <c r="AJ133" s="17">
        <v>0</v>
      </c>
      <c r="AK133" s="17">
        <v>0</v>
      </c>
      <c r="AL133" s="17">
        <v>0</v>
      </c>
      <c r="AM133" s="17">
        <v>0</v>
      </c>
      <c r="AN133" s="17">
        <v>0</v>
      </c>
      <c r="AO133" s="17">
        <v>0</v>
      </c>
      <c r="AP133" s="18">
        <f t="shared" si="2"/>
        <v>90995</v>
      </c>
    </row>
    <row r="134" spans="1:42" ht="24" customHeight="1" x14ac:dyDescent="0.2">
      <c r="A134" s="16" t="s">
        <v>542</v>
      </c>
      <c r="B134" s="16" t="s">
        <v>558</v>
      </c>
      <c r="C134" s="16" t="s">
        <v>200</v>
      </c>
      <c r="D134" s="16" t="s">
        <v>511</v>
      </c>
      <c r="E134" s="17">
        <v>42155</v>
      </c>
      <c r="F134" s="17">
        <v>33921</v>
      </c>
      <c r="G134" s="17">
        <v>27378</v>
      </c>
      <c r="H134" s="17">
        <v>22096</v>
      </c>
      <c r="I134" s="17">
        <v>17880</v>
      </c>
      <c r="J134" s="17">
        <v>14386</v>
      </c>
      <c r="K134" s="17">
        <v>0</v>
      </c>
      <c r="L134" s="17">
        <v>0</v>
      </c>
      <c r="M134" s="17">
        <v>0</v>
      </c>
      <c r="N134" s="17">
        <v>0</v>
      </c>
      <c r="O134" s="17">
        <v>0</v>
      </c>
      <c r="P134" s="17">
        <v>0</v>
      </c>
      <c r="Q134" s="17">
        <v>0</v>
      </c>
      <c r="R134" s="17">
        <v>0</v>
      </c>
      <c r="S134" s="17">
        <v>0</v>
      </c>
      <c r="T134" s="17">
        <v>0</v>
      </c>
      <c r="U134" s="17">
        <v>0</v>
      </c>
      <c r="V134" s="17">
        <v>0</v>
      </c>
      <c r="W134" s="17">
        <v>0</v>
      </c>
      <c r="X134" s="17">
        <v>0</v>
      </c>
      <c r="Y134" s="17">
        <v>0</v>
      </c>
      <c r="Z134" s="17">
        <v>0</v>
      </c>
      <c r="AA134" s="17">
        <v>0</v>
      </c>
      <c r="AB134" s="17">
        <v>0</v>
      </c>
      <c r="AC134" s="17">
        <v>0</v>
      </c>
      <c r="AD134" s="17">
        <v>0</v>
      </c>
      <c r="AE134" s="17">
        <v>0</v>
      </c>
      <c r="AF134" s="17">
        <v>0</v>
      </c>
      <c r="AG134" s="17">
        <v>0</v>
      </c>
      <c r="AH134" s="17">
        <v>0</v>
      </c>
      <c r="AI134" s="17">
        <v>0</v>
      </c>
      <c r="AJ134" s="17">
        <v>0</v>
      </c>
      <c r="AK134" s="17">
        <v>0</v>
      </c>
      <c r="AL134" s="17">
        <v>0</v>
      </c>
      <c r="AM134" s="17">
        <v>0</v>
      </c>
      <c r="AN134" s="17">
        <v>0</v>
      </c>
      <c r="AO134" s="17">
        <v>0</v>
      </c>
      <c r="AP134" s="18">
        <f t="shared" si="2"/>
        <v>157816</v>
      </c>
    </row>
    <row r="135" spans="1:42" ht="24" customHeight="1" x14ac:dyDescent="0.2">
      <c r="A135" s="16" t="s">
        <v>542</v>
      </c>
      <c r="B135" s="16" t="s">
        <v>558</v>
      </c>
      <c r="C135" s="16" t="s">
        <v>206</v>
      </c>
      <c r="D135" s="16" t="s">
        <v>511</v>
      </c>
      <c r="E135" s="17">
        <v>30250</v>
      </c>
      <c r="F135" s="17">
        <v>24271</v>
      </c>
      <c r="G135" s="17">
        <v>19532</v>
      </c>
      <c r="H135" s="17">
        <v>15718</v>
      </c>
      <c r="I135" s="17">
        <v>12679</v>
      </c>
      <c r="J135" s="17">
        <v>0</v>
      </c>
      <c r="K135" s="17">
        <v>0</v>
      </c>
      <c r="L135" s="17">
        <v>0</v>
      </c>
      <c r="M135" s="17">
        <v>0</v>
      </c>
      <c r="N135" s="17">
        <v>0</v>
      </c>
      <c r="O135" s="17">
        <v>0</v>
      </c>
      <c r="P135" s="17">
        <v>0</v>
      </c>
      <c r="Q135" s="17">
        <v>0</v>
      </c>
      <c r="R135" s="17">
        <v>0</v>
      </c>
      <c r="S135" s="17">
        <v>0</v>
      </c>
      <c r="T135" s="17">
        <v>0</v>
      </c>
      <c r="U135" s="17">
        <v>0</v>
      </c>
      <c r="V135" s="17">
        <v>0</v>
      </c>
      <c r="W135" s="17">
        <v>0</v>
      </c>
      <c r="X135" s="17">
        <v>0</v>
      </c>
      <c r="Y135" s="17">
        <v>0</v>
      </c>
      <c r="Z135" s="17">
        <v>0</v>
      </c>
      <c r="AA135" s="17">
        <v>0</v>
      </c>
      <c r="AB135" s="17">
        <v>0</v>
      </c>
      <c r="AC135" s="17">
        <v>0</v>
      </c>
      <c r="AD135" s="17">
        <v>0</v>
      </c>
      <c r="AE135" s="17">
        <v>0</v>
      </c>
      <c r="AF135" s="17">
        <v>0</v>
      </c>
      <c r="AG135" s="17">
        <v>0</v>
      </c>
      <c r="AH135" s="17">
        <v>0</v>
      </c>
      <c r="AI135" s="17">
        <v>0</v>
      </c>
      <c r="AJ135" s="17">
        <v>0</v>
      </c>
      <c r="AK135" s="17">
        <v>0</v>
      </c>
      <c r="AL135" s="17">
        <v>0</v>
      </c>
      <c r="AM135" s="17">
        <v>0</v>
      </c>
      <c r="AN135" s="17">
        <v>0</v>
      </c>
      <c r="AO135" s="17">
        <v>0</v>
      </c>
      <c r="AP135" s="18">
        <f t="shared" si="2"/>
        <v>102450</v>
      </c>
    </row>
    <row r="136" spans="1:42" ht="24" customHeight="1" x14ac:dyDescent="0.2">
      <c r="A136" s="16" t="s">
        <v>542</v>
      </c>
      <c r="B136" s="16" t="s">
        <v>558</v>
      </c>
      <c r="C136" s="16" t="s">
        <v>207</v>
      </c>
      <c r="D136" s="16" t="s">
        <v>511</v>
      </c>
      <c r="E136" s="17">
        <v>16496</v>
      </c>
      <c r="F136" s="17">
        <v>12544</v>
      </c>
      <c r="G136" s="17">
        <v>0</v>
      </c>
      <c r="H136" s="17">
        <v>0</v>
      </c>
      <c r="I136" s="17">
        <v>0</v>
      </c>
      <c r="J136" s="17">
        <v>0</v>
      </c>
      <c r="K136" s="17">
        <v>0</v>
      </c>
      <c r="L136" s="17">
        <v>0</v>
      </c>
      <c r="M136" s="17">
        <v>0</v>
      </c>
      <c r="N136" s="17">
        <v>0</v>
      </c>
      <c r="O136" s="17">
        <v>0</v>
      </c>
      <c r="P136" s="17">
        <v>0</v>
      </c>
      <c r="Q136" s="17">
        <v>0</v>
      </c>
      <c r="R136" s="17">
        <v>0</v>
      </c>
      <c r="S136" s="17">
        <v>0</v>
      </c>
      <c r="T136" s="17">
        <v>0</v>
      </c>
      <c r="U136" s="17">
        <v>0</v>
      </c>
      <c r="V136" s="17">
        <v>0</v>
      </c>
      <c r="W136" s="17">
        <v>0</v>
      </c>
      <c r="X136" s="17">
        <v>0</v>
      </c>
      <c r="Y136" s="17">
        <v>0</v>
      </c>
      <c r="Z136" s="17">
        <v>0</v>
      </c>
      <c r="AA136" s="17">
        <v>0</v>
      </c>
      <c r="AB136" s="17">
        <v>0</v>
      </c>
      <c r="AC136" s="17">
        <v>0</v>
      </c>
      <c r="AD136" s="17">
        <v>0</v>
      </c>
      <c r="AE136" s="17">
        <v>0</v>
      </c>
      <c r="AF136" s="17">
        <v>0</v>
      </c>
      <c r="AG136" s="17">
        <v>0</v>
      </c>
      <c r="AH136" s="17">
        <v>0</v>
      </c>
      <c r="AI136" s="17">
        <v>0</v>
      </c>
      <c r="AJ136" s="17">
        <v>0</v>
      </c>
      <c r="AK136" s="17">
        <v>0</v>
      </c>
      <c r="AL136" s="17">
        <v>0</v>
      </c>
      <c r="AM136" s="17">
        <v>0</v>
      </c>
      <c r="AN136" s="17">
        <v>0</v>
      </c>
      <c r="AO136" s="17">
        <v>0</v>
      </c>
      <c r="AP136" s="18">
        <f t="shared" si="2"/>
        <v>29040</v>
      </c>
    </row>
    <row r="137" spans="1:42" ht="24" customHeight="1" x14ac:dyDescent="0.2">
      <c r="A137" s="16" t="s">
        <v>542</v>
      </c>
      <c r="B137" s="16" t="s">
        <v>558</v>
      </c>
      <c r="C137" s="16" t="s">
        <v>208</v>
      </c>
      <c r="D137" s="16" t="s">
        <v>511</v>
      </c>
      <c r="E137" s="17">
        <v>53635</v>
      </c>
      <c r="F137" s="17">
        <v>40606</v>
      </c>
      <c r="G137" s="17">
        <v>30843</v>
      </c>
      <c r="H137" s="17">
        <v>22322</v>
      </c>
      <c r="I137" s="17">
        <v>13990</v>
      </c>
      <c r="J137" s="17">
        <v>0</v>
      </c>
      <c r="K137" s="17">
        <v>0</v>
      </c>
      <c r="L137" s="17">
        <v>0</v>
      </c>
      <c r="M137" s="17">
        <v>0</v>
      </c>
      <c r="N137" s="17">
        <v>0</v>
      </c>
      <c r="O137" s="17">
        <v>0</v>
      </c>
      <c r="P137" s="17">
        <v>0</v>
      </c>
      <c r="Q137" s="17">
        <v>0</v>
      </c>
      <c r="R137" s="17">
        <v>0</v>
      </c>
      <c r="S137" s="17">
        <v>0</v>
      </c>
      <c r="T137" s="17">
        <v>0</v>
      </c>
      <c r="U137" s="17">
        <v>0</v>
      </c>
      <c r="V137" s="17">
        <v>0</v>
      </c>
      <c r="W137" s="17">
        <v>0</v>
      </c>
      <c r="X137" s="17">
        <v>0</v>
      </c>
      <c r="Y137" s="17">
        <v>0</v>
      </c>
      <c r="Z137" s="17">
        <v>0</v>
      </c>
      <c r="AA137" s="17">
        <v>0</v>
      </c>
      <c r="AB137" s="17">
        <v>0</v>
      </c>
      <c r="AC137" s="17">
        <v>0</v>
      </c>
      <c r="AD137" s="17">
        <v>0</v>
      </c>
      <c r="AE137" s="17">
        <v>0</v>
      </c>
      <c r="AF137" s="17">
        <v>0</v>
      </c>
      <c r="AG137" s="17">
        <v>0</v>
      </c>
      <c r="AH137" s="17">
        <v>0</v>
      </c>
      <c r="AI137" s="17">
        <v>0</v>
      </c>
      <c r="AJ137" s="17">
        <v>0</v>
      </c>
      <c r="AK137" s="17">
        <v>0</v>
      </c>
      <c r="AL137" s="17">
        <v>0</v>
      </c>
      <c r="AM137" s="17">
        <v>0</v>
      </c>
      <c r="AN137" s="17">
        <v>0</v>
      </c>
      <c r="AO137" s="17">
        <v>0</v>
      </c>
      <c r="AP137" s="18">
        <f t="shared" si="2"/>
        <v>161396</v>
      </c>
    </row>
    <row r="138" spans="1:42" ht="24" customHeight="1" x14ac:dyDescent="0.2">
      <c r="A138" s="16" t="s">
        <v>542</v>
      </c>
      <c r="B138" s="16" t="s">
        <v>558</v>
      </c>
      <c r="C138" s="16" t="s">
        <v>209</v>
      </c>
      <c r="D138" s="16" t="s">
        <v>511</v>
      </c>
      <c r="E138" s="17">
        <v>28437</v>
      </c>
      <c r="F138" s="17">
        <v>23253</v>
      </c>
      <c r="G138" s="17">
        <v>19070</v>
      </c>
      <c r="H138" s="17">
        <v>0</v>
      </c>
      <c r="I138" s="17">
        <v>0</v>
      </c>
      <c r="J138" s="17">
        <v>0</v>
      </c>
      <c r="K138" s="17">
        <v>0</v>
      </c>
      <c r="L138" s="17">
        <v>0</v>
      </c>
      <c r="M138" s="17">
        <v>0</v>
      </c>
      <c r="N138" s="17">
        <v>0</v>
      </c>
      <c r="O138" s="17">
        <v>0</v>
      </c>
      <c r="P138" s="17">
        <v>0</v>
      </c>
      <c r="Q138" s="17">
        <v>0</v>
      </c>
      <c r="R138" s="17">
        <v>0</v>
      </c>
      <c r="S138" s="17">
        <v>0</v>
      </c>
      <c r="T138" s="17">
        <v>0</v>
      </c>
      <c r="U138" s="17">
        <v>0</v>
      </c>
      <c r="V138" s="17">
        <v>0</v>
      </c>
      <c r="W138" s="17">
        <v>0</v>
      </c>
      <c r="X138" s="17">
        <v>0</v>
      </c>
      <c r="Y138" s="17">
        <v>0</v>
      </c>
      <c r="Z138" s="17">
        <v>0</v>
      </c>
      <c r="AA138" s="17">
        <v>0</v>
      </c>
      <c r="AB138" s="17">
        <v>0</v>
      </c>
      <c r="AC138" s="17">
        <v>0</v>
      </c>
      <c r="AD138" s="17">
        <v>0</v>
      </c>
      <c r="AE138" s="17">
        <v>0</v>
      </c>
      <c r="AF138" s="17">
        <v>0</v>
      </c>
      <c r="AG138" s="17">
        <v>0</v>
      </c>
      <c r="AH138" s="17">
        <v>0</v>
      </c>
      <c r="AI138" s="17">
        <v>0</v>
      </c>
      <c r="AJ138" s="17">
        <v>0</v>
      </c>
      <c r="AK138" s="17">
        <v>0</v>
      </c>
      <c r="AL138" s="17">
        <v>0</v>
      </c>
      <c r="AM138" s="17">
        <v>0</v>
      </c>
      <c r="AN138" s="17">
        <v>0</v>
      </c>
      <c r="AO138" s="17">
        <v>0</v>
      </c>
      <c r="AP138" s="18">
        <f t="shared" si="2"/>
        <v>70760</v>
      </c>
    </row>
    <row r="139" spans="1:42" ht="24" customHeight="1" x14ac:dyDescent="0.2">
      <c r="A139" s="16" t="s">
        <v>542</v>
      </c>
      <c r="B139" s="16" t="s">
        <v>559</v>
      </c>
      <c r="C139" s="16" t="s">
        <v>258</v>
      </c>
      <c r="D139" s="16" t="s">
        <v>511</v>
      </c>
      <c r="E139" s="17">
        <v>2482712</v>
      </c>
      <c r="F139" s="17">
        <v>3248373</v>
      </c>
      <c r="G139" s="17">
        <v>3882910</v>
      </c>
      <c r="H139" s="17">
        <v>3983534</v>
      </c>
      <c r="I139" s="17">
        <v>3518032</v>
      </c>
      <c r="J139" s="17">
        <v>2906423</v>
      </c>
      <c r="K139" s="17">
        <v>2116893</v>
      </c>
      <c r="L139" s="17">
        <v>1530955</v>
      </c>
      <c r="M139" s="17">
        <v>1159298</v>
      </c>
      <c r="N139" s="17">
        <v>826185</v>
      </c>
      <c r="O139" s="17">
        <v>587796</v>
      </c>
      <c r="P139" s="17">
        <v>397913</v>
      </c>
      <c r="Q139" s="17">
        <v>249564</v>
      </c>
      <c r="R139" s="17">
        <v>0</v>
      </c>
      <c r="S139" s="17">
        <v>0</v>
      </c>
      <c r="T139" s="17">
        <v>0</v>
      </c>
      <c r="U139" s="17">
        <v>0</v>
      </c>
      <c r="V139" s="17">
        <v>0</v>
      </c>
      <c r="W139" s="17">
        <v>0</v>
      </c>
      <c r="X139" s="17">
        <v>0</v>
      </c>
      <c r="Y139" s="17">
        <v>0</v>
      </c>
      <c r="Z139" s="17">
        <v>0</v>
      </c>
      <c r="AA139" s="17">
        <v>0</v>
      </c>
      <c r="AB139" s="17">
        <v>0</v>
      </c>
      <c r="AC139" s="17">
        <v>0</v>
      </c>
      <c r="AD139" s="17">
        <v>0</v>
      </c>
      <c r="AE139" s="17">
        <v>0</v>
      </c>
      <c r="AF139" s="17">
        <v>0</v>
      </c>
      <c r="AG139" s="17">
        <v>0</v>
      </c>
      <c r="AH139" s="17">
        <v>0</v>
      </c>
      <c r="AI139" s="17">
        <v>0</v>
      </c>
      <c r="AJ139" s="17">
        <v>0</v>
      </c>
      <c r="AK139" s="17">
        <v>0</v>
      </c>
      <c r="AL139" s="17">
        <v>0</v>
      </c>
      <c r="AM139" s="17">
        <v>0</v>
      </c>
      <c r="AN139" s="17">
        <v>0</v>
      </c>
      <c r="AO139" s="17">
        <v>0</v>
      </c>
      <c r="AP139" s="18">
        <f t="shared" si="2"/>
        <v>26890588</v>
      </c>
    </row>
    <row r="140" spans="1:42" ht="24" customHeight="1" x14ac:dyDescent="0.2">
      <c r="A140" s="16" t="s">
        <v>542</v>
      </c>
      <c r="B140" s="16" t="s">
        <v>560</v>
      </c>
      <c r="C140" s="16" t="s">
        <v>142</v>
      </c>
      <c r="D140" s="16" t="s">
        <v>511</v>
      </c>
      <c r="E140" s="17">
        <v>70369</v>
      </c>
      <c r="F140" s="17">
        <v>50330</v>
      </c>
      <c r="G140" s="17">
        <v>36153</v>
      </c>
      <c r="H140" s="17">
        <v>25786</v>
      </c>
      <c r="I140" s="17">
        <v>0</v>
      </c>
      <c r="J140" s="17">
        <v>0</v>
      </c>
      <c r="K140" s="17">
        <v>0</v>
      </c>
      <c r="L140" s="17">
        <v>0</v>
      </c>
      <c r="M140" s="17">
        <v>0</v>
      </c>
      <c r="N140" s="17">
        <v>0</v>
      </c>
      <c r="O140" s="17">
        <v>0</v>
      </c>
      <c r="P140" s="17">
        <v>0</v>
      </c>
      <c r="Q140" s="17">
        <v>0</v>
      </c>
      <c r="R140" s="17">
        <v>0</v>
      </c>
      <c r="S140" s="17">
        <v>0</v>
      </c>
      <c r="T140" s="17">
        <v>0</v>
      </c>
      <c r="U140" s="17">
        <v>0</v>
      </c>
      <c r="V140" s="17">
        <v>0</v>
      </c>
      <c r="W140" s="17">
        <v>0</v>
      </c>
      <c r="X140" s="17">
        <v>0</v>
      </c>
      <c r="Y140" s="17">
        <v>0</v>
      </c>
      <c r="Z140" s="17">
        <v>0</v>
      </c>
      <c r="AA140" s="17">
        <v>0</v>
      </c>
      <c r="AB140" s="17">
        <v>0</v>
      </c>
      <c r="AC140" s="17">
        <v>0</v>
      </c>
      <c r="AD140" s="17">
        <v>0</v>
      </c>
      <c r="AE140" s="17">
        <v>0</v>
      </c>
      <c r="AF140" s="17">
        <v>0</v>
      </c>
      <c r="AG140" s="17">
        <v>0</v>
      </c>
      <c r="AH140" s="17">
        <v>0</v>
      </c>
      <c r="AI140" s="17">
        <v>0</v>
      </c>
      <c r="AJ140" s="17">
        <v>0</v>
      </c>
      <c r="AK140" s="17">
        <v>0</v>
      </c>
      <c r="AL140" s="17">
        <v>0</v>
      </c>
      <c r="AM140" s="17">
        <v>0</v>
      </c>
      <c r="AN140" s="17">
        <v>0</v>
      </c>
      <c r="AO140" s="17">
        <v>0</v>
      </c>
      <c r="AP140" s="18">
        <f t="shared" si="2"/>
        <v>182638</v>
      </c>
    </row>
    <row r="141" spans="1:42" ht="24" customHeight="1" x14ac:dyDescent="0.2">
      <c r="A141" s="16" t="s">
        <v>542</v>
      </c>
      <c r="B141" s="16" t="s">
        <v>560</v>
      </c>
      <c r="C141" s="16" t="s">
        <v>177</v>
      </c>
      <c r="D141" s="16" t="s">
        <v>511</v>
      </c>
      <c r="E141" s="17">
        <v>98667</v>
      </c>
      <c r="F141" s="17">
        <v>77442</v>
      </c>
      <c r="G141" s="17">
        <v>61643</v>
      </c>
      <c r="H141" s="17">
        <v>43842</v>
      </c>
      <c r="I141" s="17">
        <v>32474</v>
      </c>
      <c r="J141" s="17">
        <v>23935</v>
      </c>
      <c r="K141" s="17">
        <v>0</v>
      </c>
      <c r="L141" s="17">
        <v>0</v>
      </c>
      <c r="M141" s="17">
        <v>0</v>
      </c>
      <c r="N141" s="17">
        <v>0</v>
      </c>
      <c r="O141" s="17">
        <v>0</v>
      </c>
      <c r="P141" s="17">
        <v>0</v>
      </c>
      <c r="Q141" s="17">
        <v>0</v>
      </c>
      <c r="R141" s="17">
        <v>0</v>
      </c>
      <c r="S141" s="17">
        <v>0</v>
      </c>
      <c r="T141" s="17">
        <v>0</v>
      </c>
      <c r="U141" s="17">
        <v>0</v>
      </c>
      <c r="V141" s="17">
        <v>0</v>
      </c>
      <c r="W141" s="17">
        <v>0</v>
      </c>
      <c r="X141" s="17">
        <v>0</v>
      </c>
      <c r="Y141" s="17">
        <v>0</v>
      </c>
      <c r="Z141" s="17">
        <v>0</v>
      </c>
      <c r="AA141" s="17">
        <v>0</v>
      </c>
      <c r="AB141" s="17">
        <v>0</v>
      </c>
      <c r="AC141" s="17">
        <v>0</v>
      </c>
      <c r="AD141" s="17">
        <v>0</v>
      </c>
      <c r="AE141" s="17">
        <v>0</v>
      </c>
      <c r="AF141" s="17">
        <v>0</v>
      </c>
      <c r="AG141" s="17">
        <v>0</v>
      </c>
      <c r="AH141" s="17">
        <v>0</v>
      </c>
      <c r="AI141" s="17">
        <v>0</v>
      </c>
      <c r="AJ141" s="17">
        <v>0</v>
      </c>
      <c r="AK141" s="17">
        <v>0</v>
      </c>
      <c r="AL141" s="17">
        <v>0</v>
      </c>
      <c r="AM141" s="17">
        <v>0</v>
      </c>
      <c r="AN141" s="17">
        <v>0</v>
      </c>
      <c r="AO141" s="17">
        <v>0</v>
      </c>
      <c r="AP141" s="18">
        <f t="shared" si="2"/>
        <v>338003</v>
      </c>
    </row>
    <row r="142" spans="1:42" ht="24" customHeight="1" x14ac:dyDescent="0.2">
      <c r="A142" s="16" t="s">
        <v>542</v>
      </c>
      <c r="B142" s="16" t="s">
        <v>560</v>
      </c>
      <c r="C142" s="16" t="s">
        <v>311</v>
      </c>
      <c r="D142" s="16" t="s">
        <v>511</v>
      </c>
      <c r="E142" s="17">
        <v>11701</v>
      </c>
      <c r="F142" s="17">
        <v>7585</v>
      </c>
      <c r="G142" s="17">
        <v>4930</v>
      </c>
      <c r="H142" s="17">
        <v>3206</v>
      </c>
      <c r="I142" s="17">
        <v>2088</v>
      </c>
      <c r="J142" s="17">
        <v>0</v>
      </c>
      <c r="K142" s="17">
        <v>0</v>
      </c>
      <c r="L142" s="17">
        <v>0</v>
      </c>
      <c r="M142" s="17">
        <v>0</v>
      </c>
      <c r="N142" s="17">
        <v>0</v>
      </c>
      <c r="O142" s="17">
        <v>0</v>
      </c>
      <c r="P142" s="17">
        <v>0</v>
      </c>
      <c r="Q142" s="17">
        <v>0</v>
      </c>
      <c r="R142" s="17">
        <v>0</v>
      </c>
      <c r="S142" s="17">
        <v>0</v>
      </c>
      <c r="T142" s="17">
        <v>0</v>
      </c>
      <c r="U142" s="17">
        <v>0</v>
      </c>
      <c r="V142" s="17">
        <v>0</v>
      </c>
      <c r="W142" s="17">
        <v>0</v>
      </c>
      <c r="X142" s="17">
        <v>0</v>
      </c>
      <c r="Y142" s="17">
        <v>0</v>
      </c>
      <c r="Z142" s="17">
        <v>0</v>
      </c>
      <c r="AA142" s="17">
        <v>0</v>
      </c>
      <c r="AB142" s="17">
        <v>0</v>
      </c>
      <c r="AC142" s="17">
        <v>0</v>
      </c>
      <c r="AD142" s="17">
        <v>0</v>
      </c>
      <c r="AE142" s="17">
        <v>0</v>
      </c>
      <c r="AF142" s="17">
        <v>0</v>
      </c>
      <c r="AG142" s="17">
        <v>0</v>
      </c>
      <c r="AH142" s="17">
        <v>0</v>
      </c>
      <c r="AI142" s="17">
        <v>0</v>
      </c>
      <c r="AJ142" s="17">
        <v>0</v>
      </c>
      <c r="AK142" s="17">
        <v>0</v>
      </c>
      <c r="AL142" s="17">
        <v>0</v>
      </c>
      <c r="AM142" s="17">
        <v>0</v>
      </c>
      <c r="AN142" s="17">
        <v>0</v>
      </c>
      <c r="AO142" s="17">
        <v>0</v>
      </c>
      <c r="AP142" s="18">
        <f t="shared" si="2"/>
        <v>29510</v>
      </c>
    </row>
    <row r="143" spans="1:42" ht="24" customHeight="1" x14ac:dyDescent="0.2">
      <c r="A143" s="16" t="s">
        <v>542</v>
      </c>
      <c r="B143" s="16" t="s">
        <v>560</v>
      </c>
      <c r="C143" s="16" t="s">
        <v>383</v>
      </c>
      <c r="D143" s="16" t="s">
        <v>511</v>
      </c>
      <c r="E143" s="17">
        <v>19159</v>
      </c>
      <c r="F143" s="17">
        <v>14899</v>
      </c>
      <c r="G143" s="17">
        <v>11624</v>
      </c>
      <c r="H143" s="17">
        <v>9070</v>
      </c>
      <c r="I143" s="17">
        <v>7091</v>
      </c>
      <c r="J143" s="17">
        <v>2356</v>
      </c>
      <c r="K143" s="17">
        <v>0</v>
      </c>
      <c r="L143" s="17">
        <v>0</v>
      </c>
      <c r="M143" s="17">
        <v>0</v>
      </c>
      <c r="N143" s="17">
        <v>0</v>
      </c>
      <c r="O143" s="17">
        <v>0</v>
      </c>
      <c r="P143" s="17">
        <v>0</v>
      </c>
      <c r="Q143" s="17">
        <v>0</v>
      </c>
      <c r="R143" s="17">
        <v>0</v>
      </c>
      <c r="S143" s="17">
        <v>0</v>
      </c>
      <c r="T143" s="17">
        <v>0</v>
      </c>
      <c r="U143" s="17">
        <v>0</v>
      </c>
      <c r="V143" s="17">
        <v>0</v>
      </c>
      <c r="W143" s="17">
        <v>0</v>
      </c>
      <c r="X143" s="17">
        <v>0</v>
      </c>
      <c r="Y143" s="17">
        <v>0</v>
      </c>
      <c r="Z143" s="17">
        <v>0</v>
      </c>
      <c r="AA143" s="17">
        <v>0</v>
      </c>
      <c r="AB143" s="17">
        <v>0</v>
      </c>
      <c r="AC143" s="17">
        <v>0</v>
      </c>
      <c r="AD143" s="17">
        <v>0</v>
      </c>
      <c r="AE143" s="17">
        <v>0</v>
      </c>
      <c r="AF143" s="17">
        <v>0</v>
      </c>
      <c r="AG143" s="17">
        <v>0</v>
      </c>
      <c r="AH143" s="17">
        <v>0</v>
      </c>
      <c r="AI143" s="17">
        <v>0</v>
      </c>
      <c r="AJ143" s="17">
        <v>0</v>
      </c>
      <c r="AK143" s="17">
        <v>0</v>
      </c>
      <c r="AL143" s="17">
        <v>0</v>
      </c>
      <c r="AM143" s="17">
        <v>0</v>
      </c>
      <c r="AN143" s="17">
        <v>0</v>
      </c>
      <c r="AO143" s="17">
        <v>0</v>
      </c>
      <c r="AP143" s="18">
        <f t="shared" si="2"/>
        <v>64199</v>
      </c>
    </row>
    <row r="144" spans="1:42" ht="24" customHeight="1" x14ac:dyDescent="0.2">
      <c r="A144" s="16" t="s">
        <v>542</v>
      </c>
      <c r="B144" s="16" t="s">
        <v>560</v>
      </c>
      <c r="C144" s="16" t="s">
        <v>433</v>
      </c>
      <c r="D144" s="16" t="s">
        <v>511</v>
      </c>
      <c r="E144" s="17">
        <v>251716</v>
      </c>
      <c r="F144" s="17">
        <v>258236</v>
      </c>
      <c r="G144" s="17">
        <v>209693</v>
      </c>
      <c r="H144" s="17">
        <v>166720</v>
      </c>
      <c r="I144" s="17">
        <v>133432</v>
      </c>
      <c r="J144" s="17">
        <v>109219</v>
      </c>
      <c r="K144" s="17">
        <v>88170</v>
      </c>
      <c r="L144" s="17">
        <v>72784</v>
      </c>
      <c r="M144" s="17">
        <v>58000</v>
      </c>
      <c r="N144" s="17">
        <v>50562</v>
      </c>
      <c r="O144" s="17">
        <v>44277</v>
      </c>
      <c r="P144" s="17">
        <v>38837</v>
      </c>
      <c r="Q144" s="17">
        <v>34206</v>
      </c>
      <c r="R144" s="17">
        <v>0</v>
      </c>
      <c r="S144" s="17">
        <v>0</v>
      </c>
      <c r="T144" s="17">
        <v>0</v>
      </c>
      <c r="U144" s="17">
        <v>0</v>
      </c>
      <c r="V144" s="17">
        <v>0</v>
      </c>
      <c r="W144" s="17">
        <v>0</v>
      </c>
      <c r="X144" s="17">
        <v>0</v>
      </c>
      <c r="Y144" s="17">
        <v>0</v>
      </c>
      <c r="Z144" s="17">
        <v>0</v>
      </c>
      <c r="AA144" s="17">
        <v>0</v>
      </c>
      <c r="AB144" s="17">
        <v>0</v>
      </c>
      <c r="AC144" s="17">
        <v>0</v>
      </c>
      <c r="AD144" s="17">
        <v>0</v>
      </c>
      <c r="AE144" s="17">
        <v>0</v>
      </c>
      <c r="AF144" s="17">
        <v>0</v>
      </c>
      <c r="AG144" s="17">
        <v>0</v>
      </c>
      <c r="AH144" s="17">
        <v>0</v>
      </c>
      <c r="AI144" s="17">
        <v>0</v>
      </c>
      <c r="AJ144" s="17">
        <v>0</v>
      </c>
      <c r="AK144" s="17">
        <v>0</v>
      </c>
      <c r="AL144" s="17">
        <v>0</v>
      </c>
      <c r="AM144" s="17">
        <v>0</v>
      </c>
      <c r="AN144" s="17">
        <v>0</v>
      </c>
      <c r="AO144" s="17">
        <v>0</v>
      </c>
      <c r="AP144" s="18">
        <f t="shared" si="2"/>
        <v>1515852</v>
      </c>
    </row>
    <row r="145" spans="1:42" ht="24" customHeight="1" x14ac:dyDescent="0.2">
      <c r="A145" s="16" t="s">
        <v>542</v>
      </c>
      <c r="B145" s="16" t="s">
        <v>561</v>
      </c>
      <c r="C145" s="16" t="s">
        <v>173</v>
      </c>
      <c r="D145" s="16" t="s">
        <v>511</v>
      </c>
      <c r="E145" s="17">
        <v>18829</v>
      </c>
      <c r="F145" s="17">
        <v>33299</v>
      </c>
      <c r="G145" s="17">
        <v>32615</v>
      </c>
      <c r="H145" s="17">
        <v>22714</v>
      </c>
      <c r="I145" s="17">
        <v>14479</v>
      </c>
      <c r="J145" s="17">
        <v>9881</v>
      </c>
      <c r="K145" s="17">
        <v>0</v>
      </c>
      <c r="L145" s="17">
        <v>0</v>
      </c>
      <c r="M145" s="17">
        <v>0</v>
      </c>
      <c r="N145" s="17">
        <v>0</v>
      </c>
      <c r="O145" s="17">
        <v>0</v>
      </c>
      <c r="P145" s="17">
        <v>0</v>
      </c>
      <c r="Q145" s="17">
        <v>0</v>
      </c>
      <c r="R145" s="17">
        <v>0</v>
      </c>
      <c r="S145" s="17">
        <v>0</v>
      </c>
      <c r="T145" s="17">
        <v>0</v>
      </c>
      <c r="U145" s="17">
        <v>0</v>
      </c>
      <c r="V145" s="17">
        <v>0</v>
      </c>
      <c r="W145" s="17">
        <v>0</v>
      </c>
      <c r="X145" s="17">
        <v>0</v>
      </c>
      <c r="Y145" s="17">
        <v>0</v>
      </c>
      <c r="Z145" s="17">
        <v>0</v>
      </c>
      <c r="AA145" s="17">
        <v>0</v>
      </c>
      <c r="AB145" s="17">
        <v>0</v>
      </c>
      <c r="AC145" s="17">
        <v>0</v>
      </c>
      <c r="AD145" s="17">
        <v>0</v>
      </c>
      <c r="AE145" s="17">
        <v>0</v>
      </c>
      <c r="AF145" s="17">
        <v>0</v>
      </c>
      <c r="AG145" s="17">
        <v>0</v>
      </c>
      <c r="AH145" s="17">
        <v>0</v>
      </c>
      <c r="AI145" s="17">
        <v>0</v>
      </c>
      <c r="AJ145" s="17">
        <v>0</v>
      </c>
      <c r="AK145" s="17">
        <v>0</v>
      </c>
      <c r="AL145" s="17">
        <v>0</v>
      </c>
      <c r="AM145" s="17">
        <v>0</v>
      </c>
      <c r="AN145" s="17">
        <v>0</v>
      </c>
      <c r="AO145" s="17">
        <v>0</v>
      </c>
      <c r="AP145" s="18">
        <f t="shared" si="2"/>
        <v>131817</v>
      </c>
    </row>
    <row r="146" spans="1:42" ht="24" customHeight="1" x14ac:dyDescent="0.2">
      <c r="A146" s="16" t="s">
        <v>542</v>
      </c>
      <c r="B146" s="16" t="s">
        <v>561</v>
      </c>
      <c r="C146" s="16" t="s">
        <v>189</v>
      </c>
      <c r="D146" s="16" t="s">
        <v>511</v>
      </c>
      <c r="E146" s="17">
        <v>14099</v>
      </c>
      <c r="F146" s="17">
        <v>9145</v>
      </c>
      <c r="G146" s="17">
        <v>5253</v>
      </c>
      <c r="H146" s="17">
        <v>3033</v>
      </c>
      <c r="I146" s="17">
        <v>2034</v>
      </c>
      <c r="J146" s="17">
        <v>0</v>
      </c>
      <c r="K146" s="17">
        <v>0</v>
      </c>
      <c r="L146" s="17">
        <v>0</v>
      </c>
      <c r="M146" s="17">
        <v>0</v>
      </c>
      <c r="N146" s="17">
        <v>0</v>
      </c>
      <c r="O146" s="17">
        <v>0</v>
      </c>
      <c r="P146" s="17">
        <v>0</v>
      </c>
      <c r="Q146" s="17">
        <v>0</v>
      </c>
      <c r="R146" s="17">
        <v>0</v>
      </c>
      <c r="S146" s="17">
        <v>0</v>
      </c>
      <c r="T146" s="17">
        <v>0</v>
      </c>
      <c r="U146" s="17">
        <v>0</v>
      </c>
      <c r="V146" s="17">
        <v>0</v>
      </c>
      <c r="W146" s="17">
        <v>0</v>
      </c>
      <c r="X146" s="17">
        <v>0</v>
      </c>
      <c r="Y146" s="17">
        <v>0</v>
      </c>
      <c r="Z146" s="17">
        <v>0</v>
      </c>
      <c r="AA146" s="17">
        <v>0</v>
      </c>
      <c r="AB146" s="17">
        <v>0</v>
      </c>
      <c r="AC146" s="17">
        <v>0</v>
      </c>
      <c r="AD146" s="17">
        <v>0</v>
      </c>
      <c r="AE146" s="17">
        <v>0</v>
      </c>
      <c r="AF146" s="17">
        <v>0</v>
      </c>
      <c r="AG146" s="17">
        <v>0</v>
      </c>
      <c r="AH146" s="17">
        <v>0</v>
      </c>
      <c r="AI146" s="17">
        <v>0</v>
      </c>
      <c r="AJ146" s="17">
        <v>0</v>
      </c>
      <c r="AK146" s="17">
        <v>0</v>
      </c>
      <c r="AL146" s="17">
        <v>0</v>
      </c>
      <c r="AM146" s="17">
        <v>0</v>
      </c>
      <c r="AN146" s="17">
        <v>0</v>
      </c>
      <c r="AO146" s="17">
        <v>0</v>
      </c>
      <c r="AP146" s="18">
        <f t="shared" si="2"/>
        <v>33564</v>
      </c>
    </row>
    <row r="147" spans="1:42" ht="24" customHeight="1" x14ac:dyDescent="0.2">
      <c r="A147" s="16" t="s">
        <v>542</v>
      </c>
      <c r="B147" s="16" t="s">
        <v>561</v>
      </c>
      <c r="C147" s="16" t="s">
        <v>203</v>
      </c>
      <c r="D147" s="16" t="s">
        <v>511</v>
      </c>
      <c r="E147" s="17">
        <v>476583</v>
      </c>
      <c r="F147" s="17">
        <v>505291</v>
      </c>
      <c r="G147" s="17">
        <v>623389</v>
      </c>
      <c r="H147" s="17">
        <v>576496</v>
      </c>
      <c r="I147" s="17">
        <v>497736</v>
      </c>
      <c r="J147" s="17">
        <v>414946</v>
      </c>
      <c r="K147" s="17">
        <v>319198</v>
      </c>
      <c r="L147" s="17">
        <v>244798</v>
      </c>
      <c r="M147" s="17">
        <v>188685</v>
      </c>
      <c r="N147" s="17">
        <v>144307</v>
      </c>
      <c r="O147" s="17">
        <v>116785</v>
      </c>
      <c r="P147" s="17">
        <v>94754</v>
      </c>
      <c r="Q147" s="17">
        <v>78101</v>
      </c>
      <c r="R147" s="17">
        <v>62566</v>
      </c>
      <c r="S147" s="17">
        <v>0</v>
      </c>
      <c r="T147" s="17">
        <v>0</v>
      </c>
      <c r="U147" s="17">
        <v>0</v>
      </c>
      <c r="V147" s="17">
        <v>0</v>
      </c>
      <c r="W147" s="17">
        <v>0</v>
      </c>
      <c r="X147" s="17">
        <v>0</v>
      </c>
      <c r="Y147" s="17">
        <v>0</v>
      </c>
      <c r="Z147" s="17">
        <v>0</v>
      </c>
      <c r="AA147" s="17">
        <v>0</v>
      </c>
      <c r="AB147" s="17">
        <v>0</v>
      </c>
      <c r="AC147" s="17">
        <v>0</v>
      </c>
      <c r="AD147" s="17">
        <v>0</v>
      </c>
      <c r="AE147" s="17">
        <v>0</v>
      </c>
      <c r="AF147" s="17">
        <v>0</v>
      </c>
      <c r="AG147" s="17">
        <v>0</v>
      </c>
      <c r="AH147" s="17">
        <v>0</v>
      </c>
      <c r="AI147" s="17">
        <v>0</v>
      </c>
      <c r="AJ147" s="17">
        <v>0</v>
      </c>
      <c r="AK147" s="17">
        <v>0</v>
      </c>
      <c r="AL147" s="17">
        <v>0</v>
      </c>
      <c r="AM147" s="17">
        <v>0</v>
      </c>
      <c r="AN147" s="17">
        <v>0</v>
      </c>
      <c r="AO147" s="17">
        <v>0</v>
      </c>
      <c r="AP147" s="18">
        <f t="shared" si="2"/>
        <v>4343635</v>
      </c>
    </row>
    <row r="148" spans="1:42" ht="24" customHeight="1" x14ac:dyDescent="0.2">
      <c r="A148" s="16" t="s">
        <v>542</v>
      </c>
      <c r="B148" s="16" t="s">
        <v>561</v>
      </c>
      <c r="C148" s="16" t="s">
        <v>351</v>
      </c>
      <c r="D148" s="16" t="s">
        <v>511</v>
      </c>
      <c r="E148" s="17">
        <v>12342</v>
      </c>
      <c r="F148" s="17">
        <v>8614</v>
      </c>
      <c r="G148" s="17">
        <v>15108</v>
      </c>
      <c r="H148" s="17">
        <v>14879</v>
      </c>
      <c r="I148" s="17">
        <v>10974</v>
      </c>
      <c r="J148" s="17">
        <v>8057</v>
      </c>
      <c r="K148" s="17">
        <v>5943</v>
      </c>
      <c r="L148" s="17">
        <v>4384</v>
      </c>
      <c r="M148" s="17">
        <v>3249</v>
      </c>
      <c r="N148" s="17">
        <v>1829</v>
      </c>
      <c r="O148" s="17">
        <v>0</v>
      </c>
      <c r="P148" s="17">
        <v>0</v>
      </c>
      <c r="Q148" s="17">
        <v>0</v>
      </c>
      <c r="R148" s="17">
        <v>0</v>
      </c>
      <c r="S148" s="17">
        <v>0</v>
      </c>
      <c r="T148" s="17">
        <v>0</v>
      </c>
      <c r="U148" s="17">
        <v>0</v>
      </c>
      <c r="V148" s="17">
        <v>0</v>
      </c>
      <c r="W148" s="17">
        <v>0</v>
      </c>
      <c r="X148" s="17">
        <v>0</v>
      </c>
      <c r="Y148" s="17">
        <v>0</v>
      </c>
      <c r="Z148" s="17">
        <v>0</v>
      </c>
      <c r="AA148" s="17">
        <v>0</v>
      </c>
      <c r="AB148" s="17">
        <v>0</v>
      </c>
      <c r="AC148" s="17">
        <v>0</v>
      </c>
      <c r="AD148" s="17">
        <v>0</v>
      </c>
      <c r="AE148" s="17">
        <v>0</v>
      </c>
      <c r="AF148" s="17">
        <v>0</v>
      </c>
      <c r="AG148" s="17">
        <v>0</v>
      </c>
      <c r="AH148" s="17">
        <v>0</v>
      </c>
      <c r="AI148" s="17">
        <v>0</v>
      </c>
      <c r="AJ148" s="17">
        <v>0</v>
      </c>
      <c r="AK148" s="17">
        <v>0</v>
      </c>
      <c r="AL148" s="17">
        <v>0</v>
      </c>
      <c r="AM148" s="17">
        <v>0</v>
      </c>
      <c r="AN148" s="17">
        <v>0</v>
      </c>
      <c r="AO148" s="17">
        <v>0</v>
      </c>
      <c r="AP148" s="18">
        <f t="shared" si="2"/>
        <v>85379</v>
      </c>
    </row>
    <row r="149" spans="1:42" ht="24" customHeight="1" x14ac:dyDescent="0.2">
      <c r="A149" s="16" t="s">
        <v>542</v>
      </c>
      <c r="B149" s="16" t="s">
        <v>561</v>
      </c>
      <c r="C149" s="16" t="s">
        <v>402</v>
      </c>
      <c r="D149" s="16" t="s">
        <v>511</v>
      </c>
      <c r="E149" s="17">
        <v>14406</v>
      </c>
      <c r="F149" s="17">
        <v>11491</v>
      </c>
      <c r="G149" s="17">
        <v>9195</v>
      </c>
      <c r="H149" s="17">
        <v>7357</v>
      </c>
      <c r="I149" s="17">
        <v>5899</v>
      </c>
      <c r="J149" s="17">
        <v>4708</v>
      </c>
      <c r="K149" s="17">
        <v>3765</v>
      </c>
      <c r="L149" s="17">
        <v>3013</v>
      </c>
      <c r="M149" s="17">
        <v>2416</v>
      </c>
      <c r="N149" s="17">
        <v>1580</v>
      </c>
      <c r="O149" s="17">
        <v>0</v>
      </c>
      <c r="P149" s="17">
        <v>0</v>
      </c>
      <c r="Q149" s="17">
        <v>0</v>
      </c>
      <c r="R149" s="17">
        <v>0</v>
      </c>
      <c r="S149" s="17">
        <v>0</v>
      </c>
      <c r="T149" s="17">
        <v>0</v>
      </c>
      <c r="U149" s="17">
        <v>0</v>
      </c>
      <c r="V149" s="17">
        <v>0</v>
      </c>
      <c r="W149" s="17">
        <v>0</v>
      </c>
      <c r="X149" s="17">
        <v>0</v>
      </c>
      <c r="Y149" s="17">
        <v>0</v>
      </c>
      <c r="Z149" s="17">
        <v>0</v>
      </c>
      <c r="AA149" s="17">
        <v>0</v>
      </c>
      <c r="AB149" s="17">
        <v>0</v>
      </c>
      <c r="AC149" s="17">
        <v>0</v>
      </c>
      <c r="AD149" s="17">
        <v>0</v>
      </c>
      <c r="AE149" s="17">
        <v>0</v>
      </c>
      <c r="AF149" s="17">
        <v>0</v>
      </c>
      <c r="AG149" s="17">
        <v>0</v>
      </c>
      <c r="AH149" s="17">
        <v>0</v>
      </c>
      <c r="AI149" s="17">
        <v>0</v>
      </c>
      <c r="AJ149" s="17">
        <v>0</v>
      </c>
      <c r="AK149" s="17">
        <v>0</v>
      </c>
      <c r="AL149" s="17">
        <v>0</v>
      </c>
      <c r="AM149" s="17">
        <v>0</v>
      </c>
      <c r="AN149" s="17">
        <v>0</v>
      </c>
      <c r="AO149" s="17">
        <v>0</v>
      </c>
      <c r="AP149" s="18">
        <f t="shared" si="2"/>
        <v>63830</v>
      </c>
    </row>
    <row r="150" spans="1:42" ht="24" customHeight="1" x14ac:dyDescent="0.2">
      <c r="A150" s="16" t="s">
        <v>542</v>
      </c>
      <c r="B150" s="16" t="s">
        <v>438</v>
      </c>
      <c r="C150" s="16" t="s">
        <v>159</v>
      </c>
      <c r="D150" s="16" t="s">
        <v>511</v>
      </c>
      <c r="E150" s="17">
        <v>176551</v>
      </c>
      <c r="F150" s="17">
        <v>120722</v>
      </c>
      <c r="G150" s="17">
        <v>83205</v>
      </c>
      <c r="H150" s="17">
        <v>57608</v>
      </c>
      <c r="I150" s="17">
        <v>38155</v>
      </c>
      <c r="J150" s="17">
        <v>23541</v>
      </c>
      <c r="K150" s="17">
        <v>12817</v>
      </c>
      <c r="L150" s="17">
        <v>47710</v>
      </c>
      <c r="M150" s="17">
        <v>0</v>
      </c>
      <c r="N150" s="17">
        <v>0</v>
      </c>
      <c r="O150" s="17">
        <v>0</v>
      </c>
      <c r="P150" s="17">
        <v>0</v>
      </c>
      <c r="Q150" s="17">
        <v>0</v>
      </c>
      <c r="R150" s="17">
        <v>0</v>
      </c>
      <c r="S150" s="17">
        <v>0</v>
      </c>
      <c r="T150" s="17">
        <v>0</v>
      </c>
      <c r="U150" s="17">
        <v>0</v>
      </c>
      <c r="V150" s="17">
        <v>0</v>
      </c>
      <c r="W150" s="17">
        <v>0</v>
      </c>
      <c r="X150" s="17">
        <v>0</v>
      </c>
      <c r="Y150" s="17">
        <v>0</v>
      </c>
      <c r="Z150" s="17">
        <v>0</v>
      </c>
      <c r="AA150" s="17">
        <v>0</v>
      </c>
      <c r="AB150" s="17">
        <v>0</v>
      </c>
      <c r="AC150" s="17">
        <v>0</v>
      </c>
      <c r="AD150" s="17">
        <v>0</v>
      </c>
      <c r="AE150" s="17">
        <v>0</v>
      </c>
      <c r="AF150" s="17">
        <v>0</v>
      </c>
      <c r="AG150" s="17">
        <v>0</v>
      </c>
      <c r="AH150" s="17">
        <v>0</v>
      </c>
      <c r="AI150" s="17">
        <v>0</v>
      </c>
      <c r="AJ150" s="17">
        <v>0</v>
      </c>
      <c r="AK150" s="17">
        <v>0</v>
      </c>
      <c r="AL150" s="17">
        <v>0</v>
      </c>
      <c r="AM150" s="17">
        <v>0</v>
      </c>
      <c r="AN150" s="17">
        <v>0</v>
      </c>
      <c r="AO150" s="17">
        <v>0</v>
      </c>
      <c r="AP150" s="18">
        <f t="shared" si="2"/>
        <v>560309</v>
      </c>
    </row>
    <row r="151" spans="1:42" ht="24" customHeight="1" x14ac:dyDescent="0.2">
      <c r="A151" s="16" t="s">
        <v>542</v>
      </c>
      <c r="B151" s="16" t="s">
        <v>438</v>
      </c>
      <c r="C151" s="16" t="s">
        <v>187</v>
      </c>
      <c r="D151" s="16" t="s">
        <v>511</v>
      </c>
      <c r="E151" s="17">
        <v>749240</v>
      </c>
      <c r="F151" s="17">
        <v>489316</v>
      </c>
      <c r="G151" s="17">
        <v>323512</v>
      </c>
      <c r="H151" s="17">
        <v>214084</v>
      </c>
      <c r="I151" s="17">
        <v>132051</v>
      </c>
      <c r="J151" s="17">
        <v>0</v>
      </c>
      <c r="K151" s="17">
        <v>0</v>
      </c>
      <c r="L151" s="17">
        <v>0</v>
      </c>
      <c r="M151" s="17">
        <v>0</v>
      </c>
      <c r="N151" s="17">
        <v>0</v>
      </c>
      <c r="O151" s="17">
        <v>0</v>
      </c>
      <c r="P151" s="17">
        <v>0</v>
      </c>
      <c r="Q151" s="17">
        <v>0</v>
      </c>
      <c r="R151" s="17">
        <v>0</v>
      </c>
      <c r="S151" s="17">
        <v>0</v>
      </c>
      <c r="T151" s="17">
        <v>0</v>
      </c>
      <c r="U151" s="17">
        <v>0</v>
      </c>
      <c r="V151" s="17">
        <v>0</v>
      </c>
      <c r="W151" s="17">
        <v>0</v>
      </c>
      <c r="X151" s="17">
        <v>0</v>
      </c>
      <c r="Y151" s="17">
        <v>0</v>
      </c>
      <c r="Z151" s="17">
        <v>0</v>
      </c>
      <c r="AA151" s="17">
        <v>0</v>
      </c>
      <c r="AB151" s="17">
        <v>0</v>
      </c>
      <c r="AC151" s="17">
        <v>0</v>
      </c>
      <c r="AD151" s="17">
        <v>0</v>
      </c>
      <c r="AE151" s="17">
        <v>0</v>
      </c>
      <c r="AF151" s="17">
        <v>0</v>
      </c>
      <c r="AG151" s="17">
        <v>0</v>
      </c>
      <c r="AH151" s="17">
        <v>0</v>
      </c>
      <c r="AI151" s="17">
        <v>0</v>
      </c>
      <c r="AJ151" s="17">
        <v>0</v>
      </c>
      <c r="AK151" s="17">
        <v>0</v>
      </c>
      <c r="AL151" s="17">
        <v>0</v>
      </c>
      <c r="AM151" s="17">
        <v>0</v>
      </c>
      <c r="AN151" s="17">
        <v>0</v>
      </c>
      <c r="AO151" s="17">
        <v>0</v>
      </c>
      <c r="AP151" s="18">
        <f t="shared" si="2"/>
        <v>1908203</v>
      </c>
    </row>
    <row r="152" spans="1:42" ht="24" customHeight="1" x14ac:dyDescent="0.2">
      <c r="A152" s="16" t="s">
        <v>542</v>
      </c>
      <c r="B152" s="16" t="s">
        <v>438</v>
      </c>
      <c r="C152" s="16" t="s">
        <v>431</v>
      </c>
      <c r="D152" s="16" t="s">
        <v>511</v>
      </c>
      <c r="E152" s="17">
        <v>796148</v>
      </c>
      <c r="F152" s="17">
        <v>531380</v>
      </c>
      <c r="G152" s="17">
        <v>360611</v>
      </c>
      <c r="H152" s="17">
        <v>247530</v>
      </c>
      <c r="I152" s="17">
        <v>166854</v>
      </c>
      <c r="J152" s="17">
        <v>116966</v>
      </c>
      <c r="K152" s="17">
        <v>77134</v>
      </c>
      <c r="L152" s="17">
        <v>52420</v>
      </c>
      <c r="M152" s="17">
        <v>36716</v>
      </c>
      <c r="N152" s="17">
        <v>0</v>
      </c>
      <c r="O152" s="17">
        <v>0</v>
      </c>
      <c r="P152" s="17">
        <v>0</v>
      </c>
      <c r="Q152" s="17">
        <v>0</v>
      </c>
      <c r="R152" s="17">
        <v>0</v>
      </c>
      <c r="S152" s="17">
        <v>0</v>
      </c>
      <c r="T152" s="17">
        <v>0</v>
      </c>
      <c r="U152" s="17">
        <v>0</v>
      </c>
      <c r="V152" s="17">
        <v>0</v>
      </c>
      <c r="W152" s="17">
        <v>0</v>
      </c>
      <c r="X152" s="17">
        <v>0</v>
      </c>
      <c r="Y152" s="17">
        <v>0</v>
      </c>
      <c r="Z152" s="17">
        <v>0</v>
      </c>
      <c r="AA152" s="17">
        <v>0</v>
      </c>
      <c r="AB152" s="17">
        <v>0</v>
      </c>
      <c r="AC152" s="17">
        <v>0</v>
      </c>
      <c r="AD152" s="17">
        <v>0</v>
      </c>
      <c r="AE152" s="17">
        <v>0</v>
      </c>
      <c r="AF152" s="17">
        <v>0</v>
      </c>
      <c r="AG152" s="17">
        <v>0</v>
      </c>
      <c r="AH152" s="17">
        <v>0</v>
      </c>
      <c r="AI152" s="17">
        <v>0</v>
      </c>
      <c r="AJ152" s="17">
        <v>0</v>
      </c>
      <c r="AK152" s="17">
        <v>0</v>
      </c>
      <c r="AL152" s="17">
        <v>0</v>
      </c>
      <c r="AM152" s="17">
        <v>0</v>
      </c>
      <c r="AN152" s="17">
        <v>0</v>
      </c>
      <c r="AO152" s="17">
        <v>0</v>
      </c>
      <c r="AP152" s="18">
        <f t="shared" si="2"/>
        <v>2385759</v>
      </c>
    </row>
    <row r="153" spans="1:42" ht="24" customHeight="1" x14ac:dyDescent="0.2">
      <c r="A153" s="16" t="s">
        <v>542</v>
      </c>
      <c r="B153" s="16" t="s">
        <v>382</v>
      </c>
      <c r="C153" s="16" t="s">
        <v>190</v>
      </c>
      <c r="D153" s="16" t="s">
        <v>511</v>
      </c>
      <c r="E153" s="17">
        <v>10364</v>
      </c>
      <c r="F153" s="17">
        <v>47316</v>
      </c>
      <c r="G153" s="17">
        <v>96486</v>
      </c>
      <c r="H153" s="17">
        <v>100379</v>
      </c>
      <c r="I153" s="17">
        <v>98553</v>
      </c>
      <c r="J153" s="17">
        <v>80658</v>
      </c>
      <c r="K153" s="17">
        <v>58394</v>
      </c>
      <c r="L153" s="17">
        <v>37142</v>
      </c>
      <c r="M153" s="17">
        <v>20216</v>
      </c>
      <c r="N153" s="17">
        <v>0</v>
      </c>
      <c r="O153" s="17">
        <v>0</v>
      </c>
      <c r="P153" s="17">
        <v>0</v>
      </c>
      <c r="Q153" s="17">
        <v>0</v>
      </c>
      <c r="R153" s="17">
        <v>0</v>
      </c>
      <c r="S153" s="17">
        <v>0</v>
      </c>
      <c r="T153" s="17">
        <v>0</v>
      </c>
      <c r="U153" s="17">
        <v>0</v>
      </c>
      <c r="V153" s="17">
        <v>0</v>
      </c>
      <c r="W153" s="17">
        <v>0</v>
      </c>
      <c r="X153" s="17">
        <v>0</v>
      </c>
      <c r="Y153" s="17">
        <v>0</v>
      </c>
      <c r="Z153" s="17">
        <v>0</v>
      </c>
      <c r="AA153" s="17">
        <v>0</v>
      </c>
      <c r="AB153" s="17">
        <v>0</v>
      </c>
      <c r="AC153" s="17">
        <v>0</v>
      </c>
      <c r="AD153" s="17">
        <v>0</v>
      </c>
      <c r="AE153" s="17">
        <v>0</v>
      </c>
      <c r="AF153" s="17">
        <v>0</v>
      </c>
      <c r="AG153" s="17">
        <v>0</v>
      </c>
      <c r="AH153" s="17">
        <v>0</v>
      </c>
      <c r="AI153" s="17">
        <v>0</v>
      </c>
      <c r="AJ153" s="17">
        <v>0</v>
      </c>
      <c r="AK153" s="17">
        <v>0</v>
      </c>
      <c r="AL153" s="17">
        <v>0</v>
      </c>
      <c r="AM153" s="17">
        <v>0</v>
      </c>
      <c r="AN153" s="17">
        <v>0</v>
      </c>
      <c r="AO153" s="17">
        <v>0</v>
      </c>
      <c r="AP153" s="18">
        <f t="shared" si="2"/>
        <v>549508</v>
      </c>
    </row>
    <row r="154" spans="1:42" ht="24" customHeight="1" x14ac:dyDescent="0.2">
      <c r="A154" s="16" t="s">
        <v>542</v>
      </c>
      <c r="B154" s="16" t="s">
        <v>382</v>
      </c>
      <c r="C154" s="16" t="s">
        <v>382</v>
      </c>
      <c r="D154" s="16" t="s">
        <v>511</v>
      </c>
      <c r="E154" s="17">
        <v>162118</v>
      </c>
      <c r="F154" s="17">
        <v>290388</v>
      </c>
      <c r="G154" s="17">
        <v>393091</v>
      </c>
      <c r="H154" s="17">
        <v>375816</v>
      </c>
      <c r="I154" s="17">
        <v>279314</v>
      </c>
      <c r="J154" s="17">
        <v>288006</v>
      </c>
      <c r="K154" s="17">
        <v>219967</v>
      </c>
      <c r="L154" s="17">
        <v>144885</v>
      </c>
      <c r="M154" s="17">
        <v>87927</v>
      </c>
      <c r="N154" s="17">
        <v>46436</v>
      </c>
      <c r="O154" s="17">
        <v>0</v>
      </c>
      <c r="P154" s="17">
        <v>0</v>
      </c>
      <c r="Q154" s="17">
        <v>0</v>
      </c>
      <c r="R154" s="17">
        <v>0</v>
      </c>
      <c r="S154" s="17">
        <v>0</v>
      </c>
      <c r="T154" s="17">
        <v>0</v>
      </c>
      <c r="U154" s="17">
        <v>0</v>
      </c>
      <c r="V154" s="17">
        <v>0</v>
      </c>
      <c r="W154" s="17">
        <v>0</v>
      </c>
      <c r="X154" s="17">
        <v>0</v>
      </c>
      <c r="Y154" s="17">
        <v>0</v>
      </c>
      <c r="Z154" s="17">
        <v>0</v>
      </c>
      <c r="AA154" s="17">
        <v>0</v>
      </c>
      <c r="AB154" s="17">
        <v>0</v>
      </c>
      <c r="AC154" s="17">
        <v>0</v>
      </c>
      <c r="AD154" s="17">
        <v>0</v>
      </c>
      <c r="AE154" s="17">
        <v>0</v>
      </c>
      <c r="AF154" s="17">
        <v>0</v>
      </c>
      <c r="AG154" s="17">
        <v>0</v>
      </c>
      <c r="AH154" s="17">
        <v>0</v>
      </c>
      <c r="AI154" s="17">
        <v>0</v>
      </c>
      <c r="AJ154" s="17">
        <v>0</v>
      </c>
      <c r="AK154" s="17">
        <v>0</v>
      </c>
      <c r="AL154" s="17">
        <v>0</v>
      </c>
      <c r="AM154" s="17">
        <v>0</v>
      </c>
      <c r="AN154" s="17">
        <v>0</v>
      </c>
      <c r="AO154" s="17">
        <v>0</v>
      </c>
      <c r="AP154" s="18">
        <f t="shared" si="2"/>
        <v>2287948</v>
      </c>
    </row>
    <row r="155" spans="1:42" ht="24" customHeight="1" x14ac:dyDescent="0.2">
      <c r="A155" s="16" t="s">
        <v>542</v>
      </c>
      <c r="B155" s="16" t="s">
        <v>382</v>
      </c>
      <c r="C155" s="16" t="s">
        <v>392</v>
      </c>
      <c r="D155" s="16" t="s">
        <v>511</v>
      </c>
      <c r="E155" s="17">
        <v>5889</v>
      </c>
      <c r="F155" s="17">
        <v>30526</v>
      </c>
      <c r="G155" s="17">
        <v>25613</v>
      </c>
      <c r="H155" s="17">
        <v>38359</v>
      </c>
      <c r="I155" s="17">
        <v>31900</v>
      </c>
      <c r="J155" s="17">
        <v>22965</v>
      </c>
      <c r="K155" s="17">
        <v>35826</v>
      </c>
      <c r="L155" s="17">
        <v>29695</v>
      </c>
      <c r="M155" s="17">
        <v>19359</v>
      </c>
      <c r="N155" s="17">
        <v>13461</v>
      </c>
      <c r="O155" s="17">
        <v>7465</v>
      </c>
      <c r="P155" s="17">
        <v>0</v>
      </c>
      <c r="Q155" s="17">
        <v>0</v>
      </c>
      <c r="R155" s="17">
        <v>0</v>
      </c>
      <c r="S155" s="17">
        <v>0</v>
      </c>
      <c r="T155" s="17">
        <v>0</v>
      </c>
      <c r="U155" s="17">
        <v>0</v>
      </c>
      <c r="V155" s="17">
        <v>0</v>
      </c>
      <c r="W155" s="17">
        <v>0</v>
      </c>
      <c r="X155" s="17">
        <v>0</v>
      </c>
      <c r="Y155" s="17">
        <v>0</v>
      </c>
      <c r="Z155" s="17">
        <v>0</v>
      </c>
      <c r="AA155" s="17">
        <v>0</v>
      </c>
      <c r="AB155" s="17">
        <v>0</v>
      </c>
      <c r="AC155" s="17">
        <v>0</v>
      </c>
      <c r="AD155" s="17">
        <v>0</v>
      </c>
      <c r="AE155" s="17">
        <v>0</v>
      </c>
      <c r="AF155" s="17">
        <v>0</v>
      </c>
      <c r="AG155" s="17">
        <v>0</v>
      </c>
      <c r="AH155" s="17">
        <v>0</v>
      </c>
      <c r="AI155" s="17">
        <v>0</v>
      </c>
      <c r="AJ155" s="17">
        <v>0</v>
      </c>
      <c r="AK155" s="17">
        <v>0</v>
      </c>
      <c r="AL155" s="17">
        <v>0</v>
      </c>
      <c r="AM155" s="17">
        <v>0</v>
      </c>
      <c r="AN155" s="17">
        <v>0</v>
      </c>
      <c r="AO155" s="17">
        <v>0</v>
      </c>
      <c r="AP155" s="18">
        <f t="shared" si="2"/>
        <v>261058</v>
      </c>
    </row>
    <row r="156" spans="1:42" ht="15" customHeight="1" x14ac:dyDescent="0.2">
      <c r="A156" s="16" t="s">
        <v>562</v>
      </c>
      <c r="B156" s="16" t="s">
        <v>563</v>
      </c>
      <c r="C156" s="16" t="s">
        <v>196</v>
      </c>
      <c r="D156" s="16" t="s">
        <v>511</v>
      </c>
      <c r="E156" s="17">
        <v>415613.08870000002</v>
      </c>
      <c r="F156" s="17">
        <v>565451.37849999999</v>
      </c>
      <c r="G156" s="17">
        <v>411374.88410000002</v>
      </c>
      <c r="H156" s="17">
        <v>314733.56040000002</v>
      </c>
      <c r="I156" s="17">
        <v>250010.3389</v>
      </c>
      <c r="J156" s="17">
        <v>204108.49789999999</v>
      </c>
      <c r="K156" s="17">
        <v>170513.53719999999</v>
      </c>
      <c r="L156" s="17">
        <v>145064.67480000001</v>
      </c>
      <c r="M156" s="17">
        <v>125370.1137</v>
      </c>
      <c r="N156" s="17">
        <v>109567.61960000001</v>
      </c>
      <c r="O156" s="17">
        <v>96863.630799999999</v>
      </c>
      <c r="P156" s="17">
        <v>91061.928599999999</v>
      </c>
      <c r="Q156" s="17">
        <v>73170.625199999995</v>
      </c>
      <c r="R156" s="17">
        <v>70414.008100000006</v>
      </c>
      <c r="S156" s="17">
        <v>64181.373899999999</v>
      </c>
      <c r="T156" s="17">
        <v>58825.6276</v>
      </c>
      <c r="U156" s="17">
        <v>54239.101799999997</v>
      </c>
      <c r="V156" s="17">
        <v>50131.5363</v>
      </c>
      <c r="W156" s="17">
        <v>31000</v>
      </c>
      <c r="X156" s="17">
        <v>0</v>
      </c>
      <c r="Y156" s="17">
        <v>0</v>
      </c>
      <c r="Z156" s="17">
        <v>0</v>
      </c>
      <c r="AA156" s="17">
        <v>0</v>
      </c>
      <c r="AB156" s="17">
        <v>0</v>
      </c>
      <c r="AC156" s="17">
        <v>0</v>
      </c>
      <c r="AD156" s="17">
        <v>0</v>
      </c>
      <c r="AE156" s="17">
        <v>0</v>
      </c>
      <c r="AF156" s="17">
        <v>0</v>
      </c>
      <c r="AG156" s="17">
        <v>0</v>
      </c>
      <c r="AH156" s="17">
        <v>0</v>
      </c>
      <c r="AI156" s="17">
        <v>0</v>
      </c>
      <c r="AJ156" s="17">
        <v>0</v>
      </c>
      <c r="AK156" s="17">
        <v>0</v>
      </c>
      <c r="AL156" s="17">
        <v>0</v>
      </c>
      <c r="AM156" s="17">
        <v>0</v>
      </c>
      <c r="AN156" s="17">
        <v>0</v>
      </c>
      <c r="AO156" s="17">
        <v>0</v>
      </c>
      <c r="AP156" s="18">
        <f t="shared" si="2"/>
        <v>3301695.5261000004</v>
      </c>
    </row>
    <row r="157" spans="1:42" ht="15" customHeight="1" x14ac:dyDescent="0.2">
      <c r="A157" s="16" t="s">
        <v>562</v>
      </c>
      <c r="B157" s="16" t="s">
        <v>563</v>
      </c>
      <c r="C157" s="16" t="s">
        <v>249</v>
      </c>
      <c r="D157" s="16" t="s">
        <v>511</v>
      </c>
      <c r="E157" s="17">
        <v>166919.64629999999</v>
      </c>
      <c r="F157" s="17">
        <v>140493.383</v>
      </c>
      <c r="G157" s="17">
        <v>79533.090899999996</v>
      </c>
      <c r="H157" s="17">
        <v>54083.173300000002</v>
      </c>
      <c r="I157" s="17">
        <v>32734.037100000001</v>
      </c>
      <c r="J157" s="17">
        <v>23420.416499999999</v>
      </c>
      <c r="K157" s="17">
        <v>14464.1638</v>
      </c>
      <c r="L157" s="17">
        <v>0</v>
      </c>
      <c r="M157" s="17">
        <v>0</v>
      </c>
      <c r="N157" s="17">
        <v>0</v>
      </c>
      <c r="O157" s="17">
        <v>0</v>
      </c>
      <c r="P157" s="17">
        <v>0</v>
      </c>
      <c r="Q157" s="17">
        <v>0</v>
      </c>
      <c r="R157" s="17">
        <v>0</v>
      </c>
      <c r="S157" s="17">
        <v>0</v>
      </c>
      <c r="T157" s="17">
        <v>0</v>
      </c>
      <c r="U157" s="17">
        <v>0</v>
      </c>
      <c r="V157" s="17">
        <v>0</v>
      </c>
      <c r="W157" s="17">
        <v>0</v>
      </c>
      <c r="X157" s="17">
        <v>0</v>
      </c>
      <c r="Y157" s="17">
        <v>0</v>
      </c>
      <c r="Z157" s="17">
        <v>0</v>
      </c>
      <c r="AA157" s="17">
        <v>0</v>
      </c>
      <c r="AB157" s="17">
        <v>0</v>
      </c>
      <c r="AC157" s="17">
        <v>0</v>
      </c>
      <c r="AD157" s="17">
        <v>0</v>
      </c>
      <c r="AE157" s="17">
        <v>0</v>
      </c>
      <c r="AF157" s="17">
        <v>0</v>
      </c>
      <c r="AG157" s="17">
        <v>0</v>
      </c>
      <c r="AH157" s="17">
        <v>0</v>
      </c>
      <c r="AI157" s="17">
        <v>0</v>
      </c>
      <c r="AJ157" s="17">
        <v>0</v>
      </c>
      <c r="AK157" s="17">
        <v>0</v>
      </c>
      <c r="AL157" s="17">
        <v>0</v>
      </c>
      <c r="AM157" s="17">
        <v>0</v>
      </c>
      <c r="AN157" s="17">
        <v>0</v>
      </c>
      <c r="AO157" s="17">
        <v>0</v>
      </c>
      <c r="AP157" s="18">
        <f t="shared" si="2"/>
        <v>511647.91090000002</v>
      </c>
    </row>
    <row r="158" spans="1:42" ht="15" customHeight="1" x14ac:dyDescent="0.2">
      <c r="A158" s="16" t="s">
        <v>562</v>
      </c>
      <c r="B158" s="16" t="s">
        <v>563</v>
      </c>
      <c r="C158" s="16" t="s">
        <v>265</v>
      </c>
      <c r="D158" s="16" t="s">
        <v>511</v>
      </c>
      <c r="E158" s="17">
        <v>666402.06059999997</v>
      </c>
      <c r="F158" s="17">
        <v>667892.50219999999</v>
      </c>
      <c r="G158" s="17">
        <v>390898.35700000002</v>
      </c>
      <c r="H158" s="17">
        <v>226491.9191</v>
      </c>
      <c r="I158" s="17">
        <v>158646.45209999999</v>
      </c>
      <c r="J158" s="17">
        <v>91989.876499999998</v>
      </c>
      <c r="K158" s="17">
        <v>77478.771699999998</v>
      </c>
      <c r="L158" s="17">
        <v>67209.267000000007</v>
      </c>
      <c r="M158" s="17">
        <v>59565.158900000002</v>
      </c>
      <c r="N158" s="17">
        <v>53478.368399999999</v>
      </c>
      <c r="O158" s="17">
        <v>41592.657299999999</v>
      </c>
      <c r="P158" s="17">
        <v>34868.692600000002</v>
      </c>
      <c r="Q158" s="17">
        <v>33464.372799999997</v>
      </c>
      <c r="R158" s="17">
        <v>29059.922900000001</v>
      </c>
      <c r="S158" s="17">
        <v>27269.9</v>
      </c>
      <c r="T158" s="17">
        <v>16239.3</v>
      </c>
      <c r="U158" s="17">
        <v>14352.6</v>
      </c>
      <c r="V158" s="17">
        <v>0</v>
      </c>
      <c r="W158" s="17">
        <v>0</v>
      </c>
      <c r="X158" s="17">
        <v>0</v>
      </c>
      <c r="Y158" s="17">
        <v>0</v>
      </c>
      <c r="Z158" s="17">
        <v>0</v>
      </c>
      <c r="AA158" s="17">
        <v>0</v>
      </c>
      <c r="AB158" s="17">
        <v>0</v>
      </c>
      <c r="AC158" s="17">
        <v>0</v>
      </c>
      <c r="AD158" s="17">
        <v>0</v>
      </c>
      <c r="AE158" s="17">
        <v>0</v>
      </c>
      <c r="AF158" s="17">
        <v>0</v>
      </c>
      <c r="AG158" s="17">
        <v>0</v>
      </c>
      <c r="AH158" s="17">
        <v>0</v>
      </c>
      <c r="AI158" s="17">
        <v>0</v>
      </c>
      <c r="AJ158" s="17">
        <v>0</v>
      </c>
      <c r="AK158" s="17">
        <v>0</v>
      </c>
      <c r="AL158" s="17">
        <v>0</v>
      </c>
      <c r="AM158" s="17">
        <v>0</v>
      </c>
      <c r="AN158" s="17">
        <v>0</v>
      </c>
      <c r="AO158" s="17">
        <v>0</v>
      </c>
      <c r="AP158" s="18">
        <f t="shared" si="2"/>
        <v>2656900.1791000003</v>
      </c>
    </row>
    <row r="159" spans="1:42" ht="15" customHeight="1" x14ac:dyDescent="0.2">
      <c r="A159" s="16" t="s">
        <v>562</v>
      </c>
      <c r="B159" s="16" t="s">
        <v>563</v>
      </c>
      <c r="C159" s="16" t="s">
        <v>266</v>
      </c>
      <c r="D159" s="16" t="s">
        <v>511</v>
      </c>
      <c r="E159" s="17">
        <v>8357674.0859000003</v>
      </c>
      <c r="F159" s="17">
        <v>7050481.1814000001</v>
      </c>
      <c r="G159" s="17">
        <v>5255479.4175000004</v>
      </c>
      <c r="H159" s="17">
        <v>4112883.5696</v>
      </c>
      <c r="I159" s="17">
        <v>3372947.1159999999</v>
      </c>
      <c r="J159" s="17">
        <v>2802731.5290999999</v>
      </c>
      <c r="K159" s="17">
        <v>2298909.5332999998</v>
      </c>
      <c r="L159" s="17">
        <v>2023807.0064000001</v>
      </c>
      <c r="M159" s="17">
        <v>1759721.0142999999</v>
      </c>
      <c r="N159" s="17">
        <v>1516617.9641</v>
      </c>
      <c r="O159" s="17">
        <v>1340899.3725000001</v>
      </c>
      <c r="P159" s="17">
        <v>1171489.2169000001</v>
      </c>
      <c r="Q159" s="17">
        <v>1012317.2193999999</v>
      </c>
      <c r="R159" s="17">
        <v>926844.36679999996</v>
      </c>
      <c r="S159" s="17">
        <v>840446.12120000005</v>
      </c>
      <c r="T159" s="17">
        <v>774634.43350000004</v>
      </c>
      <c r="U159" s="17">
        <v>714550.58219999995</v>
      </c>
      <c r="V159" s="17">
        <v>0</v>
      </c>
      <c r="W159" s="17">
        <v>0</v>
      </c>
      <c r="X159" s="17">
        <v>0</v>
      </c>
      <c r="Y159" s="17">
        <v>0</v>
      </c>
      <c r="Z159" s="17">
        <v>0</v>
      </c>
      <c r="AA159" s="17">
        <v>0</v>
      </c>
      <c r="AB159" s="17">
        <v>0</v>
      </c>
      <c r="AC159" s="17">
        <v>0</v>
      </c>
      <c r="AD159" s="17">
        <v>0</v>
      </c>
      <c r="AE159" s="17">
        <v>0</v>
      </c>
      <c r="AF159" s="17">
        <v>0</v>
      </c>
      <c r="AG159" s="17">
        <v>0</v>
      </c>
      <c r="AH159" s="17">
        <v>0</v>
      </c>
      <c r="AI159" s="17">
        <v>0</v>
      </c>
      <c r="AJ159" s="17">
        <v>0</v>
      </c>
      <c r="AK159" s="17">
        <v>0</v>
      </c>
      <c r="AL159" s="17">
        <v>0</v>
      </c>
      <c r="AM159" s="17">
        <v>0</v>
      </c>
      <c r="AN159" s="17">
        <v>0</v>
      </c>
      <c r="AO159" s="17">
        <v>0</v>
      </c>
      <c r="AP159" s="18">
        <f t="shared" si="2"/>
        <v>45332433.730100013</v>
      </c>
    </row>
    <row r="160" spans="1:42" ht="15" customHeight="1" x14ac:dyDescent="0.2">
      <c r="A160" s="16" t="s">
        <v>562</v>
      </c>
      <c r="B160" s="16" t="s">
        <v>563</v>
      </c>
      <c r="C160" s="16" t="s">
        <v>314</v>
      </c>
      <c r="D160" s="16" t="s">
        <v>511</v>
      </c>
      <c r="E160" s="17">
        <v>77384.399999999994</v>
      </c>
      <c r="F160" s="17">
        <v>73245.7</v>
      </c>
      <c r="G160" s="17">
        <v>69698.600000000006</v>
      </c>
      <c r="H160" s="17">
        <v>0</v>
      </c>
      <c r="I160" s="17">
        <v>0</v>
      </c>
      <c r="J160" s="17">
        <v>0</v>
      </c>
      <c r="K160" s="17">
        <v>0</v>
      </c>
      <c r="L160" s="17">
        <v>0</v>
      </c>
      <c r="M160" s="17">
        <v>0</v>
      </c>
      <c r="N160" s="17">
        <v>0</v>
      </c>
      <c r="O160" s="17">
        <v>0</v>
      </c>
      <c r="P160" s="17">
        <v>0</v>
      </c>
      <c r="Q160" s="17">
        <v>0</v>
      </c>
      <c r="R160" s="17">
        <v>0</v>
      </c>
      <c r="S160" s="17">
        <v>0</v>
      </c>
      <c r="T160" s="17">
        <v>0</v>
      </c>
      <c r="U160" s="17">
        <v>0</v>
      </c>
      <c r="V160" s="17">
        <v>0</v>
      </c>
      <c r="W160" s="17">
        <v>0</v>
      </c>
      <c r="X160" s="17">
        <v>0</v>
      </c>
      <c r="Y160" s="17">
        <v>0</v>
      </c>
      <c r="Z160" s="17">
        <v>0</v>
      </c>
      <c r="AA160" s="17">
        <v>0</v>
      </c>
      <c r="AB160" s="17">
        <v>0</v>
      </c>
      <c r="AC160" s="17">
        <v>0</v>
      </c>
      <c r="AD160" s="17">
        <v>0</v>
      </c>
      <c r="AE160" s="17">
        <v>0</v>
      </c>
      <c r="AF160" s="17">
        <v>0</v>
      </c>
      <c r="AG160" s="17">
        <v>0</v>
      </c>
      <c r="AH160" s="17">
        <v>0</v>
      </c>
      <c r="AI160" s="17">
        <v>0</v>
      </c>
      <c r="AJ160" s="17">
        <v>0</v>
      </c>
      <c r="AK160" s="17">
        <v>0</v>
      </c>
      <c r="AL160" s="17">
        <v>0</v>
      </c>
      <c r="AM160" s="17">
        <v>0</v>
      </c>
      <c r="AN160" s="17">
        <v>0</v>
      </c>
      <c r="AO160" s="17">
        <v>0</v>
      </c>
      <c r="AP160" s="18">
        <f t="shared" si="2"/>
        <v>220328.69999999998</v>
      </c>
    </row>
    <row r="161" spans="1:42" ht="15" customHeight="1" x14ac:dyDescent="0.2">
      <c r="A161" s="16" t="s">
        <v>562</v>
      </c>
      <c r="B161" s="16" t="s">
        <v>563</v>
      </c>
      <c r="C161" s="16" t="s">
        <v>401</v>
      </c>
      <c r="D161" s="16" t="s">
        <v>511</v>
      </c>
      <c r="E161" s="17">
        <v>8940760.6831999999</v>
      </c>
      <c r="F161" s="17">
        <v>8795103.1082000006</v>
      </c>
      <c r="G161" s="17">
        <v>7264232.608</v>
      </c>
      <c r="H161" s="17">
        <v>5380821.7558000004</v>
      </c>
      <c r="I161" s="17">
        <v>4147102.2895</v>
      </c>
      <c r="J161" s="17">
        <v>3316176.2804999999</v>
      </c>
      <c r="K161" s="17">
        <v>2621016.7042</v>
      </c>
      <c r="L161" s="17">
        <v>2162328.8561999998</v>
      </c>
      <c r="M161" s="17">
        <v>1812140.5597000001</v>
      </c>
      <c r="N161" s="17">
        <v>1534500.5677</v>
      </c>
      <c r="O161" s="17">
        <v>1320247.3255</v>
      </c>
      <c r="P161" s="17">
        <v>1203836.5822999999</v>
      </c>
      <c r="Q161" s="17">
        <v>1019700.7611</v>
      </c>
      <c r="R161" s="17">
        <v>872548.30359999998</v>
      </c>
      <c r="S161" s="17">
        <v>762698.09380000003</v>
      </c>
      <c r="T161" s="17">
        <v>567405.20120000001</v>
      </c>
      <c r="U161" s="17">
        <v>0</v>
      </c>
      <c r="V161" s="17">
        <v>0</v>
      </c>
      <c r="W161" s="17">
        <v>0</v>
      </c>
      <c r="X161" s="17">
        <v>0</v>
      </c>
      <c r="Y161" s="17">
        <v>0</v>
      </c>
      <c r="Z161" s="17">
        <v>0</v>
      </c>
      <c r="AA161" s="17">
        <v>0</v>
      </c>
      <c r="AB161" s="17">
        <v>0</v>
      </c>
      <c r="AC161" s="17">
        <v>0</v>
      </c>
      <c r="AD161" s="17">
        <v>0</v>
      </c>
      <c r="AE161" s="17">
        <v>0</v>
      </c>
      <c r="AF161" s="17">
        <v>0</v>
      </c>
      <c r="AG161" s="17">
        <v>0</v>
      </c>
      <c r="AH161" s="17">
        <v>0</v>
      </c>
      <c r="AI161" s="17">
        <v>0</v>
      </c>
      <c r="AJ161" s="17">
        <v>0</v>
      </c>
      <c r="AK161" s="17">
        <v>0</v>
      </c>
      <c r="AL161" s="17">
        <v>0</v>
      </c>
      <c r="AM161" s="17">
        <v>0</v>
      </c>
      <c r="AN161" s="17">
        <v>0</v>
      </c>
      <c r="AO161" s="17">
        <v>0</v>
      </c>
      <c r="AP161" s="18">
        <f t="shared" si="2"/>
        <v>51720619.680500001</v>
      </c>
    </row>
    <row r="162" spans="1:42" ht="15" customHeight="1" x14ac:dyDescent="0.2">
      <c r="A162" s="16" t="s">
        <v>562</v>
      </c>
      <c r="B162" s="16" t="s">
        <v>563</v>
      </c>
      <c r="C162" s="16" t="s">
        <v>403</v>
      </c>
      <c r="D162" s="16" t="s">
        <v>511</v>
      </c>
      <c r="E162" s="17">
        <v>71407.399999999994</v>
      </c>
      <c r="F162" s="17">
        <v>60290.400000000001</v>
      </c>
      <c r="G162" s="17">
        <v>52274.3</v>
      </c>
      <c r="H162" s="17">
        <v>37126.199999999997</v>
      </c>
      <c r="I162" s="17">
        <v>0</v>
      </c>
      <c r="J162" s="17">
        <v>0</v>
      </c>
      <c r="K162" s="17">
        <v>0</v>
      </c>
      <c r="L162" s="17">
        <v>0</v>
      </c>
      <c r="M162" s="17">
        <v>0</v>
      </c>
      <c r="N162" s="17">
        <v>0</v>
      </c>
      <c r="O162" s="17">
        <v>0</v>
      </c>
      <c r="P162" s="17">
        <v>0</v>
      </c>
      <c r="Q162" s="17">
        <v>0</v>
      </c>
      <c r="R162" s="17">
        <v>0</v>
      </c>
      <c r="S162" s="17">
        <v>0</v>
      </c>
      <c r="T162" s="17">
        <v>0</v>
      </c>
      <c r="U162" s="17">
        <v>0</v>
      </c>
      <c r="V162" s="17">
        <v>0</v>
      </c>
      <c r="W162" s="17">
        <v>0</v>
      </c>
      <c r="X162" s="17">
        <v>0</v>
      </c>
      <c r="Y162" s="17">
        <v>0</v>
      </c>
      <c r="Z162" s="17">
        <v>0</v>
      </c>
      <c r="AA162" s="17">
        <v>0</v>
      </c>
      <c r="AB162" s="17">
        <v>0</v>
      </c>
      <c r="AC162" s="17">
        <v>0</v>
      </c>
      <c r="AD162" s="17">
        <v>0</v>
      </c>
      <c r="AE162" s="17">
        <v>0</v>
      </c>
      <c r="AF162" s="17">
        <v>0</v>
      </c>
      <c r="AG162" s="17">
        <v>0</v>
      </c>
      <c r="AH162" s="17">
        <v>0</v>
      </c>
      <c r="AI162" s="17">
        <v>0</v>
      </c>
      <c r="AJ162" s="17">
        <v>0</v>
      </c>
      <c r="AK162" s="17">
        <v>0</v>
      </c>
      <c r="AL162" s="17">
        <v>0</v>
      </c>
      <c r="AM162" s="17">
        <v>0</v>
      </c>
      <c r="AN162" s="17">
        <v>0</v>
      </c>
      <c r="AO162" s="17">
        <v>0</v>
      </c>
      <c r="AP162" s="18">
        <f t="shared" si="2"/>
        <v>221098.3</v>
      </c>
    </row>
    <row r="163" spans="1:42" ht="15" customHeight="1" x14ac:dyDescent="0.2">
      <c r="A163" s="16" t="s">
        <v>562</v>
      </c>
      <c r="B163" s="16" t="s">
        <v>563</v>
      </c>
      <c r="C163" s="16" t="s">
        <v>415</v>
      </c>
      <c r="D163" s="16" t="s">
        <v>511</v>
      </c>
      <c r="E163" s="17">
        <v>1418744.3511999999</v>
      </c>
      <c r="F163" s="17">
        <v>1614898.3594</v>
      </c>
      <c r="G163" s="17">
        <v>1177428.0227999999</v>
      </c>
      <c r="H163" s="17">
        <v>902328.64049999998</v>
      </c>
      <c r="I163" s="17">
        <v>681647.72739999997</v>
      </c>
      <c r="J163" s="17">
        <v>558730.17130000005</v>
      </c>
      <c r="K163" s="17">
        <v>462435.69900000002</v>
      </c>
      <c r="L163" s="17">
        <v>390418.11820000003</v>
      </c>
      <c r="M163" s="17">
        <v>318356.74400000001</v>
      </c>
      <c r="N163" s="17">
        <v>283474.15490000002</v>
      </c>
      <c r="O163" s="17">
        <v>251808.96609999999</v>
      </c>
      <c r="P163" s="17">
        <v>236764.21410000001</v>
      </c>
      <c r="Q163" s="17">
        <v>200685.13039999999</v>
      </c>
      <c r="R163" s="17">
        <v>192217.84599999999</v>
      </c>
      <c r="S163" s="17">
        <v>177938.24470000001</v>
      </c>
      <c r="T163" s="17">
        <v>0</v>
      </c>
      <c r="U163" s="17">
        <v>0</v>
      </c>
      <c r="V163" s="17">
        <v>0</v>
      </c>
      <c r="W163" s="17">
        <v>0</v>
      </c>
      <c r="X163" s="17">
        <v>0</v>
      </c>
      <c r="Y163" s="17">
        <v>0</v>
      </c>
      <c r="Z163" s="17">
        <v>0</v>
      </c>
      <c r="AA163" s="17">
        <v>0</v>
      </c>
      <c r="AB163" s="17">
        <v>0</v>
      </c>
      <c r="AC163" s="17">
        <v>0</v>
      </c>
      <c r="AD163" s="17">
        <v>0</v>
      </c>
      <c r="AE163" s="17">
        <v>0</v>
      </c>
      <c r="AF163" s="17">
        <v>0</v>
      </c>
      <c r="AG163" s="17">
        <v>0</v>
      </c>
      <c r="AH163" s="17">
        <v>0</v>
      </c>
      <c r="AI163" s="17">
        <v>0</v>
      </c>
      <c r="AJ163" s="17">
        <v>0</v>
      </c>
      <c r="AK163" s="17">
        <v>0</v>
      </c>
      <c r="AL163" s="17">
        <v>0</v>
      </c>
      <c r="AM163" s="17">
        <v>0</v>
      </c>
      <c r="AN163" s="17">
        <v>0</v>
      </c>
      <c r="AO163" s="17">
        <v>0</v>
      </c>
      <c r="AP163" s="18">
        <f t="shared" si="2"/>
        <v>8867876.3900000025</v>
      </c>
    </row>
    <row r="164" spans="1:42" ht="24" customHeight="1" x14ac:dyDescent="0.2">
      <c r="A164" s="16" t="s">
        <v>564</v>
      </c>
      <c r="B164" s="16" t="s">
        <v>565</v>
      </c>
      <c r="C164" s="16" t="s">
        <v>214</v>
      </c>
      <c r="D164" s="16" t="s">
        <v>511</v>
      </c>
      <c r="E164" s="17">
        <v>3084990.9087</v>
      </c>
      <c r="F164" s="17">
        <v>2699187.3243</v>
      </c>
      <c r="G164" s="17">
        <v>2981771.0175000001</v>
      </c>
      <c r="H164" s="17">
        <v>3144804.7570000002</v>
      </c>
      <c r="I164" s="17">
        <v>2441582.3703999999</v>
      </c>
      <c r="J164" s="17">
        <v>1643027.4589</v>
      </c>
      <c r="K164" s="17">
        <v>1126424.5645999999</v>
      </c>
      <c r="L164" s="17">
        <v>813235.41740000003</v>
      </c>
      <c r="M164" s="17">
        <v>531355.0429</v>
      </c>
      <c r="N164" s="17">
        <v>136318.356</v>
      </c>
      <c r="O164" s="17">
        <v>0</v>
      </c>
      <c r="P164" s="17">
        <v>0</v>
      </c>
      <c r="Q164" s="17">
        <v>0</v>
      </c>
      <c r="R164" s="17">
        <v>0</v>
      </c>
      <c r="S164" s="17">
        <v>0</v>
      </c>
      <c r="T164" s="17">
        <v>0</v>
      </c>
      <c r="U164" s="17">
        <v>0</v>
      </c>
      <c r="V164" s="17">
        <v>0</v>
      </c>
      <c r="W164" s="17">
        <v>0</v>
      </c>
      <c r="X164" s="17">
        <v>0</v>
      </c>
      <c r="Y164" s="17">
        <v>0</v>
      </c>
      <c r="Z164" s="17">
        <v>0</v>
      </c>
      <c r="AA164" s="17">
        <v>0</v>
      </c>
      <c r="AB164" s="17">
        <v>0</v>
      </c>
      <c r="AC164" s="17">
        <v>0</v>
      </c>
      <c r="AD164" s="17">
        <v>0</v>
      </c>
      <c r="AE164" s="17">
        <v>0</v>
      </c>
      <c r="AF164" s="17">
        <v>0</v>
      </c>
      <c r="AG164" s="17">
        <v>0</v>
      </c>
      <c r="AH164" s="17">
        <v>0</v>
      </c>
      <c r="AI164" s="17">
        <v>0</v>
      </c>
      <c r="AJ164" s="17">
        <v>0</v>
      </c>
      <c r="AK164" s="17">
        <v>0</v>
      </c>
      <c r="AL164" s="17">
        <v>0</v>
      </c>
      <c r="AM164" s="17">
        <v>0</v>
      </c>
      <c r="AN164" s="17">
        <v>0</v>
      </c>
      <c r="AO164" s="17">
        <v>0</v>
      </c>
      <c r="AP164" s="18">
        <f t="shared" si="2"/>
        <v>18602697.217699997</v>
      </c>
    </row>
    <row r="165" spans="1:42" ht="24" customHeight="1" x14ac:dyDescent="0.2">
      <c r="A165" s="16" t="s">
        <v>564</v>
      </c>
      <c r="B165" s="16" t="s">
        <v>565</v>
      </c>
      <c r="C165" s="16" t="s">
        <v>317</v>
      </c>
      <c r="D165" s="16" t="s">
        <v>511</v>
      </c>
      <c r="E165" s="17">
        <v>890700.29410000006</v>
      </c>
      <c r="F165" s="17">
        <v>807361.14430000004</v>
      </c>
      <c r="G165" s="17">
        <v>670471.5612</v>
      </c>
      <c r="H165" s="17">
        <v>1092161.6849</v>
      </c>
      <c r="I165" s="17">
        <v>1039291.8225</v>
      </c>
      <c r="J165" s="17">
        <v>807387.33050000004</v>
      </c>
      <c r="K165" s="17">
        <v>640708.56240000005</v>
      </c>
      <c r="L165" s="17">
        <v>513425.5135</v>
      </c>
      <c r="M165" s="17">
        <v>415827.00890000002</v>
      </c>
      <c r="N165" s="17">
        <v>325051.88559999998</v>
      </c>
      <c r="O165" s="17">
        <v>256177.8854</v>
      </c>
      <c r="P165" s="17">
        <v>205510.91029999999</v>
      </c>
      <c r="Q165" s="17">
        <v>136909.04120000001</v>
      </c>
      <c r="R165" s="17">
        <v>0</v>
      </c>
      <c r="S165" s="17">
        <v>0</v>
      </c>
      <c r="T165" s="17">
        <v>0</v>
      </c>
      <c r="U165" s="17">
        <v>0</v>
      </c>
      <c r="V165" s="17">
        <v>0</v>
      </c>
      <c r="W165" s="17">
        <v>0</v>
      </c>
      <c r="X165" s="17">
        <v>0</v>
      </c>
      <c r="Y165" s="17">
        <v>0</v>
      </c>
      <c r="Z165" s="17">
        <v>0</v>
      </c>
      <c r="AA165" s="17">
        <v>0</v>
      </c>
      <c r="AB165" s="17">
        <v>0</v>
      </c>
      <c r="AC165" s="17">
        <v>0</v>
      </c>
      <c r="AD165" s="17">
        <v>0</v>
      </c>
      <c r="AE165" s="17">
        <v>0</v>
      </c>
      <c r="AF165" s="17">
        <v>0</v>
      </c>
      <c r="AG165" s="17">
        <v>0</v>
      </c>
      <c r="AH165" s="17">
        <v>0</v>
      </c>
      <c r="AI165" s="17">
        <v>0</v>
      </c>
      <c r="AJ165" s="17">
        <v>0</v>
      </c>
      <c r="AK165" s="17">
        <v>0</v>
      </c>
      <c r="AL165" s="17">
        <v>0</v>
      </c>
      <c r="AM165" s="17">
        <v>0</v>
      </c>
      <c r="AN165" s="17">
        <v>0</v>
      </c>
      <c r="AO165" s="17">
        <v>0</v>
      </c>
      <c r="AP165" s="18">
        <f t="shared" si="2"/>
        <v>7800984.6447999999</v>
      </c>
    </row>
    <row r="166" spans="1:42" ht="24" customHeight="1" x14ac:dyDescent="0.2">
      <c r="A166" s="16" t="s">
        <v>564</v>
      </c>
      <c r="B166" s="16" t="s">
        <v>257</v>
      </c>
      <c r="C166" s="16" t="s">
        <v>257</v>
      </c>
      <c r="D166" s="16" t="s">
        <v>511</v>
      </c>
      <c r="E166" s="17">
        <v>89472.762600000002</v>
      </c>
      <c r="F166" s="17">
        <v>74340.801999999996</v>
      </c>
      <c r="G166" s="17">
        <v>62910.353799999997</v>
      </c>
      <c r="H166" s="17">
        <v>53924.854800000001</v>
      </c>
      <c r="I166" s="17">
        <v>46849.835299999999</v>
      </c>
      <c r="J166" s="17">
        <v>17550.154699999999</v>
      </c>
      <c r="K166" s="17">
        <v>0</v>
      </c>
      <c r="L166" s="17">
        <v>0</v>
      </c>
      <c r="M166" s="17">
        <v>0</v>
      </c>
      <c r="N166" s="17">
        <v>0</v>
      </c>
      <c r="O166" s="17">
        <v>0</v>
      </c>
      <c r="P166" s="17">
        <v>0</v>
      </c>
      <c r="Q166" s="17">
        <v>0</v>
      </c>
      <c r="R166" s="17">
        <v>0</v>
      </c>
      <c r="S166" s="17">
        <v>0</v>
      </c>
      <c r="T166" s="17">
        <v>0</v>
      </c>
      <c r="U166" s="17">
        <v>0</v>
      </c>
      <c r="V166" s="17">
        <v>0</v>
      </c>
      <c r="W166" s="17">
        <v>0</v>
      </c>
      <c r="X166" s="17">
        <v>0</v>
      </c>
      <c r="Y166" s="17">
        <v>0</v>
      </c>
      <c r="Z166" s="17">
        <v>0</v>
      </c>
      <c r="AA166" s="17">
        <v>0</v>
      </c>
      <c r="AB166" s="17">
        <v>0</v>
      </c>
      <c r="AC166" s="17">
        <v>0</v>
      </c>
      <c r="AD166" s="17">
        <v>0</v>
      </c>
      <c r="AE166" s="17">
        <v>0</v>
      </c>
      <c r="AF166" s="17">
        <v>0</v>
      </c>
      <c r="AG166" s="17">
        <v>0</v>
      </c>
      <c r="AH166" s="17">
        <v>0</v>
      </c>
      <c r="AI166" s="17">
        <v>0</v>
      </c>
      <c r="AJ166" s="17">
        <v>0</v>
      </c>
      <c r="AK166" s="17">
        <v>0</v>
      </c>
      <c r="AL166" s="17">
        <v>0</v>
      </c>
      <c r="AM166" s="17">
        <v>0</v>
      </c>
      <c r="AN166" s="17">
        <v>0</v>
      </c>
      <c r="AO166" s="17">
        <v>0</v>
      </c>
      <c r="AP166" s="18">
        <f t="shared" si="2"/>
        <v>345048.76319999993</v>
      </c>
    </row>
    <row r="167" spans="1:42" ht="24" customHeight="1" x14ac:dyDescent="0.2">
      <c r="A167" s="16" t="s">
        <v>564</v>
      </c>
      <c r="B167" s="16" t="s">
        <v>257</v>
      </c>
      <c r="C167" s="16" t="s">
        <v>271</v>
      </c>
      <c r="D167" s="16" t="s">
        <v>511</v>
      </c>
      <c r="E167" s="17">
        <v>86573.468900000007</v>
      </c>
      <c r="F167" s="17">
        <v>72206.746199999994</v>
      </c>
      <c r="G167" s="17">
        <v>64120.255700000002</v>
      </c>
      <c r="H167" s="17">
        <v>57483.572999999997</v>
      </c>
      <c r="I167" s="17">
        <v>52083.476000000002</v>
      </c>
      <c r="J167" s="17">
        <v>47255.4954</v>
      </c>
      <c r="K167" s="17">
        <v>14632.876</v>
      </c>
      <c r="L167" s="17">
        <v>0</v>
      </c>
      <c r="M167" s="17">
        <v>0</v>
      </c>
      <c r="N167" s="17">
        <v>0</v>
      </c>
      <c r="O167" s="17">
        <v>0</v>
      </c>
      <c r="P167" s="17">
        <v>0</v>
      </c>
      <c r="Q167" s="17">
        <v>0</v>
      </c>
      <c r="R167" s="17">
        <v>0</v>
      </c>
      <c r="S167" s="17">
        <v>0</v>
      </c>
      <c r="T167" s="17">
        <v>0</v>
      </c>
      <c r="U167" s="17">
        <v>0</v>
      </c>
      <c r="V167" s="17">
        <v>0</v>
      </c>
      <c r="W167" s="17">
        <v>0</v>
      </c>
      <c r="X167" s="17">
        <v>0</v>
      </c>
      <c r="Y167" s="17">
        <v>0</v>
      </c>
      <c r="Z167" s="17">
        <v>0</v>
      </c>
      <c r="AA167" s="17">
        <v>0</v>
      </c>
      <c r="AB167" s="17">
        <v>0</v>
      </c>
      <c r="AC167" s="17">
        <v>0</v>
      </c>
      <c r="AD167" s="17">
        <v>0</v>
      </c>
      <c r="AE167" s="17">
        <v>0</v>
      </c>
      <c r="AF167" s="17">
        <v>0</v>
      </c>
      <c r="AG167" s="17">
        <v>0</v>
      </c>
      <c r="AH167" s="17">
        <v>0</v>
      </c>
      <c r="AI167" s="17">
        <v>0</v>
      </c>
      <c r="AJ167" s="17">
        <v>0</v>
      </c>
      <c r="AK167" s="17">
        <v>0</v>
      </c>
      <c r="AL167" s="17">
        <v>0</v>
      </c>
      <c r="AM167" s="17">
        <v>0</v>
      </c>
      <c r="AN167" s="17">
        <v>0</v>
      </c>
      <c r="AO167" s="17">
        <v>0</v>
      </c>
      <c r="AP167" s="18">
        <f t="shared" si="2"/>
        <v>394355.89120000001</v>
      </c>
    </row>
    <row r="168" spans="1:42" ht="24" customHeight="1" x14ac:dyDescent="0.2">
      <c r="A168" s="16" t="s">
        <v>564</v>
      </c>
      <c r="B168" s="16" t="s">
        <v>566</v>
      </c>
      <c r="C168" s="16" t="s">
        <v>202</v>
      </c>
      <c r="D168" s="16" t="s">
        <v>511</v>
      </c>
      <c r="E168" s="17">
        <v>57462.493000000002</v>
      </c>
      <c r="F168" s="17">
        <v>50091.133999999998</v>
      </c>
      <c r="G168" s="17">
        <v>43805.542500000003</v>
      </c>
      <c r="H168" s="17">
        <v>38319.319499999998</v>
      </c>
      <c r="I168" s="17">
        <v>33615.257599999997</v>
      </c>
      <c r="J168" s="17">
        <v>29335.492099999999</v>
      </c>
      <c r="K168" s="17">
        <v>25682.443299999999</v>
      </c>
      <c r="L168" s="17">
        <v>22490.265599999999</v>
      </c>
      <c r="M168" s="17">
        <v>18864.682400000002</v>
      </c>
      <c r="N168" s="17">
        <v>15394.755800000001</v>
      </c>
      <c r="O168" s="17">
        <v>1090.8621000000001</v>
      </c>
      <c r="P168" s="17">
        <v>0</v>
      </c>
      <c r="Q168" s="17">
        <v>0</v>
      </c>
      <c r="R168" s="17">
        <v>0</v>
      </c>
      <c r="S168" s="17">
        <v>0</v>
      </c>
      <c r="T168" s="17">
        <v>0</v>
      </c>
      <c r="U168" s="17">
        <v>0</v>
      </c>
      <c r="V168" s="17">
        <v>0</v>
      </c>
      <c r="W168" s="17">
        <v>0</v>
      </c>
      <c r="X168" s="17">
        <v>0</v>
      </c>
      <c r="Y168" s="17">
        <v>0</v>
      </c>
      <c r="Z168" s="17">
        <v>0</v>
      </c>
      <c r="AA168" s="17">
        <v>0</v>
      </c>
      <c r="AB168" s="17">
        <v>0</v>
      </c>
      <c r="AC168" s="17">
        <v>0</v>
      </c>
      <c r="AD168" s="17">
        <v>0</v>
      </c>
      <c r="AE168" s="17">
        <v>0</v>
      </c>
      <c r="AF168" s="17">
        <v>0</v>
      </c>
      <c r="AG168" s="17">
        <v>0</v>
      </c>
      <c r="AH168" s="17">
        <v>0</v>
      </c>
      <c r="AI168" s="17">
        <v>0</v>
      </c>
      <c r="AJ168" s="17">
        <v>0</v>
      </c>
      <c r="AK168" s="17">
        <v>0</v>
      </c>
      <c r="AL168" s="17">
        <v>0</v>
      </c>
      <c r="AM168" s="17">
        <v>0</v>
      </c>
      <c r="AN168" s="17">
        <v>0</v>
      </c>
      <c r="AO168" s="17">
        <v>0</v>
      </c>
      <c r="AP168" s="18">
        <f t="shared" si="2"/>
        <v>336152.24790000002</v>
      </c>
    </row>
    <row r="169" spans="1:42" ht="24" customHeight="1" x14ac:dyDescent="0.2">
      <c r="A169" s="16" t="s">
        <v>564</v>
      </c>
      <c r="B169" s="16" t="s">
        <v>566</v>
      </c>
      <c r="C169" s="16" t="s">
        <v>272</v>
      </c>
      <c r="D169" s="16" t="s">
        <v>511</v>
      </c>
      <c r="E169" s="17">
        <v>53356.576399999998</v>
      </c>
      <c r="F169" s="17">
        <v>44238.3079</v>
      </c>
      <c r="G169" s="17">
        <v>36852.368900000001</v>
      </c>
      <c r="H169" s="17">
        <v>30772.053400000001</v>
      </c>
      <c r="I169" s="17">
        <v>17716.3763</v>
      </c>
      <c r="J169" s="17">
        <v>0</v>
      </c>
      <c r="K169" s="17">
        <v>0</v>
      </c>
      <c r="L169" s="17">
        <v>0</v>
      </c>
      <c r="M169" s="17">
        <v>0</v>
      </c>
      <c r="N169" s="17">
        <v>0</v>
      </c>
      <c r="O169" s="17">
        <v>0</v>
      </c>
      <c r="P169" s="17">
        <v>0</v>
      </c>
      <c r="Q169" s="17">
        <v>0</v>
      </c>
      <c r="R169" s="17">
        <v>0</v>
      </c>
      <c r="S169" s="17">
        <v>0</v>
      </c>
      <c r="T169" s="17">
        <v>0</v>
      </c>
      <c r="U169" s="17">
        <v>0</v>
      </c>
      <c r="V169" s="17">
        <v>0</v>
      </c>
      <c r="W169" s="17">
        <v>0</v>
      </c>
      <c r="X169" s="17">
        <v>0</v>
      </c>
      <c r="Y169" s="17">
        <v>0</v>
      </c>
      <c r="Z169" s="17">
        <v>0</v>
      </c>
      <c r="AA169" s="17">
        <v>0</v>
      </c>
      <c r="AB169" s="17">
        <v>0</v>
      </c>
      <c r="AC169" s="17">
        <v>0</v>
      </c>
      <c r="AD169" s="17">
        <v>0</v>
      </c>
      <c r="AE169" s="17">
        <v>0</v>
      </c>
      <c r="AF169" s="17">
        <v>0</v>
      </c>
      <c r="AG169" s="17">
        <v>0</v>
      </c>
      <c r="AH169" s="17">
        <v>0</v>
      </c>
      <c r="AI169" s="17">
        <v>0</v>
      </c>
      <c r="AJ169" s="17">
        <v>0</v>
      </c>
      <c r="AK169" s="17">
        <v>0</v>
      </c>
      <c r="AL169" s="17">
        <v>0</v>
      </c>
      <c r="AM169" s="17">
        <v>0</v>
      </c>
      <c r="AN169" s="17">
        <v>0</v>
      </c>
      <c r="AO169" s="17">
        <v>0</v>
      </c>
      <c r="AP169" s="18">
        <f t="shared" si="2"/>
        <v>182935.68290000001</v>
      </c>
    </row>
    <row r="170" spans="1:42" ht="24" customHeight="1" x14ac:dyDescent="0.2">
      <c r="A170" s="16" t="s">
        <v>564</v>
      </c>
      <c r="B170" s="16" t="s">
        <v>567</v>
      </c>
      <c r="C170" s="16" t="s">
        <v>118</v>
      </c>
      <c r="D170" s="16" t="s">
        <v>511</v>
      </c>
      <c r="E170" s="17">
        <v>6079748.0422999999</v>
      </c>
      <c r="F170" s="17">
        <v>5477912.1650999999</v>
      </c>
      <c r="G170" s="17">
        <v>5144600.9263000004</v>
      </c>
      <c r="H170" s="17">
        <v>4998663.5384999998</v>
      </c>
      <c r="I170" s="17">
        <v>4017100.4325000001</v>
      </c>
      <c r="J170" s="17">
        <v>3048960.4567</v>
      </c>
      <c r="K170" s="17">
        <v>2331299.3199</v>
      </c>
      <c r="L170" s="17">
        <v>1798027.7664000001</v>
      </c>
      <c r="M170" s="17">
        <v>1384420.6665000001</v>
      </c>
      <c r="N170" s="17">
        <v>1085294.0791</v>
      </c>
      <c r="O170" s="17">
        <v>864469.66980000003</v>
      </c>
      <c r="P170" s="17">
        <v>704232.18940000003</v>
      </c>
      <c r="Q170" s="17">
        <v>559676.72420000006</v>
      </c>
      <c r="R170" s="17">
        <v>202529.66399999999</v>
      </c>
      <c r="S170" s="17">
        <v>0</v>
      </c>
      <c r="T170" s="17">
        <v>0</v>
      </c>
      <c r="U170" s="17">
        <v>0</v>
      </c>
      <c r="V170" s="17">
        <v>0</v>
      </c>
      <c r="W170" s="17">
        <v>0</v>
      </c>
      <c r="X170" s="17">
        <v>0</v>
      </c>
      <c r="Y170" s="17">
        <v>0</v>
      </c>
      <c r="Z170" s="17">
        <v>0</v>
      </c>
      <c r="AA170" s="17">
        <v>0</v>
      </c>
      <c r="AB170" s="17">
        <v>0</v>
      </c>
      <c r="AC170" s="17">
        <v>0</v>
      </c>
      <c r="AD170" s="17">
        <v>0</v>
      </c>
      <c r="AE170" s="17">
        <v>0</v>
      </c>
      <c r="AF170" s="17">
        <v>0</v>
      </c>
      <c r="AG170" s="17">
        <v>0</v>
      </c>
      <c r="AH170" s="17">
        <v>0</v>
      </c>
      <c r="AI170" s="17">
        <v>0</v>
      </c>
      <c r="AJ170" s="17">
        <v>0</v>
      </c>
      <c r="AK170" s="17">
        <v>0</v>
      </c>
      <c r="AL170" s="17">
        <v>0</v>
      </c>
      <c r="AM170" s="17">
        <v>0</v>
      </c>
      <c r="AN170" s="17">
        <v>0</v>
      </c>
      <c r="AO170" s="17">
        <v>0</v>
      </c>
      <c r="AP170" s="18">
        <f t="shared" si="2"/>
        <v>37696935.640700005</v>
      </c>
    </row>
    <row r="171" spans="1:42" ht="24" customHeight="1" x14ac:dyDescent="0.2">
      <c r="A171" s="16" t="s">
        <v>564</v>
      </c>
      <c r="B171" s="16" t="s">
        <v>567</v>
      </c>
      <c r="C171" s="16" t="s">
        <v>197</v>
      </c>
      <c r="D171" s="16" t="s">
        <v>511</v>
      </c>
      <c r="E171" s="17">
        <v>53395.226600000002</v>
      </c>
      <c r="F171" s="17">
        <v>87352.681400000001</v>
      </c>
      <c r="G171" s="17">
        <v>172362.0741</v>
      </c>
      <c r="H171" s="17">
        <v>187714.18890000001</v>
      </c>
      <c r="I171" s="17">
        <v>146575.74299999999</v>
      </c>
      <c r="J171" s="17">
        <v>112758.156</v>
      </c>
      <c r="K171" s="17">
        <v>87662.444199999998</v>
      </c>
      <c r="L171" s="17">
        <v>69663.164999999994</v>
      </c>
      <c r="M171" s="17">
        <v>55906.370900000002</v>
      </c>
      <c r="N171" s="17">
        <v>44972.2402</v>
      </c>
      <c r="O171" s="17">
        <v>36585.534599999999</v>
      </c>
      <c r="P171" s="17">
        <v>30014.653600000001</v>
      </c>
      <c r="Q171" s="17">
        <v>24896.5982</v>
      </c>
      <c r="R171" s="17">
        <v>19422.281800000001</v>
      </c>
      <c r="S171" s="17">
        <v>11310.606299999999</v>
      </c>
      <c r="T171" s="17">
        <v>0</v>
      </c>
      <c r="U171" s="17">
        <v>0</v>
      </c>
      <c r="V171" s="17">
        <v>0</v>
      </c>
      <c r="W171" s="17">
        <v>0</v>
      </c>
      <c r="X171" s="17">
        <v>0</v>
      </c>
      <c r="Y171" s="17">
        <v>0</v>
      </c>
      <c r="Z171" s="17">
        <v>0</v>
      </c>
      <c r="AA171" s="17">
        <v>0</v>
      </c>
      <c r="AB171" s="17">
        <v>0</v>
      </c>
      <c r="AC171" s="17">
        <v>0</v>
      </c>
      <c r="AD171" s="17">
        <v>0</v>
      </c>
      <c r="AE171" s="17">
        <v>0</v>
      </c>
      <c r="AF171" s="17">
        <v>0</v>
      </c>
      <c r="AG171" s="17">
        <v>0</v>
      </c>
      <c r="AH171" s="17">
        <v>0</v>
      </c>
      <c r="AI171" s="17">
        <v>0</v>
      </c>
      <c r="AJ171" s="17">
        <v>0</v>
      </c>
      <c r="AK171" s="17">
        <v>0</v>
      </c>
      <c r="AL171" s="17">
        <v>0</v>
      </c>
      <c r="AM171" s="17">
        <v>0</v>
      </c>
      <c r="AN171" s="17">
        <v>0</v>
      </c>
      <c r="AO171" s="17">
        <v>0</v>
      </c>
      <c r="AP171" s="18">
        <f t="shared" si="2"/>
        <v>1140591.9648</v>
      </c>
    </row>
    <row r="172" spans="1:42" ht="24" customHeight="1" x14ac:dyDescent="0.2">
      <c r="A172" s="16" t="s">
        <v>564</v>
      </c>
      <c r="B172" s="16" t="s">
        <v>568</v>
      </c>
      <c r="C172" s="16" t="s">
        <v>321</v>
      </c>
      <c r="D172" s="16" t="s">
        <v>511</v>
      </c>
      <c r="E172" s="17">
        <v>56511.093200000003</v>
      </c>
      <c r="F172" s="17">
        <v>50989.931700000001</v>
      </c>
      <c r="G172" s="17">
        <v>46140.661500000002</v>
      </c>
      <c r="H172" s="17">
        <v>41752.569100000001</v>
      </c>
      <c r="I172" s="17">
        <v>37880.207499999997</v>
      </c>
      <c r="J172" s="17">
        <v>34179.292600000001</v>
      </c>
      <c r="K172" s="17">
        <v>30928.756300000001</v>
      </c>
      <c r="L172" s="17">
        <v>27987.3541</v>
      </c>
      <c r="M172" s="17">
        <v>21334.4208</v>
      </c>
      <c r="N172" s="17">
        <v>0</v>
      </c>
      <c r="O172" s="17">
        <v>0</v>
      </c>
      <c r="P172" s="17">
        <v>0</v>
      </c>
      <c r="Q172" s="17">
        <v>0</v>
      </c>
      <c r="R172" s="17">
        <v>0</v>
      </c>
      <c r="S172" s="17">
        <v>0</v>
      </c>
      <c r="T172" s="17">
        <v>0</v>
      </c>
      <c r="U172" s="17">
        <v>0</v>
      </c>
      <c r="V172" s="17">
        <v>0</v>
      </c>
      <c r="W172" s="17">
        <v>0</v>
      </c>
      <c r="X172" s="17">
        <v>0</v>
      </c>
      <c r="Y172" s="17">
        <v>0</v>
      </c>
      <c r="Z172" s="17">
        <v>0</v>
      </c>
      <c r="AA172" s="17">
        <v>0</v>
      </c>
      <c r="AB172" s="17">
        <v>0</v>
      </c>
      <c r="AC172" s="17">
        <v>0</v>
      </c>
      <c r="AD172" s="17">
        <v>0</v>
      </c>
      <c r="AE172" s="17">
        <v>0</v>
      </c>
      <c r="AF172" s="17">
        <v>0</v>
      </c>
      <c r="AG172" s="17">
        <v>0</v>
      </c>
      <c r="AH172" s="17">
        <v>0</v>
      </c>
      <c r="AI172" s="17">
        <v>0</v>
      </c>
      <c r="AJ172" s="17">
        <v>0</v>
      </c>
      <c r="AK172" s="17">
        <v>0</v>
      </c>
      <c r="AL172" s="17">
        <v>0</v>
      </c>
      <c r="AM172" s="17">
        <v>0</v>
      </c>
      <c r="AN172" s="17">
        <v>0</v>
      </c>
      <c r="AO172" s="17">
        <v>0</v>
      </c>
      <c r="AP172" s="18">
        <f t="shared" si="2"/>
        <v>347704.2868</v>
      </c>
    </row>
    <row r="173" spans="1:42" ht="24" customHeight="1" x14ac:dyDescent="0.2">
      <c r="A173" s="16" t="s">
        <v>564</v>
      </c>
      <c r="B173" s="16" t="s">
        <v>569</v>
      </c>
      <c r="C173" s="16" t="s">
        <v>308</v>
      </c>
      <c r="D173" s="16" t="s">
        <v>511</v>
      </c>
      <c r="E173" s="17">
        <v>44035.318599999999</v>
      </c>
      <c r="F173" s="17">
        <v>36808.061199999996</v>
      </c>
      <c r="G173" s="17">
        <v>25732.285</v>
      </c>
      <c r="H173" s="17">
        <v>15631.1965</v>
      </c>
      <c r="I173" s="17">
        <v>11183.930399999999</v>
      </c>
      <c r="J173" s="17">
        <v>0</v>
      </c>
      <c r="K173" s="17">
        <v>0</v>
      </c>
      <c r="L173" s="17">
        <v>0</v>
      </c>
      <c r="M173" s="17">
        <v>0</v>
      </c>
      <c r="N173" s="17">
        <v>0</v>
      </c>
      <c r="O173" s="17">
        <v>0</v>
      </c>
      <c r="P173" s="17">
        <v>0</v>
      </c>
      <c r="Q173" s="17">
        <v>0</v>
      </c>
      <c r="R173" s="17">
        <v>0</v>
      </c>
      <c r="S173" s="17">
        <v>0</v>
      </c>
      <c r="T173" s="17">
        <v>0</v>
      </c>
      <c r="U173" s="17">
        <v>0</v>
      </c>
      <c r="V173" s="17">
        <v>0</v>
      </c>
      <c r="W173" s="17">
        <v>0</v>
      </c>
      <c r="X173" s="17">
        <v>0</v>
      </c>
      <c r="Y173" s="17">
        <v>0</v>
      </c>
      <c r="Z173" s="17">
        <v>0</v>
      </c>
      <c r="AA173" s="17">
        <v>0</v>
      </c>
      <c r="AB173" s="17">
        <v>0</v>
      </c>
      <c r="AC173" s="17">
        <v>0</v>
      </c>
      <c r="AD173" s="17">
        <v>0</v>
      </c>
      <c r="AE173" s="17">
        <v>0</v>
      </c>
      <c r="AF173" s="17">
        <v>0</v>
      </c>
      <c r="AG173" s="17">
        <v>0</v>
      </c>
      <c r="AH173" s="17">
        <v>0</v>
      </c>
      <c r="AI173" s="17">
        <v>0</v>
      </c>
      <c r="AJ173" s="17">
        <v>0</v>
      </c>
      <c r="AK173" s="17">
        <v>0</v>
      </c>
      <c r="AL173" s="17">
        <v>0</v>
      </c>
      <c r="AM173" s="17">
        <v>0</v>
      </c>
      <c r="AN173" s="17">
        <v>0</v>
      </c>
      <c r="AO173" s="17">
        <v>0</v>
      </c>
      <c r="AP173" s="18">
        <f t="shared" si="2"/>
        <v>133390.7917</v>
      </c>
    </row>
    <row r="174" spans="1:42" ht="24" customHeight="1" x14ac:dyDescent="0.2">
      <c r="A174" s="16" t="s">
        <v>564</v>
      </c>
      <c r="B174" s="16" t="s">
        <v>569</v>
      </c>
      <c r="C174" s="16" t="s">
        <v>412</v>
      </c>
      <c r="D174" s="16" t="s">
        <v>511</v>
      </c>
      <c r="E174" s="17">
        <v>59041.445200000002</v>
      </c>
      <c r="F174" s="17">
        <v>52582.9323</v>
      </c>
      <c r="G174" s="17">
        <v>47293.315199999997</v>
      </c>
      <c r="H174" s="17">
        <v>42781.052600000003</v>
      </c>
      <c r="I174" s="17">
        <v>32740.3226</v>
      </c>
      <c r="J174" s="17">
        <v>0</v>
      </c>
      <c r="K174" s="17">
        <v>0</v>
      </c>
      <c r="L174" s="17">
        <v>0</v>
      </c>
      <c r="M174" s="17">
        <v>0</v>
      </c>
      <c r="N174" s="17">
        <v>0</v>
      </c>
      <c r="O174" s="17">
        <v>0</v>
      </c>
      <c r="P174" s="17">
        <v>0</v>
      </c>
      <c r="Q174" s="17">
        <v>0</v>
      </c>
      <c r="R174" s="17">
        <v>0</v>
      </c>
      <c r="S174" s="17">
        <v>0</v>
      </c>
      <c r="T174" s="17">
        <v>0</v>
      </c>
      <c r="U174" s="17">
        <v>0</v>
      </c>
      <c r="V174" s="17">
        <v>0</v>
      </c>
      <c r="W174" s="17">
        <v>0</v>
      </c>
      <c r="X174" s="17">
        <v>0</v>
      </c>
      <c r="Y174" s="17">
        <v>0</v>
      </c>
      <c r="Z174" s="17">
        <v>0</v>
      </c>
      <c r="AA174" s="17">
        <v>0</v>
      </c>
      <c r="AB174" s="17">
        <v>0</v>
      </c>
      <c r="AC174" s="17">
        <v>0</v>
      </c>
      <c r="AD174" s="17">
        <v>0</v>
      </c>
      <c r="AE174" s="17">
        <v>0</v>
      </c>
      <c r="AF174" s="17">
        <v>0</v>
      </c>
      <c r="AG174" s="17">
        <v>0</v>
      </c>
      <c r="AH174" s="17">
        <v>0</v>
      </c>
      <c r="AI174" s="17">
        <v>0</v>
      </c>
      <c r="AJ174" s="17">
        <v>0</v>
      </c>
      <c r="AK174" s="17">
        <v>0</v>
      </c>
      <c r="AL174" s="17">
        <v>0</v>
      </c>
      <c r="AM174" s="17">
        <v>0</v>
      </c>
      <c r="AN174" s="17">
        <v>0</v>
      </c>
      <c r="AO174" s="17">
        <v>0</v>
      </c>
      <c r="AP174" s="18">
        <f t="shared" si="2"/>
        <v>234439.06790000002</v>
      </c>
    </row>
    <row r="175" spans="1:42" ht="24" customHeight="1" x14ac:dyDescent="0.2">
      <c r="A175" s="16" t="s">
        <v>564</v>
      </c>
      <c r="B175" s="16" t="s">
        <v>405</v>
      </c>
      <c r="C175" s="16" t="s">
        <v>299</v>
      </c>
      <c r="D175" s="16" t="s">
        <v>511</v>
      </c>
      <c r="E175" s="17">
        <v>125532.1446</v>
      </c>
      <c r="F175" s="17">
        <v>108664.53909999999</v>
      </c>
      <c r="G175" s="17">
        <v>94424.734400000001</v>
      </c>
      <c r="H175" s="17">
        <v>82118.986499999999</v>
      </c>
      <c r="I175" s="17">
        <v>70623.892399999997</v>
      </c>
      <c r="J175" s="17">
        <v>60215.200400000002</v>
      </c>
      <c r="K175" s="17">
        <v>51358.960800000001</v>
      </c>
      <c r="L175" s="17">
        <v>44941.906000000003</v>
      </c>
      <c r="M175" s="17">
        <v>38420.503900000003</v>
      </c>
      <c r="N175" s="17">
        <v>32943.2889</v>
      </c>
      <c r="O175" s="17">
        <v>28929.848300000001</v>
      </c>
      <c r="P175" s="17">
        <v>2288.2604999999999</v>
      </c>
      <c r="Q175" s="17">
        <v>0</v>
      </c>
      <c r="R175" s="17">
        <v>0</v>
      </c>
      <c r="S175" s="17">
        <v>0</v>
      </c>
      <c r="T175" s="17">
        <v>0</v>
      </c>
      <c r="U175" s="17">
        <v>0</v>
      </c>
      <c r="V175" s="17">
        <v>0</v>
      </c>
      <c r="W175" s="17">
        <v>0</v>
      </c>
      <c r="X175" s="17">
        <v>0</v>
      </c>
      <c r="Y175" s="17">
        <v>0</v>
      </c>
      <c r="Z175" s="17">
        <v>0</v>
      </c>
      <c r="AA175" s="17">
        <v>0</v>
      </c>
      <c r="AB175" s="17">
        <v>0</v>
      </c>
      <c r="AC175" s="17">
        <v>0</v>
      </c>
      <c r="AD175" s="17">
        <v>0</v>
      </c>
      <c r="AE175" s="17">
        <v>0</v>
      </c>
      <c r="AF175" s="17">
        <v>0</v>
      </c>
      <c r="AG175" s="17">
        <v>0</v>
      </c>
      <c r="AH175" s="17">
        <v>0</v>
      </c>
      <c r="AI175" s="17">
        <v>0</v>
      </c>
      <c r="AJ175" s="17">
        <v>0</v>
      </c>
      <c r="AK175" s="17">
        <v>0</v>
      </c>
      <c r="AL175" s="17">
        <v>0</v>
      </c>
      <c r="AM175" s="17">
        <v>0</v>
      </c>
      <c r="AN175" s="17">
        <v>0</v>
      </c>
      <c r="AO175" s="17">
        <v>0</v>
      </c>
      <c r="AP175" s="18">
        <f t="shared" si="2"/>
        <v>740462.26579999994</v>
      </c>
    </row>
    <row r="176" spans="1:42" ht="24" customHeight="1" x14ac:dyDescent="0.2">
      <c r="A176" s="16" t="s">
        <v>564</v>
      </c>
      <c r="B176" s="16" t="s">
        <v>405</v>
      </c>
      <c r="C176" s="16" t="s">
        <v>360</v>
      </c>
      <c r="D176" s="16" t="s">
        <v>511</v>
      </c>
      <c r="E176" s="17">
        <v>0</v>
      </c>
      <c r="F176" s="17">
        <v>0</v>
      </c>
      <c r="G176" s="17">
        <v>24433.1764</v>
      </c>
      <c r="H176" s="17">
        <v>22086.5609</v>
      </c>
      <c r="I176" s="17">
        <v>18160.1152</v>
      </c>
      <c r="J176" s="17">
        <v>14853.1345</v>
      </c>
      <c r="K176" s="17">
        <v>12187.6855</v>
      </c>
      <c r="L176" s="17">
        <v>10002.729600000001</v>
      </c>
      <c r="M176" s="17">
        <v>5470.6632</v>
      </c>
      <c r="N176" s="17">
        <v>2956.2856000000002</v>
      </c>
      <c r="O176" s="17">
        <v>0</v>
      </c>
      <c r="P176" s="17">
        <v>0</v>
      </c>
      <c r="Q176" s="17">
        <v>0</v>
      </c>
      <c r="R176" s="17">
        <v>0</v>
      </c>
      <c r="S176" s="17">
        <v>0</v>
      </c>
      <c r="T176" s="17">
        <v>0</v>
      </c>
      <c r="U176" s="17">
        <v>0</v>
      </c>
      <c r="V176" s="17">
        <v>0</v>
      </c>
      <c r="W176" s="17">
        <v>0</v>
      </c>
      <c r="X176" s="17">
        <v>0</v>
      </c>
      <c r="Y176" s="17">
        <v>0</v>
      </c>
      <c r="Z176" s="17">
        <v>0</v>
      </c>
      <c r="AA176" s="17">
        <v>0</v>
      </c>
      <c r="AB176" s="17">
        <v>0</v>
      </c>
      <c r="AC176" s="17">
        <v>0</v>
      </c>
      <c r="AD176" s="17">
        <v>0</v>
      </c>
      <c r="AE176" s="17">
        <v>0</v>
      </c>
      <c r="AF176" s="17">
        <v>0</v>
      </c>
      <c r="AG176" s="17">
        <v>0</v>
      </c>
      <c r="AH176" s="17">
        <v>0</v>
      </c>
      <c r="AI176" s="17">
        <v>0</v>
      </c>
      <c r="AJ176" s="17">
        <v>0</v>
      </c>
      <c r="AK176" s="17">
        <v>0</v>
      </c>
      <c r="AL176" s="17">
        <v>0</v>
      </c>
      <c r="AM176" s="17">
        <v>0</v>
      </c>
      <c r="AN176" s="17">
        <v>0</v>
      </c>
      <c r="AO176" s="17">
        <v>0</v>
      </c>
      <c r="AP176" s="18">
        <f t="shared" si="2"/>
        <v>110150.35089999999</v>
      </c>
    </row>
    <row r="177" spans="1:42" ht="24" customHeight="1" x14ac:dyDescent="0.2">
      <c r="A177" s="16" t="s">
        <v>564</v>
      </c>
      <c r="B177" s="16" t="s">
        <v>405</v>
      </c>
      <c r="C177" s="16" t="s">
        <v>387</v>
      </c>
      <c r="D177" s="16" t="s">
        <v>511</v>
      </c>
      <c r="E177" s="17">
        <v>65717.098400000003</v>
      </c>
      <c r="F177" s="17">
        <v>55612.277699999999</v>
      </c>
      <c r="G177" s="17">
        <v>49775.986400000002</v>
      </c>
      <c r="H177" s="17">
        <v>45042.165399999998</v>
      </c>
      <c r="I177" s="17">
        <v>40864.708700000003</v>
      </c>
      <c r="J177" s="17">
        <v>36872.206599999998</v>
      </c>
      <c r="K177" s="17">
        <v>33365.5674</v>
      </c>
      <c r="L177" s="17">
        <v>30192.418399999999</v>
      </c>
      <c r="M177" s="17">
        <v>27392.2084</v>
      </c>
      <c r="N177" s="17">
        <v>24715.976200000001</v>
      </c>
      <c r="O177" s="17">
        <v>22365.424999999999</v>
      </c>
      <c r="P177" s="17">
        <v>20238.417099999999</v>
      </c>
      <c r="Q177" s="17">
        <v>18361.3956</v>
      </c>
      <c r="R177" s="17">
        <v>16567.478200000001</v>
      </c>
      <c r="S177" s="17">
        <v>14991.8696</v>
      </c>
      <c r="T177" s="17">
        <v>13566.1052</v>
      </c>
      <c r="U177" s="17">
        <v>12307.910400000001</v>
      </c>
      <c r="V177" s="17">
        <v>7200.4272000000001</v>
      </c>
      <c r="W177" s="17">
        <v>0</v>
      </c>
      <c r="X177" s="17">
        <v>0</v>
      </c>
      <c r="Y177" s="17">
        <v>0</v>
      </c>
      <c r="Z177" s="17">
        <v>0</v>
      </c>
      <c r="AA177" s="17">
        <v>0</v>
      </c>
      <c r="AB177" s="17">
        <v>0</v>
      </c>
      <c r="AC177" s="17">
        <v>0</v>
      </c>
      <c r="AD177" s="17">
        <v>0</v>
      </c>
      <c r="AE177" s="17">
        <v>0</v>
      </c>
      <c r="AF177" s="17">
        <v>0</v>
      </c>
      <c r="AG177" s="17">
        <v>0</v>
      </c>
      <c r="AH177" s="17">
        <v>0</v>
      </c>
      <c r="AI177" s="17">
        <v>0</v>
      </c>
      <c r="AJ177" s="17">
        <v>0</v>
      </c>
      <c r="AK177" s="17">
        <v>0</v>
      </c>
      <c r="AL177" s="17">
        <v>0</v>
      </c>
      <c r="AM177" s="17">
        <v>0</v>
      </c>
      <c r="AN177" s="17">
        <v>0</v>
      </c>
      <c r="AO177" s="17">
        <v>0</v>
      </c>
      <c r="AP177" s="18">
        <f t="shared" si="2"/>
        <v>535149.64190000005</v>
      </c>
    </row>
    <row r="178" spans="1:42" ht="24" customHeight="1" x14ac:dyDescent="0.2">
      <c r="A178" s="16" t="s">
        <v>570</v>
      </c>
      <c r="B178" s="16" t="s">
        <v>571</v>
      </c>
      <c r="C178" s="16" t="s">
        <v>220</v>
      </c>
      <c r="D178" s="16" t="s">
        <v>511</v>
      </c>
      <c r="E178" s="17">
        <v>129413.90429999999</v>
      </c>
      <c r="F178" s="17">
        <v>97875.099900000001</v>
      </c>
      <c r="G178" s="17">
        <v>138309.19870000001</v>
      </c>
      <c r="H178" s="17">
        <v>395265.77679999999</v>
      </c>
      <c r="I178" s="17">
        <v>391423.83319999999</v>
      </c>
      <c r="J178" s="17">
        <v>299006.44669999997</v>
      </c>
      <c r="K178" s="17">
        <v>233229.56469999999</v>
      </c>
      <c r="L178" s="17">
        <v>184756.7671</v>
      </c>
      <c r="M178" s="17">
        <v>148726.95879999999</v>
      </c>
      <c r="N178" s="17">
        <v>120515.63959999999</v>
      </c>
      <c r="O178" s="17">
        <v>95664.266399999993</v>
      </c>
      <c r="P178" s="17">
        <v>79059.302500000005</v>
      </c>
      <c r="Q178" s="17">
        <v>66319.821200000006</v>
      </c>
      <c r="R178" s="17">
        <v>55777.2935</v>
      </c>
      <c r="S178" s="17">
        <v>4327.1090999999997</v>
      </c>
      <c r="T178" s="17">
        <v>0</v>
      </c>
      <c r="U178" s="17">
        <v>0</v>
      </c>
      <c r="V178" s="17">
        <v>0</v>
      </c>
      <c r="W178" s="17">
        <v>0</v>
      </c>
      <c r="X178" s="17">
        <v>0</v>
      </c>
      <c r="Y178" s="17">
        <v>0</v>
      </c>
      <c r="Z178" s="17">
        <v>0</v>
      </c>
      <c r="AA178" s="17">
        <v>0</v>
      </c>
      <c r="AB178" s="17">
        <v>0</v>
      </c>
      <c r="AC178" s="17">
        <v>0</v>
      </c>
      <c r="AD178" s="17">
        <v>0</v>
      </c>
      <c r="AE178" s="17">
        <v>0</v>
      </c>
      <c r="AF178" s="17">
        <v>0</v>
      </c>
      <c r="AG178" s="17">
        <v>0</v>
      </c>
      <c r="AH178" s="17">
        <v>0</v>
      </c>
      <c r="AI178" s="17">
        <v>0</v>
      </c>
      <c r="AJ178" s="17">
        <v>0</v>
      </c>
      <c r="AK178" s="17">
        <v>0</v>
      </c>
      <c r="AL178" s="17">
        <v>0</v>
      </c>
      <c r="AM178" s="17">
        <v>0</v>
      </c>
      <c r="AN178" s="17">
        <v>0</v>
      </c>
      <c r="AO178" s="17">
        <v>0</v>
      </c>
      <c r="AP178" s="18">
        <f t="shared" si="2"/>
        <v>2439670.9825000004</v>
      </c>
    </row>
    <row r="179" spans="1:42" ht="24" customHeight="1" x14ac:dyDescent="0.2">
      <c r="A179" s="16" t="s">
        <v>570</v>
      </c>
      <c r="B179" s="16" t="s">
        <v>572</v>
      </c>
      <c r="C179" s="16" t="s">
        <v>316</v>
      </c>
      <c r="D179" s="16" t="s">
        <v>511</v>
      </c>
      <c r="E179" s="17">
        <v>60996.873500000002</v>
      </c>
      <c r="F179" s="17">
        <v>43976.578699999998</v>
      </c>
      <c r="G179" s="17">
        <v>225007.5722</v>
      </c>
      <c r="H179" s="17">
        <v>352835.63329999999</v>
      </c>
      <c r="I179" s="17">
        <v>202647.48970000001</v>
      </c>
      <c r="J179" s="17">
        <v>120442.9687</v>
      </c>
      <c r="K179" s="17">
        <v>74047.002299999993</v>
      </c>
      <c r="L179" s="17">
        <v>32642.7356</v>
      </c>
      <c r="M179" s="17">
        <v>0</v>
      </c>
      <c r="N179" s="17">
        <v>0</v>
      </c>
      <c r="O179" s="17">
        <v>0</v>
      </c>
      <c r="P179" s="17">
        <v>0</v>
      </c>
      <c r="Q179" s="17">
        <v>0</v>
      </c>
      <c r="R179" s="17">
        <v>0</v>
      </c>
      <c r="S179" s="17">
        <v>0</v>
      </c>
      <c r="T179" s="17">
        <v>0</v>
      </c>
      <c r="U179" s="17">
        <v>0</v>
      </c>
      <c r="V179" s="17">
        <v>0</v>
      </c>
      <c r="W179" s="17">
        <v>0</v>
      </c>
      <c r="X179" s="17">
        <v>0</v>
      </c>
      <c r="Y179" s="17">
        <v>0</v>
      </c>
      <c r="Z179" s="17">
        <v>0</v>
      </c>
      <c r="AA179" s="17">
        <v>0</v>
      </c>
      <c r="AB179" s="17">
        <v>0</v>
      </c>
      <c r="AC179" s="17">
        <v>0</v>
      </c>
      <c r="AD179" s="17">
        <v>0</v>
      </c>
      <c r="AE179" s="17">
        <v>0</v>
      </c>
      <c r="AF179" s="17">
        <v>0</v>
      </c>
      <c r="AG179" s="17">
        <v>0</v>
      </c>
      <c r="AH179" s="17">
        <v>0</v>
      </c>
      <c r="AI179" s="17">
        <v>0</v>
      </c>
      <c r="AJ179" s="17">
        <v>0</v>
      </c>
      <c r="AK179" s="17">
        <v>0</v>
      </c>
      <c r="AL179" s="17">
        <v>0</v>
      </c>
      <c r="AM179" s="17">
        <v>0</v>
      </c>
      <c r="AN179" s="17">
        <v>0</v>
      </c>
      <c r="AO179" s="17">
        <v>0</v>
      </c>
      <c r="AP179" s="18">
        <f t="shared" si="2"/>
        <v>1112596.8540000001</v>
      </c>
    </row>
    <row r="180" spans="1:42" ht="15" customHeight="1" x14ac:dyDescent="0.2">
      <c r="A180" s="16" t="s">
        <v>573</v>
      </c>
      <c r="B180" s="16" t="s">
        <v>574</v>
      </c>
      <c r="C180" s="16" t="s">
        <v>326</v>
      </c>
      <c r="D180" s="16" t="s">
        <v>511</v>
      </c>
      <c r="E180" s="17">
        <v>13729.2228</v>
      </c>
      <c r="F180" s="17">
        <v>108709.5782</v>
      </c>
      <c r="G180" s="17">
        <v>64202.236400000002</v>
      </c>
      <c r="H180" s="17">
        <v>44599.3433</v>
      </c>
      <c r="I180" s="17">
        <v>32624.749199999998</v>
      </c>
      <c r="J180" s="17">
        <v>24808.592799999999</v>
      </c>
      <c r="K180" s="17">
        <v>19442.9931</v>
      </c>
      <c r="L180" s="17">
        <v>15610.6059</v>
      </c>
      <c r="M180" s="17">
        <v>12784.1801</v>
      </c>
      <c r="N180" s="17">
        <v>6434.3793999999998</v>
      </c>
      <c r="O180" s="17">
        <v>0</v>
      </c>
      <c r="P180" s="17">
        <v>0</v>
      </c>
      <c r="Q180" s="17">
        <v>0</v>
      </c>
      <c r="R180" s="17">
        <v>0</v>
      </c>
      <c r="S180" s="17">
        <v>0</v>
      </c>
      <c r="T180" s="17">
        <v>0</v>
      </c>
      <c r="U180" s="17">
        <v>0</v>
      </c>
      <c r="V180" s="17">
        <v>0</v>
      </c>
      <c r="W180" s="17">
        <v>0</v>
      </c>
      <c r="X180" s="17">
        <v>0</v>
      </c>
      <c r="Y180" s="17">
        <v>0</v>
      </c>
      <c r="Z180" s="17">
        <v>0</v>
      </c>
      <c r="AA180" s="17">
        <v>0</v>
      </c>
      <c r="AB180" s="17">
        <v>0</v>
      </c>
      <c r="AC180" s="17">
        <v>0</v>
      </c>
      <c r="AD180" s="17">
        <v>0</v>
      </c>
      <c r="AE180" s="17">
        <v>0</v>
      </c>
      <c r="AF180" s="17">
        <v>0</v>
      </c>
      <c r="AG180" s="17">
        <v>0</v>
      </c>
      <c r="AH180" s="17">
        <v>0</v>
      </c>
      <c r="AI180" s="17">
        <v>0</v>
      </c>
      <c r="AJ180" s="17">
        <v>0</v>
      </c>
      <c r="AK180" s="17">
        <v>0</v>
      </c>
      <c r="AL180" s="17">
        <v>0</v>
      </c>
      <c r="AM180" s="17">
        <v>0</v>
      </c>
      <c r="AN180" s="17">
        <v>0</v>
      </c>
      <c r="AO180" s="17">
        <v>0</v>
      </c>
      <c r="AP180" s="18">
        <f t="shared" si="2"/>
        <v>342945.8812</v>
      </c>
    </row>
    <row r="181" spans="1:42" ht="15" customHeight="1" x14ac:dyDescent="0.2">
      <c r="A181" s="16" t="s">
        <v>575</v>
      </c>
      <c r="B181" s="16" t="s">
        <v>576</v>
      </c>
      <c r="C181" s="16" t="s">
        <v>413</v>
      </c>
      <c r="D181" s="16" t="s">
        <v>511</v>
      </c>
      <c r="E181" s="17">
        <v>25881.626499999998</v>
      </c>
      <c r="F181" s="17">
        <v>23655.654999999999</v>
      </c>
      <c r="G181" s="17">
        <v>21693.171699999999</v>
      </c>
      <c r="H181" s="17">
        <v>19904.944299999999</v>
      </c>
      <c r="I181" s="17">
        <v>18324.419699999999</v>
      </c>
      <c r="J181" s="17">
        <v>16786.471300000001</v>
      </c>
      <c r="K181" s="17">
        <v>15427.884</v>
      </c>
      <c r="L181" s="17">
        <v>0</v>
      </c>
      <c r="M181" s="17">
        <v>0</v>
      </c>
      <c r="N181" s="17">
        <v>0</v>
      </c>
      <c r="O181" s="17">
        <v>0</v>
      </c>
      <c r="P181" s="17">
        <v>0</v>
      </c>
      <c r="Q181" s="17">
        <v>0</v>
      </c>
      <c r="R181" s="17">
        <v>0</v>
      </c>
      <c r="S181" s="17">
        <v>0</v>
      </c>
      <c r="T181" s="17">
        <v>0</v>
      </c>
      <c r="U181" s="17">
        <v>0</v>
      </c>
      <c r="V181" s="17">
        <v>0</v>
      </c>
      <c r="W181" s="17">
        <v>0</v>
      </c>
      <c r="X181" s="17">
        <v>0</v>
      </c>
      <c r="Y181" s="17">
        <v>0</v>
      </c>
      <c r="Z181" s="17">
        <v>0</v>
      </c>
      <c r="AA181" s="17">
        <v>0</v>
      </c>
      <c r="AB181" s="17">
        <v>0</v>
      </c>
      <c r="AC181" s="17">
        <v>0</v>
      </c>
      <c r="AD181" s="17">
        <v>0</v>
      </c>
      <c r="AE181" s="17">
        <v>0</v>
      </c>
      <c r="AF181" s="17">
        <v>0</v>
      </c>
      <c r="AG181" s="17">
        <v>0</v>
      </c>
      <c r="AH181" s="17">
        <v>0</v>
      </c>
      <c r="AI181" s="17">
        <v>0</v>
      </c>
      <c r="AJ181" s="17">
        <v>0</v>
      </c>
      <c r="AK181" s="17">
        <v>0</v>
      </c>
      <c r="AL181" s="17">
        <v>0</v>
      </c>
      <c r="AM181" s="17">
        <v>0</v>
      </c>
      <c r="AN181" s="17">
        <v>0</v>
      </c>
      <c r="AO181" s="17">
        <v>0</v>
      </c>
      <c r="AP181" s="18">
        <f t="shared" si="2"/>
        <v>141674.17249999999</v>
      </c>
    </row>
    <row r="182" spans="1:42" ht="15" customHeight="1" x14ac:dyDescent="0.2">
      <c r="A182" s="16" t="s">
        <v>575</v>
      </c>
      <c r="B182" s="16" t="s">
        <v>192</v>
      </c>
      <c r="C182" s="16" t="s">
        <v>192</v>
      </c>
      <c r="D182" s="16" t="s">
        <v>511</v>
      </c>
      <c r="E182" s="17">
        <v>14352.616400000001</v>
      </c>
      <c r="F182" s="17">
        <v>12738.928900000001</v>
      </c>
      <c r="G182" s="17">
        <v>11337.649600000001</v>
      </c>
      <c r="H182" s="17">
        <v>10090.512000000001</v>
      </c>
      <c r="I182" s="17">
        <v>9005.1646999999994</v>
      </c>
      <c r="J182" s="17">
        <v>7992.7040999999999</v>
      </c>
      <c r="K182" s="17">
        <v>7113.5123000000003</v>
      </c>
      <c r="L182" s="17">
        <v>6331.0317999999997</v>
      </c>
      <c r="M182" s="17">
        <v>0</v>
      </c>
      <c r="N182" s="17">
        <v>0</v>
      </c>
      <c r="O182" s="17">
        <v>0</v>
      </c>
      <c r="P182" s="17">
        <v>0</v>
      </c>
      <c r="Q182" s="17">
        <v>0</v>
      </c>
      <c r="R182" s="17">
        <v>0</v>
      </c>
      <c r="S182" s="17">
        <v>0</v>
      </c>
      <c r="T182" s="17">
        <v>0</v>
      </c>
      <c r="U182" s="17">
        <v>0</v>
      </c>
      <c r="V182" s="17">
        <v>0</v>
      </c>
      <c r="W182" s="17">
        <v>0</v>
      </c>
      <c r="X182" s="17">
        <v>0</v>
      </c>
      <c r="Y182" s="17">
        <v>0</v>
      </c>
      <c r="Z182" s="17">
        <v>0</v>
      </c>
      <c r="AA182" s="17">
        <v>0</v>
      </c>
      <c r="AB182" s="17">
        <v>0</v>
      </c>
      <c r="AC182" s="17">
        <v>0</v>
      </c>
      <c r="AD182" s="17">
        <v>0</v>
      </c>
      <c r="AE182" s="17">
        <v>0</v>
      </c>
      <c r="AF182" s="17">
        <v>0</v>
      </c>
      <c r="AG182" s="17">
        <v>0</v>
      </c>
      <c r="AH182" s="17">
        <v>0</v>
      </c>
      <c r="AI182" s="17">
        <v>0</v>
      </c>
      <c r="AJ182" s="17">
        <v>0</v>
      </c>
      <c r="AK182" s="17">
        <v>0</v>
      </c>
      <c r="AL182" s="17">
        <v>0</v>
      </c>
      <c r="AM182" s="17">
        <v>0</v>
      </c>
      <c r="AN182" s="17">
        <v>0</v>
      </c>
      <c r="AO182" s="17">
        <v>0</v>
      </c>
      <c r="AP182" s="18">
        <f t="shared" si="2"/>
        <v>78962.1198</v>
      </c>
    </row>
    <row r="183" spans="1:42" ht="15" customHeight="1" x14ac:dyDescent="0.2">
      <c r="A183" s="16" t="s">
        <v>575</v>
      </c>
      <c r="B183" s="16" t="s">
        <v>577</v>
      </c>
      <c r="C183" s="16" t="s">
        <v>198</v>
      </c>
      <c r="D183" s="16" t="s">
        <v>511</v>
      </c>
      <c r="E183" s="17">
        <v>199346</v>
      </c>
      <c r="F183" s="17">
        <v>189831</v>
      </c>
      <c r="G183" s="17">
        <v>175095</v>
      </c>
      <c r="H183" s="17">
        <v>161620</v>
      </c>
      <c r="I183" s="17">
        <v>149328</v>
      </c>
      <c r="J183" s="17">
        <v>136385</v>
      </c>
      <c r="K183" s="17">
        <v>126286</v>
      </c>
      <c r="L183" s="17">
        <v>117007</v>
      </c>
      <c r="M183" s="17">
        <v>108745</v>
      </c>
      <c r="N183" s="17">
        <v>100578</v>
      </c>
      <c r="O183" s="17">
        <v>0</v>
      </c>
      <c r="P183" s="17">
        <v>0</v>
      </c>
      <c r="Q183" s="17">
        <v>0</v>
      </c>
      <c r="R183" s="17">
        <v>0</v>
      </c>
      <c r="S183" s="17">
        <v>0</v>
      </c>
      <c r="T183" s="17">
        <v>0</v>
      </c>
      <c r="U183" s="17">
        <v>0</v>
      </c>
      <c r="V183" s="17">
        <v>0</v>
      </c>
      <c r="W183" s="17">
        <v>0</v>
      </c>
      <c r="X183" s="17">
        <v>0</v>
      </c>
      <c r="Y183" s="17">
        <v>0</v>
      </c>
      <c r="Z183" s="17">
        <v>0</v>
      </c>
      <c r="AA183" s="17">
        <v>0</v>
      </c>
      <c r="AB183" s="17">
        <v>0</v>
      </c>
      <c r="AC183" s="17">
        <v>0</v>
      </c>
      <c r="AD183" s="17">
        <v>0</v>
      </c>
      <c r="AE183" s="17">
        <v>0</v>
      </c>
      <c r="AF183" s="17">
        <v>0</v>
      </c>
      <c r="AG183" s="17">
        <v>0</v>
      </c>
      <c r="AH183" s="17">
        <v>0</v>
      </c>
      <c r="AI183" s="17">
        <v>0</v>
      </c>
      <c r="AJ183" s="17">
        <v>0</v>
      </c>
      <c r="AK183" s="17">
        <v>0</v>
      </c>
      <c r="AL183" s="17">
        <v>0</v>
      </c>
      <c r="AM183" s="17">
        <v>0</v>
      </c>
      <c r="AN183" s="17">
        <v>0</v>
      </c>
      <c r="AO183" s="17">
        <v>0</v>
      </c>
      <c r="AP183" s="18">
        <f t="shared" si="2"/>
        <v>1464221</v>
      </c>
    </row>
    <row r="184" spans="1:42" ht="15" customHeight="1" x14ac:dyDescent="0.2">
      <c r="A184" s="16" t="s">
        <v>575</v>
      </c>
      <c r="B184" s="16" t="s">
        <v>578</v>
      </c>
      <c r="C184" s="16" t="s">
        <v>309</v>
      </c>
      <c r="D184" s="16" t="s">
        <v>511</v>
      </c>
      <c r="E184" s="17">
        <v>357285</v>
      </c>
      <c r="F184" s="17">
        <v>328722</v>
      </c>
      <c r="G184" s="17">
        <v>296087</v>
      </c>
      <c r="H184" s="17">
        <v>267565</v>
      </c>
      <c r="I184" s="17">
        <v>243175</v>
      </c>
      <c r="J184" s="17">
        <v>214058</v>
      </c>
      <c r="K184" s="17">
        <v>190756</v>
      </c>
      <c r="L184" s="17">
        <v>168005</v>
      </c>
      <c r="M184" s="17">
        <v>150175</v>
      </c>
      <c r="N184" s="17">
        <v>0</v>
      </c>
      <c r="O184" s="17">
        <v>0</v>
      </c>
      <c r="P184" s="17">
        <v>0</v>
      </c>
      <c r="Q184" s="17">
        <v>0</v>
      </c>
      <c r="R184" s="17">
        <v>0</v>
      </c>
      <c r="S184" s="17">
        <v>0</v>
      </c>
      <c r="T184" s="17">
        <v>0</v>
      </c>
      <c r="U184" s="17">
        <v>0</v>
      </c>
      <c r="V184" s="17">
        <v>0</v>
      </c>
      <c r="W184" s="17">
        <v>0</v>
      </c>
      <c r="X184" s="17">
        <v>0</v>
      </c>
      <c r="Y184" s="17">
        <v>0</v>
      </c>
      <c r="Z184" s="17">
        <v>0</v>
      </c>
      <c r="AA184" s="17">
        <v>0</v>
      </c>
      <c r="AB184" s="17">
        <v>0</v>
      </c>
      <c r="AC184" s="17">
        <v>0</v>
      </c>
      <c r="AD184" s="17">
        <v>0</v>
      </c>
      <c r="AE184" s="17">
        <v>0</v>
      </c>
      <c r="AF184" s="17">
        <v>0</v>
      </c>
      <c r="AG184" s="17">
        <v>0</v>
      </c>
      <c r="AH184" s="17">
        <v>0</v>
      </c>
      <c r="AI184" s="17">
        <v>0</v>
      </c>
      <c r="AJ184" s="17">
        <v>0</v>
      </c>
      <c r="AK184" s="17">
        <v>0</v>
      </c>
      <c r="AL184" s="17">
        <v>0</v>
      </c>
      <c r="AM184" s="17">
        <v>0</v>
      </c>
      <c r="AN184" s="17">
        <v>0</v>
      </c>
      <c r="AO184" s="17">
        <v>0</v>
      </c>
      <c r="AP184" s="18">
        <f t="shared" si="2"/>
        <v>2215828</v>
      </c>
    </row>
    <row r="185" spans="1:42" ht="15" customHeight="1" x14ac:dyDescent="0.2">
      <c r="A185" s="16" t="s">
        <v>575</v>
      </c>
      <c r="B185" s="16" t="s">
        <v>578</v>
      </c>
      <c r="C185" s="16" t="s">
        <v>310</v>
      </c>
      <c r="D185" s="16" t="s">
        <v>511</v>
      </c>
      <c r="E185" s="17">
        <v>38361</v>
      </c>
      <c r="F185" s="17">
        <v>35164</v>
      </c>
      <c r="G185" s="17">
        <v>30491</v>
      </c>
      <c r="H185" s="17">
        <v>26616</v>
      </c>
      <c r="I185" s="17">
        <v>23425</v>
      </c>
      <c r="J185" s="17">
        <v>20617</v>
      </c>
      <c r="K185" s="17">
        <v>18290</v>
      </c>
      <c r="L185" s="17">
        <v>14444</v>
      </c>
      <c r="M185" s="17">
        <v>12993</v>
      </c>
      <c r="N185" s="17">
        <v>0</v>
      </c>
      <c r="O185" s="17">
        <v>0</v>
      </c>
      <c r="P185" s="17">
        <v>0</v>
      </c>
      <c r="Q185" s="17">
        <v>0</v>
      </c>
      <c r="R185" s="17">
        <v>0</v>
      </c>
      <c r="S185" s="17">
        <v>0</v>
      </c>
      <c r="T185" s="17">
        <v>0</v>
      </c>
      <c r="U185" s="17">
        <v>0</v>
      </c>
      <c r="V185" s="17">
        <v>0</v>
      </c>
      <c r="W185" s="17">
        <v>0</v>
      </c>
      <c r="X185" s="17">
        <v>0</v>
      </c>
      <c r="Y185" s="17">
        <v>0</v>
      </c>
      <c r="Z185" s="17">
        <v>0</v>
      </c>
      <c r="AA185" s="17">
        <v>0</v>
      </c>
      <c r="AB185" s="17">
        <v>0</v>
      </c>
      <c r="AC185" s="17">
        <v>0</v>
      </c>
      <c r="AD185" s="17">
        <v>0</v>
      </c>
      <c r="AE185" s="17">
        <v>0</v>
      </c>
      <c r="AF185" s="17">
        <v>0</v>
      </c>
      <c r="AG185" s="17">
        <v>0</v>
      </c>
      <c r="AH185" s="17">
        <v>0</v>
      </c>
      <c r="AI185" s="17">
        <v>0</v>
      </c>
      <c r="AJ185" s="17">
        <v>0</v>
      </c>
      <c r="AK185" s="17">
        <v>0</v>
      </c>
      <c r="AL185" s="17">
        <v>0</v>
      </c>
      <c r="AM185" s="17">
        <v>0</v>
      </c>
      <c r="AN185" s="17">
        <v>0</v>
      </c>
      <c r="AO185" s="17">
        <v>0</v>
      </c>
      <c r="AP185" s="18">
        <f t="shared" si="2"/>
        <v>220401</v>
      </c>
    </row>
    <row r="186" spans="1:42" ht="15" customHeight="1" x14ac:dyDescent="0.2">
      <c r="A186" s="16" t="s">
        <v>575</v>
      </c>
      <c r="B186" s="16" t="s">
        <v>578</v>
      </c>
      <c r="C186" s="16" t="s">
        <v>359</v>
      </c>
      <c r="D186" s="16" t="s">
        <v>511</v>
      </c>
      <c r="E186" s="17">
        <v>29869</v>
      </c>
      <c r="F186" s="17">
        <v>29855</v>
      </c>
      <c r="G186" s="17">
        <v>24731</v>
      </c>
      <c r="H186" s="17">
        <v>20918</v>
      </c>
      <c r="I186" s="17">
        <v>18022</v>
      </c>
      <c r="J186" s="17">
        <v>15647</v>
      </c>
      <c r="K186" s="17">
        <v>13762</v>
      </c>
      <c r="L186" s="17">
        <v>12208</v>
      </c>
      <c r="M186" s="17">
        <v>10938</v>
      </c>
      <c r="N186" s="17">
        <v>0</v>
      </c>
      <c r="O186" s="17">
        <v>0</v>
      </c>
      <c r="P186" s="17">
        <v>0</v>
      </c>
      <c r="Q186" s="17">
        <v>0</v>
      </c>
      <c r="R186" s="17">
        <v>0</v>
      </c>
      <c r="S186" s="17">
        <v>0</v>
      </c>
      <c r="T186" s="17">
        <v>0</v>
      </c>
      <c r="U186" s="17">
        <v>0</v>
      </c>
      <c r="V186" s="17">
        <v>0</v>
      </c>
      <c r="W186" s="17">
        <v>0</v>
      </c>
      <c r="X186" s="17">
        <v>0</v>
      </c>
      <c r="Y186" s="17">
        <v>0</v>
      </c>
      <c r="Z186" s="17">
        <v>0</v>
      </c>
      <c r="AA186" s="17">
        <v>0</v>
      </c>
      <c r="AB186" s="17">
        <v>0</v>
      </c>
      <c r="AC186" s="17">
        <v>0</v>
      </c>
      <c r="AD186" s="17">
        <v>0</v>
      </c>
      <c r="AE186" s="17">
        <v>0</v>
      </c>
      <c r="AF186" s="17">
        <v>0</v>
      </c>
      <c r="AG186" s="17">
        <v>0</v>
      </c>
      <c r="AH186" s="17">
        <v>0</v>
      </c>
      <c r="AI186" s="17">
        <v>0</v>
      </c>
      <c r="AJ186" s="17">
        <v>0</v>
      </c>
      <c r="AK186" s="17">
        <v>0</v>
      </c>
      <c r="AL186" s="17">
        <v>0</v>
      </c>
      <c r="AM186" s="17">
        <v>0</v>
      </c>
      <c r="AN186" s="17">
        <v>0</v>
      </c>
      <c r="AO186" s="17">
        <v>0</v>
      </c>
      <c r="AP186" s="18">
        <f t="shared" si="2"/>
        <v>175950</v>
      </c>
    </row>
    <row r="187" spans="1:42" ht="15" customHeight="1" x14ac:dyDescent="0.2">
      <c r="A187" s="16" t="s">
        <v>575</v>
      </c>
      <c r="B187" s="16" t="s">
        <v>255</v>
      </c>
      <c r="C187" s="16" t="s">
        <v>255</v>
      </c>
      <c r="D187" s="16" t="s">
        <v>511</v>
      </c>
      <c r="E187" s="17">
        <v>99475</v>
      </c>
      <c r="F187" s="17">
        <v>64042</v>
      </c>
      <c r="G187" s="17">
        <v>95192</v>
      </c>
      <c r="H187" s="17">
        <v>59854</v>
      </c>
      <c r="I187" s="17">
        <v>29874</v>
      </c>
      <c r="J187" s="17">
        <v>0</v>
      </c>
      <c r="K187" s="17">
        <v>0</v>
      </c>
      <c r="L187" s="17">
        <v>0</v>
      </c>
      <c r="M187" s="17">
        <v>0</v>
      </c>
      <c r="N187" s="17">
        <v>0</v>
      </c>
      <c r="O187" s="17">
        <v>0</v>
      </c>
      <c r="P187" s="17">
        <v>0</v>
      </c>
      <c r="Q187" s="17">
        <v>0</v>
      </c>
      <c r="R187" s="17">
        <v>0</v>
      </c>
      <c r="S187" s="17">
        <v>0</v>
      </c>
      <c r="T187" s="17">
        <v>0</v>
      </c>
      <c r="U187" s="17">
        <v>0</v>
      </c>
      <c r="V187" s="17">
        <v>0</v>
      </c>
      <c r="W187" s="17">
        <v>0</v>
      </c>
      <c r="X187" s="17">
        <v>0</v>
      </c>
      <c r="Y187" s="17">
        <v>0</v>
      </c>
      <c r="Z187" s="17">
        <v>0</v>
      </c>
      <c r="AA187" s="17">
        <v>0</v>
      </c>
      <c r="AB187" s="17">
        <v>0</v>
      </c>
      <c r="AC187" s="17">
        <v>0</v>
      </c>
      <c r="AD187" s="17">
        <v>0</v>
      </c>
      <c r="AE187" s="17">
        <v>0</v>
      </c>
      <c r="AF187" s="17">
        <v>0</v>
      </c>
      <c r="AG187" s="17">
        <v>0</v>
      </c>
      <c r="AH187" s="17">
        <v>0</v>
      </c>
      <c r="AI187" s="17">
        <v>0</v>
      </c>
      <c r="AJ187" s="17">
        <v>0</v>
      </c>
      <c r="AK187" s="17">
        <v>0</v>
      </c>
      <c r="AL187" s="17">
        <v>0</v>
      </c>
      <c r="AM187" s="17">
        <v>0</v>
      </c>
      <c r="AN187" s="17">
        <v>0</v>
      </c>
      <c r="AO187" s="17">
        <v>0</v>
      </c>
      <c r="AP187" s="18">
        <f t="shared" si="2"/>
        <v>348437</v>
      </c>
    </row>
    <row r="188" spans="1:42" ht="15" customHeight="1" x14ac:dyDescent="0.2">
      <c r="A188" s="16" t="s">
        <v>575</v>
      </c>
      <c r="B188" s="16" t="s">
        <v>255</v>
      </c>
      <c r="C188" s="16" t="s">
        <v>325</v>
      </c>
      <c r="D188" s="16" t="s">
        <v>511</v>
      </c>
      <c r="E188" s="17">
        <v>2200972</v>
      </c>
      <c r="F188" s="17">
        <v>1701537</v>
      </c>
      <c r="G188" s="17">
        <v>2047831</v>
      </c>
      <c r="H188" s="17">
        <v>1562590</v>
      </c>
      <c r="I188" s="17">
        <v>1160952</v>
      </c>
      <c r="J188" s="17">
        <v>864467</v>
      </c>
      <c r="K188" s="17">
        <v>655484</v>
      </c>
      <c r="L188" s="17">
        <v>0</v>
      </c>
      <c r="M188" s="17">
        <v>0</v>
      </c>
      <c r="N188" s="17">
        <v>0</v>
      </c>
      <c r="O188" s="17">
        <v>0</v>
      </c>
      <c r="P188" s="17">
        <v>0</v>
      </c>
      <c r="Q188" s="17">
        <v>0</v>
      </c>
      <c r="R188" s="17">
        <v>0</v>
      </c>
      <c r="S188" s="17">
        <v>0</v>
      </c>
      <c r="T188" s="17">
        <v>0</v>
      </c>
      <c r="U188" s="17">
        <v>0</v>
      </c>
      <c r="V188" s="17">
        <v>0</v>
      </c>
      <c r="W188" s="17">
        <v>0</v>
      </c>
      <c r="X188" s="17">
        <v>0</v>
      </c>
      <c r="Y188" s="17">
        <v>0</v>
      </c>
      <c r="Z188" s="17">
        <v>0</v>
      </c>
      <c r="AA188" s="17">
        <v>0</v>
      </c>
      <c r="AB188" s="17">
        <v>0</v>
      </c>
      <c r="AC188" s="17">
        <v>0</v>
      </c>
      <c r="AD188" s="17">
        <v>0</v>
      </c>
      <c r="AE188" s="17">
        <v>0</v>
      </c>
      <c r="AF188" s="17">
        <v>0</v>
      </c>
      <c r="AG188" s="17">
        <v>0</v>
      </c>
      <c r="AH188" s="17">
        <v>0</v>
      </c>
      <c r="AI188" s="17">
        <v>0</v>
      </c>
      <c r="AJ188" s="17">
        <v>0</v>
      </c>
      <c r="AK188" s="17">
        <v>0</v>
      </c>
      <c r="AL188" s="17">
        <v>0</v>
      </c>
      <c r="AM188" s="17">
        <v>0</v>
      </c>
      <c r="AN188" s="17">
        <v>0</v>
      </c>
      <c r="AO188" s="17">
        <v>0</v>
      </c>
      <c r="AP188" s="18">
        <f t="shared" si="2"/>
        <v>10193833</v>
      </c>
    </row>
    <row r="189" spans="1:42" ht="15" customHeight="1" x14ac:dyDescent="0.2">
      <c r="A189" s="16" t="s">
        <v>575</v>
      </c>
      <c r="B189" s="16" t="s">
        <v>255</v>
      </c>
      <c r="C189" s="16" t="s">
        <v>352</v>
      </c>
      <c r="D189" s="16" t="s">
        <v>511</v>
      </c>
      <c r="E189" s="17">
        <v>350149</v>
      </c>
      <c r="F189" s="17">
        <v>267545</v>
      </c>
      <c r="G189" s="17">
        <v>285035</v>
      </c>
      <c r="H189" s="17">
        <v>219311</v>
      </c>
      <c r="I189" s="17">
        <v>154084</v>
      </c>
      <c r="J189" s="17">
        <v>108308</v>
      </c>
      <c r="K189" s="17">
        <v>76428</v>
      </c>
      <c r="L189" s="17">
        <v>0</v>
      </c>
      <c r="M189" s="17">
        <v>0</v>
      </c>
      <c r="N189" s="17">
        <v>0</v>
      </c>
      <c r="O189" s="17">
        <v>0</v>
      </c>
      <c r="P189" s="17">
        <v>0</v>
      </c>
      <c r="Q189" s="17">
        <v>0</v>
      </c>
      <c r="R189" s="17">
        <v>0</v>
      </c>
      <c r="S189" s="17">
        <v>0</v>
      </c>
      <c r="T189" s="17">
        <v>0</v>
      </c>
      <c r="U189" s="17">
        <v>0</v>
      </c>
      <c r="V189" s="17">
        <v>0</v>
      </c>
      <c r="W189" s="17">
        <v>0</v>
      </c>
      <c r="X189" s="17">
        <v>0</v>
      </c>
      <c r="Y189" s="17">
        <v>0</v>
      </c>
      <c r="Z189" s="17">
        <v>0</v>
      </c>
      <c r="AA189" s="17">
        <v>0</v>
      </c>
      <c r="AB189" s="17">
        <v>0</v>
      </c>
      <c r="AC189" s="17">
        <v>0</v>
      </c>
      <c r="AD189" s="17">
        <v>0</v>
      </c>
      <c r="AE189" s="17">
        <v>0</v>
      </c>
      <c r="AF189" s="17">
        <v>0</v>
      </c>
      <c r="AG189" s="17">
        <v>0</v>
      </c>
      <c r="AH189" s="17">
        <v>0</v>
      </c>
      <c r="AI189" s="17">
        <v>0</v>
      </c>
      <c r="AJ189" s="17">
        <v>0</v>
      </c>
      <c r="AK189" s="17">
        <v>0</v>
      </c>
      <c r="AL189" s="17">
        <v>0</v>
      </c>
      <c r="AM189" s="17">
        <v>0</v>
      </c>
      <c r="AN189" s="17">
        <v>0</v>
      </c>
      <c r="AO189" s="17">
        <v>0</v>
      </c>
      <c r="AP189" s="18">
        <f t="shared" si="2"/>
        <v>1460860</v>
      </c>
    </row>
    <row r="190" spans="1:42" ht="15" customHeight="1" x14ac:dyDescent="0.2">
      <c r="A190" s="16" t="s">
        <v>575</v>
      </c>
      <c r="B190" s="16" t="s">
        <v>284</v>
      </c>
      <c r="C190" s="16" t="s">
        <v>284</v>
      </c>
      <c r="D190" s="16" t="s">
        <v>511</v>
      </c>
      <c r="E190" s="17">
        <v>73209</v>
      </c>
      <c r="F190" s="17">
        <v>44996</v>
      </c>
      <c r="G190" s="17">
        <v>47736</v>
      </c>
      <c r="H190" s="17">
        <v>41253</v>
      </c>
      <c r="I190" s="17">
        <v>27778</v>
      </c>
      <c r="J190" s="17">
        <v>15114</v>
      </c>
      <c r="K190" s="17">
        <v>12395</v>
      </c>
      <c r="L190" s="17">
        <v>0</v>
      </c>
      <c r="M190" s="17">
        <v>0</v>
      </c>
      <c r="N190" s="17">
        <v>0</v>
      </c>
      <c r="O190" s="17">
        <v>0</v>
      </c>
      <c r="P190" s="17">
        <v>0</v>
      </c>
      <c r="Q190" s="17">
        <v>0</v>
      </c>
      <c r="R190" s="17">
        <v>0</v>
      </c>
      <c r="S190" s="17">
        <v>0</v>
      </c>
      <c r="T190" s="17">
        <v>0</v>
      </c>
      <c r="U190" s="17">
        <v>0</v>
      </c>
      <c r="V190" s="17">
        <v>0</v>
      </c>
      <c r="W190" s="17">
        <v>0</v>
      </c>
      <c r="X190" s="17">
        <v>0</v>
      </c>
      <c r="Y190" s="17">
        <v>0</v>
      </c>
      <c r="Z190" s="17">
        <v>0</v>
      </c>
      <c r="AA190" s="17">
        <v>0</v>
      </c>
      <c r="AB190" s="17">
        <v>0</v>
      </c>
      <c r="AC190" s="17">
        <v>0</v>
      </c>
      <c r="AD190" s="17">
        <v>0</v>
      </c>
      <c r="AE190" s="17">
        <v>0</v>
      </c>
      <c r="AF190" s="17">
        <v>0</v>
      </c>
      <c r="AG190" s="17">
        <v>0</v>
      </c>
      <c r="AH190" s="17">
        <v>0</v>
      </c>
      <c r="AI190" s="17">
        <v>0</v>
      </c>
      <c r="AJ190" s="17">
        <v>0</v>
      </c>
      <c r="AK190" s="17">
        <v>0</v>
      </c>
      <c r="AL190" s="17">
        <v>0</v>
      </c>
      <c r="AM190" s="17">
        <v>0</v>
      </c>
      <c r="AN190" s="17">
        <v>0</v>
      </c>
      <c r="AO190" s="17">
        <v>0</v>
      </c>
      <c r="AP190" s="18">
        <f t="shared" si="2"/>
        <v>262481</v>
      </c>
    </row>
    <row r="191" spans="1:42" ht="15" customHeight="1" x14ac:dyDescent="0.2">
      <c r="A191" s="16" t="s">
        <v>575</v>
      </c>
      <c r="B191" s="16" t="s">
        <v>284</v>
      </c>
      <c r="C191" s="16" t="s">
        <v>389</v>
      </c>
      <c r="D191" s="16" t="s">
        <v>511</v>
      </c>
      <c r="E191" s="17">
        <v>119344</v>
      </c>
      <c r="F191" s="17">
        <v>97065</v>
      </c>
      <c r="G191" s="17">
        <v>125202</v>
      </c>
      <c r="H191" s="17">
        <v>117585</v>
      </c>
      <c r="I191" s="17">
        <v>89204</v>
      </c>
      <c r="J191" s="17">
        <v>68169</v>
      </c>
      <c r="K191" s="17">
        <v>52950</v>
      </c>
      <c r="L191" s="17">
        <v>0</v>
      </c>
      <c r="M191" s="17">
        <v>0</v>
      </c>
      <c r="N191" s="17">
        <v>0</v>
      </c>
      <c r="O191" s="17">
        <v>0</v>
      </c>
      <c r="P191" s="17">
        <v>0</v>
      </c>
      <c r="Q191" s="17">
        <v>0</v>
      </c>
      <c r="R191" s="17">
        <v>0</v>
      </c>
      <c r="S191" s="17">
        <v>0</v>
      </c>
      <c r="T191" s="17">
        <v>0</v>
      </c>
      <c r="U191" s="17">
        <v>0</v>
      </c>
      <c r="V191" s="17">
        <v>0</v>
      </c>
      <c r="W191" s="17">
        <v>0</v>
      </c>
      <c r="X191" s="17">
        <v>0</v>
      </c>
      <c r="Y191" s="17">
        <v>0</v>
      </c>
      <c r="Z191" s="17">
        <v>0</v>
      </c>
      <c r="AA191" s="17">
        <v>0</v>
      </c>
      <c r="AB191" s="17">
        <v>0</v>
      </c>
      <c r="AC191" s="17">
        <v>0</v>
      </c>
      <c r="AD191" s="17">
        <v>0</v>
      </c>
      <c r="AE191" s="17">
        <v>0</v>
      </c>
      <c r="AF191" s="17">
        <v>0</v>
      </c>
      <c r="AG191" s="17">
        <v>0</v>
      </c>
      <c r="AH191" s="17">
        <v>0</v>
      </c>
      <c r="AI191" s="17">
        <v>0</v>
      </c>
      <c r="AJ191" s="17">
        <v>0</v>
      </c>
      <c r="AK191" s="17">
        <v>0</v>
      </c>
      <c r="AL191" s="17">
        <v>0</v>
      </c>
      <c r="AM191" s="17">
        <v>0</v>
      </c>
      <c r="AN191" s="17">
        <v>0</v>
      </c>
      <c r="AO191" s="17">
        <v>0</v>
      </c>
      <c r="AP191" s="18">
        <f t="shared" si="2"/>
        <v>669519</v>
      </c>
    </row>
    <row r="192" spans="1:42" ht="15" customHeight="1" x14ac:dyDescent="0.2">
      <c r="A192" s="16" t="s">
        <v>575</v>
      </c>
      <c r="B192" s="16" t="s">
        <v>331</v>
      </c>
      <c r="C192" s="16" t="s">
        <v>331</v>
      </c>
      <c r="D192" s="16" t="s">
        <v>511</v>
      </c>
      <c r="E192" s="17">
        <v>57123.053800000002</v>
      </c>
      <c r="F192" s="17">
        <v>50327.016799999998</v>
      </c>
      <c r="G192" s="17">
        <v>43400.776400000002</v>
      </c>
      <c r="H192" s="17">
        <v>37482.858200000002</v>
      </c>
      <c r="I192" s="17">
        <v>32509.820400000001</v>
      </c>
      <c r="J192" s="17">
        <v>28076.683000000001</v>
      </c>
      <c r="K192" s="17">
        <v>0</v>
      </c>
      <c r="L192" s="17">
        <v>0</v>
      </c>
      <c r="M192" s="17">
        <v>0</v>
      </c>
      <c r="N192" s="17">
        <v>0</v>
      </c>
      <c r="O192" s="17">
        <v>0</v>
      </c>
      <c r="P192" s="17">
        <v>0</v>
      </c>
      <c r="Q192" s="17">
        <v>0</v>
      </c>
      <c r="R192" s="17">
        <v>0</v>
      </c>
      <c r="S192" s="17">
        <v>0</v>
      </c>
      <c r="T192" s="17">
        <v>0</v>
      </c>
      <c r="U192" s="17">
        <v>0</v>
      </c>
      <c r="V192" s="17">
        <v>0</v>
      </c>
      <c r="W192" s="17">
        <v>0</v>
      </c>
      <c r="X192" s="17">
        <v>0</v>
      </c>
      <c r="Y192" s="17">
        <v>0</v>
      </c>
      <c r="Z192" s="17">
        <v>0</v>
      </c>
      <c r="AA192" s="17">
        <v>0</v>
      </c>
      <c r="AB192" s="17">
        <v>0</v>
      </c>
      <c r="AC192" s="17">
        <v>0</v>
      </c>
      <c r="AD192" s="17">
        <v>0</v>
      </c>
      <c r="AE192" s="17">
        <v>0</v>
      </c>
      <c r="AF192" s="17">
        <v>0</v>
      </c>
      <c r="AG192" s="17">
        <v>0</v>
      </c>
      <c r="AH192" s="17">
        <v>0</v>
      </c>
      <c r="AI192" s="17">
        <v>0</v>
      </c>
      <c r="AJ192" s="17">
        <v>0</v>
      </c>
      <c r="AK192" s="17">
        <v>0</v>
      </c>
      <c r="AL192" s="17">
        <v>0</v>
      </c>
      <c r="AM192" s="17">
        <v>0</v>
      </c>
      <c r="AN192" s="17">
        <v>0</v>
      </c>
      <c r="AO192" s="17">
        <v>0</v>
      </c>
      <c r="AP192" s="18">
        <f t="shared" si="2"/>
        <v>248920.20860000001</v>
      </c>
    </row>
    <row r="193" spans="1:42" ht="15" customHeight="1" x14ac:dyDescent="0.2">
      <c r="A193" s="16" t="s">
        <v>575</v>
      </c>
      <c r="B193" s="16" t="s">
        <v>331</v>
      </c>
      <c r="C193" s="16" t="s">
        <v>333</v>
      </c>
      <c r="D193" s="16" t="s">
        <v>511</v>
      </c>
      <c r="E193" s="17">
        <v>78850.107799999998</v>
      </c>
      <c r="F193" s="17">
        <v>63195.021800000002</v>
      </c>
      <c r="G193" s="17">
        <v>47868.063600000001</v>
      </c>
      <c r="H193" s="17">
        <v>36308.0792</v>
      </c>
      <c r="I193" s="17">
        <v>27655.192999999999</v>
      </c>
      <c r="J193" s="17">
        <v>20981.4319</v>
      </c>
      <c r="K193" s="17">
        <v>0</v>
      </c>
      <c r="L193" s="17">
        <v>0</v>
      </c>
      <c r="M193" s="17">
        <v>0</v>
      </c>
      <c r="N193" s="17">
        <v>0</v>
      </c>
      <c r="O193" s="17">
        <v>0</v>
      </c>
      <c r="P193" s="17">
        <v>0</v>
      </c>
      <c r="Q193" s="17">
        <v>0</v>
      </c>
      <c r="R193" s="17">
        <v>0</v>
      </c>
      <c r="S193" s="17">
        <v>0</v>
      </c>
      <c r="T193" s="17">
        <v>0</v>
      </c>
      <c r="U193" s="17">
        <v>0</v>
      </c>
      <c r="V193" s="17">
        <v>0</v>
      </c>
      <c r="W193" s="17">
        <v>0</v>
      </c>
      <c r="X193" s="17">
        <v>0</v>
      </c>
      <c r="Y193" s="17">
        <v>0</v>
      </c>
      <c r="Z193" s="17">
        <v>0</v>
      </c>
      <c r="AA193" s="17">
        <v>0</v>
      </c>
      <c r="AB193" s="17">
        <v>0</v>
      </c>
      <c r="AC193" s="17">
        <v>0</v>
      </c>
      <c r="AD193" s="17">
        <v>0</v>
      </c>
      <c r="AE193" s="17">
        <v>0</v>
      </c>
      <c r="AF193" s="17">
        <v>0</v>
      </c>
      <c r="AG193" s="17">
        <v>0</v>
      </c>
      <c r="AH193" s="17">
        <v>0</v>
      </c>
      <c r="AI193" s="17">
        <v>0</v>
      </c>
      <c r="AJ193" s="17">
        <v>0</v>
      </c>
      <c r="AK193" s="17">
        <v>0</v>
      </c>
      <c r="AL193" s="17">
        <v>0</v>
      </c>
      <c r="AM193" s="17">
        <v>0</v>
      </c>
      <c r="AN193" s="17">
        <v>0</v>
      </c>
      <c r="AO193" s="17">
        <v>0</v>
      </c>
      <c r="AP193" s="18">
        <f t="shared" si="2"/>
        <v>274857.89730000001</v>
      </c>
    </row>
    <row r="194" spans="1:42" ht="15" customHeight="1" x14ac:dyDescent="0.2">
      <c r="A194" s="16" t="s">
        <v>575</v>
      </c>
      <c r="B194" s="16" t="s">
        <v>579</v>
      </c>
      <c r="C194" s="16" t="s">
        <v>408</v>
      </c>
      <c r="D194" s="16" t="s">
        <v>511</v>
      </c>
      <c r="E194" s="17">
        <v>119843</v>
      </c>
      <c r="F194" s="17">
        <v>108255</v>
      </c>
      <c r="G194" s="17">
        <v>99144</v>
      </c>
      <c r="H194" s="17">
        <v>90899</v>
      </c>
      <c r="I194" s="17">
        <v>83652</v>
      </c>
      <c r="J194" s="17">
        <v>76900</v>
      </c>
      <c r="K194" s="17">
        <v>71016</v>
      </c>
      <c r="L194" s="17">
        <v>65670</v>
      </c>
      <c r="M194" s="17">
        <v>60983</v>
      </c>
      <c r="N194" s="17">
        <v>56394</v>
      </c>
      <c r="O194" s="17">
        <v>52249</v>
      </c>
      <c r="P194" s="17">
        <v>48356</v>
      </c>
      <c r="Q194" s="17">
        <v>45010</v>
      </c>
      <c r="R194" s="17">
        <v>0</v>
      </c>
      <c r="S194" s="17">
        <v>0</v>
      </c>
      <c r="T194" s="17">
        <v>0</v>
      </c>
      <c r="U194" s="17">
        <v>0</v>
      </c>
      <c r="V194" s="17">
        <v>0</v>
      </c>
      <c r="W194" s="17">
        <v>0</v>
      </c>
      <c r="X194" s="17">
        <v>0</v>
      </c>
      <c r="Y194" s="17">
        <v>0</v>
      </c>
      <c r="Z194" s="17">
        <v>0</v>
      </c>
      <c r="AA194" s="17">
        <v>0</v>
      </c>
      <c r="AB194" s="17">
        <v>0</v>
      </c>
      <c r="AC194" s="17">
        <v>0</v>
      </c>
      <c r="AD194" s="17">
        <v>0</v>
      </c>
      <c r="AE194" s="17">
        <v>0</v>
      </c>
      <c r="AF194" s="17">
        <v>0</v>
      </c>
      <c r="AG194" s="17">
        <v>0</v>
      </c>
      <c r="AH194" s="17">
        <v>0</v>
      </c>
      <c r="AI194" s="17">
        <v>0</v>
      </c>
      <c r="AJ194" s="17">
        <v>0</v>
      </c>
      <c r="AK194" s="17">
        <v>0</v>
      </c>
      <c r="AL194" s="17">
        <v>0</v>
      </c>
      <c r="AM194" s="17">
        <v>0</v>
      </c>
      <c r="AN194" s="17">
        <v>0</v>
      </c>
      <c r="AO194" s="17">
        <v>0</v>
      </c>
      <c r="AP194" s="18">
        <f t="shared" ref="AP194:AP257" si="3">SUM(E194:AO194)</f>
        <v>978371</v>
      </c>
    </row>
    <row r="195" spans="1:42" ht="15" customHeight="1" x14ac:dyDescent="0.2">
      <c r="A195" s="16" t="s">
        <v>575</v>
      </c>
      <c r="B195" s="16" t="s">
        <v>580</v>
      </c>
      <c r="C195" s="16" t="s">
        <v>276</v>
      </c>
      <c r="D195" s="16" t="s">
        <v>511</v>
      </c>
      <c r="E195" s="17">
        <v>371468</v>
      </c>
      <c r="F195" s="17">
        <v>316587</v>
      </c>
      <c r="G195" s="17">
        <v>274890</v>
      </c>
      <c r="H195" s="17">
        <v>241795</v>
      </c>
      <c r="I195" s="17">
        <v>214863</v>
      </c>
      <c r="J195" s="17">
        <v>188997</v>
      </c>
      <c r="K195" s="17">
        <v>170602</v>
      </c>
      <c r="L195" s="17">
        <v>154401</v>
      </c>
      <c r="M195" s="17">
        <v>142058</v>
      </c>
      <c r="N195" s="17">
        <v>130297</v>
      </c>
      <c r="O195" s="17">
        <v>118760</v>
      </c>
      <c r="P195" s="17">
        <v>109666</v>
      </c>
      <c r="Q195" s="17">
        <v>101928</v>
      </c>
      <c r="R195" s="17">
        <v>94346</v>
      </c>
      <c r="S195" s="17">
        <v>87666</v>
      </c>
      <c r="T195" s="17">
        <v>81555</v>
      </c>
      <c r="U195" s="17">
        <v>76008</v>
      </c>
      <c r="V195" s="17">
        <v>69074</v>
      </c>
      <c r="W195" s="17">
        <v>64514</v>
      </c>
      <c r="X195" s="17">
        <v>0</v>
      </c>
      <c r="Y195" s="17">
        <v>0</v>
      </c>
      <c r="Z195" s="17">
        <v>0</v>
      </c>
      <c r="AA195" s="17">
        <v>0</v>
      </c>
      <c r="AB195" s="17">
        <v>0</v>
      </c>
      <c r="AC195" s="17">
        <v>0</v>
      </c>
      <c r="AD195" s="17">
        <v>0</v>
      </c>
      <c r="AE195" s="17">
        <v>0</v>
      </c>
      <c r="AF195" s="17">
        <v>0</v>
      </c>
      <c r="AG195" s="17">
        <v>0</v>
      </c>
      <c r="AH195" s="17">
        <v>0</v>
      </c>
      <c r="AI195" s="17">
        <v>0</v>
      </c>
      <c r="AJ195" s="17">
        <v>0</v>
      </c>
      <c r="AK195" s="17">
        <v>0</v>
      </c>
      <c r="AL195" s="17">
        <v>0</v>
      </c>
      <c r="AM195" s="17">
        <v>0</v>
      </c>
      <c r="AN195" s="17">
        <v>0</v>
      </c>
      <c r="AO195" s="17">
        <v>0</v>
      </c>
      <c r="AP195" s="18">
        <f t="shared" si="3"/>
        <v>3009475</v>
      </c>
    </row>
    <row r="196" spans="1:42" ht="15" customHeight="1" x14ac:dyDescent="0.2">
      <c r="A196" s="16" t="s">
        <v>575</v>
      </c>
      <c r="B196" s="16" t="s">
        <v>580</v>
      </c>
      <c r="C196" s="16" t="s">
        <v>281</v>
      </c>
      <c r="D196" s="16" t="s">
        <v>511</v>
      </c>
      <c r="E196" s="17">
        <v>304409</v>
      </c>
      <c r="F196" s="17">
        <v>244321</v>
      </c>
      <c r="G196" s="17">
        <v>196221</v>
      </c>
      <c r="H196" s="17">
        <v>157679</v>
      </c>
      <c r="I196" s="17">
        <v>130280</v>
      </c>
      <c r="J196" s="17">
        <v>108126</v>
      </c>
      <c r="K196" s="17">
        <v>0</v>
      </c>
      <c r="L196" s="17">
        <v>0</v>
      </c>
      <c r="M196" s="17">
        <v>0</v>
      </c>
      <c r="N196" s="17">
        <v>0</v>
      </c>
      <c r="O196" s="17">
        <v>0</v>
      </c>
      <c r="P196" s="17">
        <v>0</v>
      </c>
      <c r="Q196" s="17">
        <v>0</v>
      </c>
      <c r="R196" s="17">
        <v>0</v>
      </c>
      <c r="S196" s="17">
        <v>0</v>
      </c>
      <c r="T196" s="17">
        <v>0</v>
      </c>
      <c r="U196" s="17">
        <v>0</v>
      </c>
      <c r="V196" s="17">
        <v>0</v>
      </c>
      <c r="W196" s="17">
        <v>0</v>
      </c>
      <c r="X196" s="17">
        <v>0</v>
      </c>
      <c r="Y196" s="17">
        <v>0</v>
      </c>
      <c r="Z196" s="17">
        <v>0</v>
      </c>
      <c r="AA196" s="17">
        <v>0</v>
      </c>
      <c r="AB196" s="17">
        <v>0</v>
      </c>
      <c r="AC196" s="17">
        <v>0</v>
      </c>
      <c r="AD196" s="17">
        <v>0</v>
      </c>
      <c r="AE196" s="17">
        <v>0</v>
      </c>
      <c r="AF196" s="17">
        <v>0</v>
      </c>
      <c r="AG196" s="17">
        <v>0</v>
      </c>
      <c r="AH196" s="17">
        <v>0</v>
      </c>
      <c r="AI196" s="17">
        <v>0</v>
      </c>
      <c r="AJ196" s="17">
        <v>0</v>
      </c>
      <c r="AK196" s="17">
        <v>0</v>
      </c>
      <c r="AL196" s="17">
        <v>0</v>
      </c>
      <c r="AM196" s="17">
        <v>0</v>
      </c>
      <c r="AN196" s="17">
        <v>0</v>
      </c>
      <c r="AO196" s="17">
        <v>0</v>
      </c>
      <c r="AP196" s="18">
        <f t="shared" si="3"/>
        <v>1141036</v>
      </c>
    </row>
    <row r="197" spans="1:42" ht="15" customHeight="1" x14ac:dyDescent="0.2">
      <c r="A197" s="16" t="s">
        <v>575</v>
      </c>
      <c r="B197" s="16" t="s">
        <v>581</v>
      </c>
      <c r="C197" s="16" t="s">
        <v>147</v>
      </c>
      <c r="D197" s="16" t="s">
        <v>511</v>
      </c>
      <c r="E197" s="17">
        <v>1240</v>
      </c>
      <c r="F197" s="17">
        <v>928</v>
      </c>
      <c r="G197" s="17">
        <v>686</v>
      </c>
      <c r="H197" s="17">
        <v>521</v>
      </c>
      <c r="I197" s="17">
        <v>410</v>
      </c>
      <c r="J197" s="17">
        <v>325</v>
      </c>
      <c r="K197" s="17">
        <v>265</v>
      </c>
      <c r="L197" s="17">
        <v>218</v>
      </c>
      <c r="M197" s="17">
        <v>181</v>
      </c>
      <c r="N197" s="17">
        <v>0</v>
      </c>
      <c r="O197" s="17">
        <v>0</v>
      </c>
      <c r="P197" s="17">
        <v>0</v>
      </c>
      <c r="Q197" s="17">
        <v>0</v>
      </c>
      <c r="R197" s="17">
        <v>0</v>
      </c>
      <c r="S197" s="17">
        <v>0</v>
      </c>
      <c r="T197" s="17">
        <v>0</v>
      </c>
      <c r="U197" s="17">
        <v>0</v>
      </c>
      <c r="V197" s="17">
        <v>0</v>
      </c>
      <c r="W197" s="17">
        <v>0</v>
      </c>
      <c r="X197" s="17">
        <v>0</v>
      </c>
      <c r="Y197" s="17">
        <v>0</v>
      </c>
      <c r="Z197" s="17">
        <v>0</v>
      </c>
      <c r="AA197" s="17">
        <v>0</v>
      </c>
      <c r="AB197" s="17">
        <v>0</v>
      </c>
      <c r="AC197" s="17">
        <v>0</v>
      </c>
      <c r="AD197" s="17">
        <v>0</v>
      </c>
      <c r="AE197" s="17">
        <v>0</v>
      </c>
      <c r="AF197" s="17">
        <v>0</v>
      </c>
      <c r="AG197" s="17">
        <v>0</v>
      </c>
      <c r="AH197" s="17">
        <v>0</v>
      </c>
      <c r="AI197" s="17">
        <v>0</v>
      </c>
      <c r="AJ197" s="17">
        <v>0</v>
      </c>
      <c r="AK197" s="17">
        <v>0</v>
      </c>
      <c r="AL197" s="17">
        <v>0</v>
      </c>
      <c r="AM197" s="17">
        <v>0</v>
      </c>
      <c r="AN197" s="17">
        <v>0</v>
      </c>
      <c r="AO197" s="17">
        <v>0</v>
      </c>
      <c r="AP197" s="18">
        <f t="shared" si="3"/>
        <v>4774</v>
      </c>
    </row>
    <row r="198" spans="1:42" ht="15" customHeight="1" x14ac:dyDescent="0.2">
      <c r="A198" s="16" t="s">
        <v>575</v>
      </c>
      <c r="B198" s="16" t="s">
        <v>581</v>
      </c>
      <c r="C198" s="16" t="s">
        <v>303</v>
      </c>
      <c r="D198" s="16" t="s">
        <v>511</v>
      </c>
      <c r="E198" s="17">
        <v>8713</v>
      </c>
      <c r="F198" s="17">
        <v>8687</v>
      </c>
      <c r="G198" s="17">
        <v>8389</v>
      </c>
      <c r="H198" s="17">
        <v>7167</v>
      </c>
      <c r="I198" s="17">
        <v>4777</v>
      </c>
      <c r="J198" s="17">
        <v>3024</v>
      </c>
      <c r="K198" s="17">
        <v>2009</v>
      </c>
      <c r="L198" s="17">
        <v>1379</v>
      </c>
      <c r="M198" s="17">
        <v>965</v>
      </c>
      <c r="N198" s="17">
        <v>0</v>
      </c>
      <c r="O198" s="17">
        <v>0</v>
      </c>
      <c r="P198" s="17">
        <v>0</v>
      </c>
      <c r="Q198" s="17">
        <v>0</v>
      </c>
      <c r="R198" s="17">
        <v>0</v>
      </c>
      <c r="S198" s="17">
        <v>0</v>
      </c>
      <c r="T198" s="17">
        <v>0</v>
      </c>
      <c r="U198" s="17">
        <v>0</v>
      </c>
      <c r="V198" s="17">
        <v>0</v>
      </c>
      <c r="W198" s="17">
        <v>0</v>
      </c>
      <c r="X198" s="17">
        <v>0</v>
      </c>
      <c r="Y198" s="17">
        <v>0</v>
      </c>
      <c r="Z198" s="17">
        <v>0</v>
      </c>
      <c r="AA198" s="17">
        <v>0</v>
      </c>
      <c r="AB198" s="17">
        <v>0</v>
      </c>
      <c r="AC198" s="17">
        <v>0</v>
      </c>
      <c r="AD198" s="17">
        <v>0</v>
      </c>
      <c r="AE198" s="17">
        <v>0</v>
      </c>
      <c r="AF198" s="17">
        <v>0</v>
      </c>
      <c r="AG198" s="17">
        <v>0</v>
      </c>
      <c r="AH198" s="17">
        <v>0</v>
      </c>
      <c r="AI198" s="17">
        <v>0</v>
      </c>
      <c r="AJ198" s="17">
        <v>0</v>
      </c>
      <c r="AK198" s="17">
        <v>0</v>
      </c>
      <c r="AL198" s="17">
        <v>0</v>
      </c>
      <c r="AM198" s="17">
        <v>0</v>
      </c>
      <c r="AN198" s="17">
        <v>0</v>
      </c>
      <c r="AO198" s="17">
        <v>0</v>
      </c>
      <c r="AP198" s="18">
        <f t="shared" si="3"/>
        <v>45110</v>
      </c>
    </row>
    <row r="199" spans="1:42" ht="15" customHeight="1" x14ac:dyDescent="0.2">
      <c r="A199" s="16" t="s">
        <v>575</v>
      </c>
      <c r="B199" s="16" t="s">
        <v>407</v>
      </c>
      <c r="C199" s="16" t="s">
        <v>407</v>
      </c>
      <c r="D199" s="16" t="s">
        <v>511</v>
      </c>
      <c r="E199" s="17">
        <v>73955</v>
      </c>
      <c r="F199" s="17">
        <v>58992</v>
      </c>
      <c r="G199" s="17">
        <v>0</v>
      </c>
      <c r="H199" s="17">
        <v>0</v>
      </c>
      <c r="I199" s="17">
        <v>0</v>
      </c>
      <c r="J199" s="17">
        <v>0</v>
      </c>
      <c r="K199" s="17">
        <v>0</v>
      </c>
      <c r="L199" s="17">
        <v>0</v>
      </c>
      <c r="M199" s="17">
        <v>0</v>
      </c>
      <c r="N199" s="17">
        <v>0</v>
      </c>
      <c r="O199" s="17">
        <v>0</v>
      </c>
      <c r="P199" s="17">
        <v>0</v>
      </c>
      <c r="Q199" s="17">
        <v>0</v>
      </c>
      <c r="R199" s="17">
        <v>0</v>
      </c>
      <c r="S199" s="17">
        <v>0</v>
      </c>
      <c r="T199" s="17">
        <v>0</v>
      </c>
      <c r="U199" s="17">
        <v>0</v>
      </c>
      <c r="V199" s="17">
        <v>0</v>
      </c>
      <c r="W199" s="17">
        <v>0</v>
      </c>
      <c r="X199" s="17">
        <v>0</v>
      </c>
      <c r="Y199" s="17">
        <v>0</v>
      </c>
      <c r="Z199" s="17">
        <v>0</v>
      </c>
      <c r="AA199" s="17">
        <v>0</v>
      </c>
      <c r="AB199" s="17">
        <v>0</v>
      </c>
      <c r="AC199" s="17">
        <v>0</v>
      </c>
      <c r="AD199" s="17">
        <v>0</v>
      </c>
      <c r="AE199" s="17">
        <v>0</v>
      </c>
      <c r="AF199" s="17">
        <v>0</v>
      </c>
      <c r="AG199" s="17">
        <v>0</v>
      </c>
      <c r="AH199" s="17">
        <v>0</v>
      </c>
      <c r="AI199" s="17">
        <v>0</v>
      </c>
      <c r="AJ199" s="17">
        <v>0</v>
      </c>
      <c r="AK199" s="17">
        <v>0</v>
      </c>
      <c r="AL199" s="17">
        <v>0</v>
      </c>
      <c r="AM199" s="17">
        <v>0</v>
      </c>
      <c r="AN199" s="17">
        <v>0</v>
      </c>
      <c r="AO199" s="17">
        <v>0</v>
      </c>
      <c r="AP199" s="18">
        <f t="shared" si="3"/>
        <v>132947</v>
      </c>
    </row>
    <row r="200" spans="1:42" ht="15" customHeight="1" x14ac:dyDescent="0.2">
      <c r="A200" s="16" t="s">
        <v>575</v>
      </c>
      <c r="B200" s="16" t="s">
        <v>582</v>
      </c>
      <c r="C200" s="16" t="s">
        <v>262</v>
      </c>
      <c r="D200" s="16" t="s">
        <v>511</v>
      </c>
      <c r="E200" s="17">
        <v>258567</v>
      </c>
      <c r="F200" s="17">
        <v>200841</v>
      </c>
      <c r="G200" s="17">
        <v>156784</v>
      </c>
      <c r="H200" s="17">
        <v>122614</v>
      </c>
      <c r="I200" s="17">
        <v>96288</v>
      </c>
      <c r="J200" s="17">
        <v>75328</v>
      </c>
      <c r="K200" s="17">
        <v>59207</v>
      </c>
      <c r="L200" s="17">
        <v>46606</v>
      </c>
      <c r="M200" s="17">
        <v>35354</v>
      </c>
      <c r="N200" s="17">
        <v>26327</v>
      </c>
      <c r="O200" s="17">
        <v>20998</v>
      </c>
      <c r="P200" s="17">
        <v>16754</v>
      </c>
      <c r="Q200" s="17">
        <v>12695</v>
      </c>
      <c r="R200" s="17">
        <v>7691</v>
      </c>
      <c r="S200" s="17">
        <v>6226</v>
      </c>
      <c r="T200" s="17">
        <v>5042</v>
      </c>
      <c r="U200" s="17">
        <v>0</v>
      </c>
      <c r="V200" s="17">
        <v>0</v>
      </c>
      <c r="W200" s="17">
        <v>0</v>
      </c>
      <c r="X200" s="17">
        <v>0</v>
      </c>
      <c r="Y200" s="17">
        <v>0</v>
      </c>
      <c r="Z200" s="17">
        <v>0</v>
      </c>
      <c r="AA200" s="17">
        <v>0</v>
      </c>
      <c r="AB200" s="17">
        <v>0</v>
      </c>
      <c r="AC200" s="17">
        <v>0</v>
      </c>
      <c r="AD200" s="17">
        <v>0</v>
      </c>
      <c r="AE200" s="17">
        <v>0</v>
      </c>
      <c r="AF200" s="17">
        <v>0</v>
      </c>
      <c r="AG200" s="17">
        <v>0</v>
      </c>
      <c r="AH200" s="17">
        <v>0</v>
      </c>
      <c r="AI200" s="17">
        <v>0</v>
      </c>
      <c r="AJ200" s="17">
        <v>0</v>
      </c>
      <c r="AK200" s="17">
        <v>0</v>
      </c>
      <c r="AL200" s="17">
        <v>0</v>
      </c>
      <c r="AM200" s="17">
        <v>0</v>
      </c>
      <c r="AN200" s="17">
        <v>0</v>
      </c>
      <c r="AO200" s="17">
        <v>0</v>
      </c>
      <c r="AP200" s="18">
        <f t="shared" si="3"/>
        <v>1147322</v>
      </c>
    </row>
    <row r="201" spans="1:42" ht="15" customHeight="1" x14ac:dyDescent="0.2">
      <c r="A201" s="16" t="s">
        <v>575</v>
      </c>
      <c r="B201" s="16" t="s">
        <v>582</v>
      </c>
      <c r="C201" s="16" t="s">
        <v>327</v>
      </c>
      <c r="D201" s="16" t="s">
        <v>511</v>
      </c>
      <c r="E201" s="17">
        <v>0</v>
      </c>
      <c r="F201" s="17">
        <v>14341</v>
      </c>
      <c r="G201" s="17">
        <v>0</v>
      </c>
      <c r="H201" s="17">
        <v>0</v>
      </c>
      <c r="I201" s="17">
        <v>0</v>
      </c>
      <c r="J201" s="17">
        <v>0</v>
      </c>
      <c r="K201" s="17">
        <v>0</v>
      </c>
      <c r="L201" s="17">
        <v>0</v>
      </c>
      <c r="M201" s="17">
        <v>0</v>
      </c>
      <c r="N201" s="17">
        <v>0</v>
      </c>
      <c r="O201" s="17">
        <v>0</v>
      </c>
      <c r="P201" s="17">
        <v>0</v>
      </c>
      <c r="Q201" s="17">
        <v>0</v>
      </c>
      <c r="R201" s="17">
        <v>0</v>
      </c>
      <c r="S201" s="17">
        <v>0</v>
      </c>
      <c r="T201" s="17">
        <v>0</v>
      </c>
      <c r="U201" s="17">
        <v>0</v>
      </c>
      <c r="V201" s="17">
        <v>0</v>
      </c>
      <c r="W201" s="17">
        <v>0</v>
      </c>
      <c r="X201" s="17">
        <v>0</v>
      </c>
      <c r="Y201" s="17">
        <v>0</v>
      </c>
      <c r="Z201" s="17">
        <v>0</v>
      </c>
      <c r="AA201" s="17">
        <v>0</v>
      </c>
      <c r="AB201" s="17">
        <v>0</v>
      </c>
      <c r="AC201" s="17">
        <v>0</v>
      </c>
      <c r="AD201" s="17">
        <v>0</v>
      </c>
      <c r="AE201" s="17">
        <v>0</v>
      </c>
      <c r="AF201" s="17">
        <v>0</v>
      </c>
      <c r="AG201" s="17">
        <v>0</v>
      </c>
      <c r="AH201" s="17">
        <v>0</v>
      </c>
      <c r="AI201" s="17">
        <v>0</v>
      </c>
      <c r="AJ201" s="17">
        <v>0</v>
      </c>
      <c r="AK201" s="17">
        <v>0</v>
      </c>
      <c r="AL201" s="17">
        <v>0</v>
      </c>
      <c r="AM201" s="17">
        <v>0</v>
      </c>
      <c r="AN201" s="17">
        <v>0</v>
      </c>
      <c r="AO201" s="17">
        <v>0</v>
      </c>
      <c r="AP201" s="18">
        <f t="shared" si="3"/>
        <v>14341</v>
      </c>
    </row>
    <row r="202" spans="1:42" ht="15" customHeight="1" x14ac:dyDescent="0.2">
      <c r="A202" s="16" t="s">
        <v>575</v>
      </c>
      <c r="B202" s="16" t="s">
        <v>582</v>
      </c>
      <c r="C202" s="16" t="s">
        <v>378</v>
      </c>
      <c r="D202" s="16" t="s">
        <v>511</v>
      </c>
      <c r="E202" s="17">
        <v>318407</v>
      </c>
      <c r="F202" s="17">
        <v>285215</v>
      </c>
      <c r="G202" s="17">
        <v>254416</v>
      </c>
      <c r="H202" s="17">
        <v>227091</v>
      </c>
      <c r="I202" s="17">
        <v>203355</v>
      </c>
      <c r="J202" s="17">
        <v>181225</v>
      </c>
      <c r="K202" s="17">
        <v>162072</v>
      </c>
      <c r="L202" s="17">
        <v>145037</v>
      </c>
      <c r="M202" s="17">
        <v>130222</v>
      </c>
      <c r="N202" s="17">
        <v>116346</v>
      </c>
      <c r="O202" s="17">
        <v>104327</v>
      </c>
      <c r="P202" s="17">
        <v>93600</v>
      </c>
      <c r="Q202" s="17">
        <v>84255</v>
      </c>
      <c r="R202" s="17">
        <v>75475</v>
      </c>
      <c r="S202" s="17">
        <v>67846</v>
      </c>
      <c r="T202" s="17">
        <v>61031</v>
      </c>
      <c r="U202" s="17">
        <v>0</v>
      </c>
      <c r="V202" s="17">
        <v>0</v>
      </c>
      <c r="W202" s="17">
        <v>0</v>
      </c>
      <c r="X202" s="17">
        <v>0</v>
      </c>
      <c r="Y202" s="17">
        <v>0</v>
      </c>
      <c r="Z202" s="17">
        <v>0</v>
      </c>
      <c r="AA202" s="17">
        <v>0</v>
      </c>
      <c r="AB202" s="17">
        <v>0</v>
      </c>
      <c r="AC202" s="17">
        <v>0</v>
      </c>
      <c r="AD202" s="17">
        <v>0</v>
      </c>
      <c r="AE202" s="17">
        <v>0</v>
      </c>
      <c r="AF202" s="17">
        <v>0</v>
      </c>
      <c r="AG202" s="17">
        <v>0</v>
      </c>
      <c r="AH202" s="17">
        <v>0</v>
      </c>
      <c r="AI202" s="17">
        <v>0</v>
      </c>
      <c r="AJ202" s="17">
        <v>0</v>
      </c>
      <c r="AK202" s="17">
        <v>0</v>
      </c>
      <c r="AL202" s="17">
        <v>0</v>
      </c>
      <c r="AM202" s="17">
        <v>0</v>
      </c>
      <c r="AN202" s="17">
        <v>0</v>
      </c>
      <c r="AO202" s="17">
        <v>0</v>
      </c>
      <c r="AP202" s="18">
        <f t="shared" si="3"/>
        <v>2509920</v>
      </c>
    </row>
    <row r="203" spans="1:42" ht="15" customHeight="1" x14ac:dyDescent="0.2">
      <c r="A203" s="16" t="s">
        <v>575</v>
      </c>
      <c r="B203" s="16" t="s">
        <v>414</v>
      </c>
      <c r="C203" s="16" t="s">
        <v>414</v>
      </c>
      <c r="D203" s="16" t="s">
        <v>511</v>
      </c>
      <c r="E203" s="17">
        <v>50336.224000000002</v>
      </c>
      <c r="F203" s="17">
        <v>46832.055</v>
      </c>
      <c r="G203" s="17">
        <v>43705.160799999998</v>
      </c>
      <c r="H203" s="17">
        <v>40798.696300000003</v>
      </c>
      <c r="I203" s="17">
        <v>38195.912499999999</v>
      </c>
      <c r="J203" s="17">
        <v>35579.013800000001</v>
      </c>
      <c r="K203" s="17">
        <v>33244.504200000003</v>
      </c>
      <c r="L203" s="17">
        <v>31073.697100000001</v>
      </c>
      <c r="M203" s="17">
        <v>29130.2755</v>
      </c>
      <c r="N203" s="17">
        <v>27172.424999999999</v>
      </c>
      <c r="O203" s="17">
        <v>25426.0825</v>
      </c>
      <c r="P203" s="17">
        <v>23801.65</v>
      </c>
      <c r="Q203" s="17">
        <v>0</v>
      </c>
      <c r="R203" s="17">
        <v>0</v>
      </c>
      <c r="S203" s="17">
        <v>0</v>
      </c>
      <c r="T203" s="17">
        <v>0</v>
      </c>
      <c r="U203" s="17">
        <v>0</v>
      </c>
      <c r="V203" s="17">
        <v>0</v>
      </c>
      <c r="W203" s="17">
        <v>0</v>
      </c>
      <c r="X203" s="17">
        <v>0</v>
      </c>
      <c r="Y203" s="17">
        <v>0</v>
      </c>
      <c r="Z203" s="17">
        <v>0</v>
      </c>
      <c r="AA203" s="17">
        <v>0</v>
      </c>
      <c r="AB203" s="17">
        <v>0</v>
      </c>
      <c r="AC203" s="17">
        <v>0</v>
      </c>
      <c r="AD203" s="17">
        <v>0</v>
      </c>
      <c r="AE203" s="17">
        <v>0</v>
      </c>
      <c r="AF203" s="17">
        <v>0</v>
      </c>
      <c r="AG203" s="17">
        <v>0</v>
      </c>
      <c r="AH203" s="17">
        <v>0</v>
      </c>
      <c r="AI203" s="17">
        <v>0</v>
      </c>
      <c r="AJ203" s="17">
        <v>0</v>
      </c>
      <c r="AK203" s="17">
        <v>0</v>
      </c>
      <c r="AL203" s="17">
        <v>0</v>
      </c>
      <c r="AM203" s="17">
        <v>0</v>
      </c>
      <c r="AN203" s="17">
        <v>0</v>
      </c>
      <c r="AO203" s="17">
        <v>0</v>
      </c>
      <c r="AP203" s="18">
        <f t="shared" si="3"/>
        <v>425295.69670000003</v>
      </c>
    </row>
    <row r="204" spans="1:42" ht="15" customHeight="1" x14ac:dyDescent="0.2">
      <c r="A204" s="16" t="s">
        <v>575</v>
      </c>
      <c r="B204" s="16" t="s">
        <v>583</v>
      </c>
      <c r="C204" s="16" t="s">
        <v>388</v>
      </c>
      <c r="D204" s="16" t="s">
        <v>511</v>
      </c>
      <c r="E204" s="17">
        <v>138174</v>
      </c>
      <c r="F204" s="17">
        <v>126815</v>
      </c>
      <c r="G204" s="17">
        <v>116737</v>
      </c>
      <c r="H204" s="17">
        <v>107466</v>
      </c>
      <c r="I204" s="17">
        <v>99207</v>
      </c>
      <c r="J204" s="17">
        <v>91092</v>
      </c>
      <c r="K204" s="17">
        <v>0</v>
      </c>
      <c r="L204" s="17">
        <v>0</v>
      </c>
      <c r="M204" s="17">
        <v>0</v>
      </c>
      <c r="N204" s="17">
        <v>0</v>
      </c>
      <c r="O204" s="17">
        <v>0</v>
      </c>
      <c r="P204" s="17">
        <v>0</v>
      </c>
      <c r="Q204" s="17">
        <v>0</v>
      </c>
      <c r="R204" s="17">
        <v>0</v>
      </c>
      <c r="S204" s="17">
        <v>0</v>
      </c>
      <c r="T204" s="17">
        <v>0</v>
      </c>
      <c r="U204" s="17">
        <v>0</v>
      </c>
      <c r="V204" s="17">
        <v>0</v>
      </c>
      <c r="W204" s="17">
        <v>0</v>
      </c>
      <c r="X204" s="17">
        <v>0</v>
      </c>
      <c r="Y204" s="17">
        <v>0</v>
      </c>
      <c r="Z204" s="17">
        <v>0</v>
      </c>
      <c r="AA204" s="17">
        <v>0</v>
      </c>
      <c r="AB204" s="17">
        <v>0</v>
      </c>
      <c r="AC204" s="17">
        <v>0</v>
      </c>
      <c r="AD204" s="17">
        <v>0</v>
      </c>
      <c r="AE204" s="17">
        <v>0</v>
      </c>
      <c r="AF204" s="17">
        <v>0</v>
      </c>
      <c r="AG204" s="17">
        <v>0</v>
      </c>
      <c r="AH204" s="17">
        <v>0</v>
      </c>
      <c r="AI204" s="17">
        <v>0</v>
      </c>
      <c r="AJ204" s="17">
        <v>0</v>
      </c>
      <c r="AK204" s="17">
        <v>0</v>
      </c>
      <c r="AL204" s="17">
        <v>0</v>
      </c>
      <c r="AM204" s="17">
        <v>0</v>
      </c>
      <c r="AN204" s="17">
        <v>0</v>
      </c>
      <c r="AO204" s="17">
        <v>0</v>
      </c>
      <c r="AP204" s="18">
        <f t="shared" si="3"/>
        <v>679491</v>
      </c>
    </row>
    <row r="205" spans="1:42" ht="24" customHeight="1" x14ac:dyDescent="0.2">
      <c r="A205" s="16" t="s">
        <v>584</v>
      </c>
      <c r="B205" s="16" t="s">
        <v>585</v>
      </c>
      <c r="C205" s="16" t="s">
        <v>242</v>
      </c>
      <c r="D205" s="16" t="s">
        <v>511</v>
      </c>
      <c r="E205" s="17">
        <v>32837.055099999998</v>
      </c>
      <c r="F205" s="17">
        <v>47935.461499999998</v>
      </c>
      <c r="G205" s="17">
        <v>166860.8591</v>
      </c>
      <c r="H205" s="17">
        <v>132908.4025</v>
      </c>
      <c r="I205" s="17">
        <v>106174.7957</v>
      </c>
      <c r="J205" s="17">
        <v>85094.679399999994</v>
      </c>
      <c r="K205" s="17">
        <v>35709.633800000003</v>
      </c>
      <c r="L205" s="17">
        <v>12732.038200000001</v>
      </c>
      <c r="M205" s="17">
        <v>11463.245699999999</v>
      </c>
      <c r="N205" s="17">
        <v>8714.8629999999994</v>
      </c>
      <c r="O205" s="17">
        <v>0</v>
      </c>
      <c r="P205" s="17">
        <v>0</v>
      </c>
      <c r="Q205" s="17">
        <v>0</v>
      </c>
      <c r="R205" s="17">
        <v>0</v>
      </c>
      <c r="S205" s="17">
        <v>0</v>
      </c>
      <c r="T205" s="17">
        <v>0</v>
      </c>
      <c r="U205" s="17">
        <v>0</v>
      </c>
      <c r="V205" s="17">
        <v>0</v>
      </c>
      <c r="W205" s="17">
        <v>0</v>
      </c>
      <c r="X205" s="17">
        <v>0</v>
      </c>
      <c r="Y205" s="17">
        <v>0</v>
      </c>
      <c r="Z205" s="17">
        <v>0</v>
      </c>
      <c r="AA205" s="17">
        <v>0</v>
      </c>
      <c r="AB205" s="17">
        <v>0</v>
      </c>
      <c r="AC205" s="17">
        <v>0</v>
      </c>
      <c r="AD205" s="17">
        <v>0</v>
      </c>
      <c r="AE205" s="17">
        <v>0</v>
      </c>
      <c r="AF205" s="17">
        <v>0</v>
      </c>
      <c r="AG205" s="17">
        <v>0</v>
      </c>
      <c r="AH205" s="17">
        <v>0</v>
      </c>
      <c r="AI205" s="17">
        <v>0</v>
      </c>
      <c r="AJ205" s="17">
        <v>0</v>
      </c>
      <c r="AK205" s="17">
        <v>0</v>
      </c>
      <c r="AL205" s="17">
        <v>0</v>
      </c>
      <c r="AM205" s="17">
        <v>0</v>
      </c>
      <c r="AN205" s="17">
        <v>0</v>
      </c>
      <c r="AO205" s="17">
        <v>0</v>
      </c>
      <c r="AP205" s="18">
        <f t="shared" si="3"/>
        <v>640431.03399999987</v>
      </c>
    </row>
    <row r="206" spans="1:42" ht="24" customHeight="1" x14ac:dyDescent="0.2">
      <c r="A206" s="16" t="s">
        <v>584</v>
      </c>
      <c r="B206" s="16" t="s">
        <v>585</v>
      </c>
      <c r="C206" s="16" t="s">
        <v>295</v>
      </c>
      <c r="D206" s="16" t="s">
        <v>511</v>
      </c>
      <c r="E206" s="17">
        <v>113255.76639999999</v>
      </c>
      <c r="F206" s="17">
        <v>191685.15049999999</v>
      </c>
      <c r="G206" s="17">
        <v>90971.713499999998</v>
      </c>
      <c r="H206" s="17">
        <v>55260.197800000002</v>
      </c>
      <c r="I206" s="17">
        <v>46465.402199999997</v>
      </c>
      <c r="J206" s="17">
        <v>35956.921999999999</v>
      </c>
      <c r="K206" s="17">
        <v>19742.9987</v>
      </c>
      <c r="L206" s="17">
        <v>16261.6441</v>
      </c>
      <c r="M206" s="17">
        <v>7255.3647000000001</v>
      </c>
      <c r="N206" s="17">
        <v>0</v>
      </c>
      <c r="O206" s="17">
        <v>0</v>
      </c>
      <c r="P206" s="17">
        <v>0</v>
      </c>
      <c r="Q206" s="17">
        <v>0</v>
      </c>
      <c r="R206" s="17">
        <v>0</v>
      </c>
      <c r="S206" s="17">
        <v>0</v>
      </c>
      <c r="T206" s="17">
        <v>0</v>
      </c>
      <c r="U206" s="17">
        <v>0</v>
      </c>
      <c r="V206" s="17">
        <v>0</v>
      </c>
      <c r="W206" s="17">
        <v>0</v>
      </c>
      <c r="X206" s="17">
        <v>0</v>
      </c>
      <c r="Y206" s="17">
        <v>0</v>
      </c>
      <c r="Z206" s="17">
        <v>0</v>
      </c>
      <c r="AA206" s="17">
        <v>0</v>
      </c>
      <c r="AB206" s="17">
        <v>0</v>
      </c>
      <c r="AC206" s="17">
        <v>0</v>
      </c>
      <c r="AD206" s="17">
        <v>0</v>
      </c>
      <c r="AE206" s="17">
        <v>0</v>
      </c>
      <c r="AF206" s="17">
        <v>0</v>
      </c>
      <c r="AG206" s="17">
        <v>0</v>
      </c>
      <c r="AH206" s="17">
        <v>0</v>
      </c>
      <c r="AI206" s="17">
        <v>0</v>
      </c>
      <c r="AJ206" s="17">
        <v>0</v>
      </c>
      <c r="AK206" s="17">
        <v>0</v>
      </c>
      <c r="AL206" s="17">
        <v>0</v>
      </c>
      <c r="AM206" s="17">
        <v>0</v>
      </c>
      <c r="AN206" s="17">
        <v>0</v>
      </c>
      <c r="AO206" s="17">
        <v>0</v>
      </c>
      <c r="AP206" s="18">
        <f t="shared" si="3"/>
        <v>576855.15990000009</v>
      </c>
    </row>
    <row r="207" spans="1:42" ht="15" customHeight="1" x14ac:dyDescent="0.2">
      <c r="A207" s="16" t="s">
        <v>586</v>
      </c>
      <c r="B207" s="16" t="s">
        <v>587</v>
      </c>
      <c r="C207" s="16" t="s">
        <v>422</v>
      </c>
      <c r="D207" s="16" t="s">
        <v>511</v>
      </c>
      <c r="E207" s="17">
        <v>299476.4852</v>
      </c>
      <c r="F207" s="17">
        <v>160321.80239999999</v>
      </c>
      <c r="G207" s="17">
        <v>117402.9519</v>
      </c>
      <c r="H207" s="17">
        <v>77507.825100000002</v>
      </c>
      <c r="I207" s="17">
        <v>33112.390899999999</v>
      </c>
      <c r="J207" s="17">
        <v>17452.335800000001</v>
      </c>
      <c r="K207" s="17">
        <v>0</v>
      </c>
      <c r="L207" s="17">
        <v>0</v>
      </c>
      <c r="M207" s="17">
        <v>0</v>
      </c>
      <c r="N207" s="17">
        <v>0</v>
      </c>
      <c r="O207" s="17">
        <v>0</v>
      </c>
      <c r="P207" s="17">
        <v>0</v>
      </c>
      <c r="Q207" s="17">
        <v>0</v>
      </c>
      <c r="R207" s="17">
        <v>0</v>
      </c>
      <c r="S207" s="17">
        <v>0</v>
      </c>
      <c r="T207" s="17">
        <v>0</v>
      </c>
      <c r="U207" s="17">
        <v>0</v>
      </c>
      <c r="V207" s="17">
        <v>0</v>
      </c>
      <c r="W207" s="17">
        <v>0</v>
      </c>
      <c r="X207" s="17">
        <v>0</v>
      </c>
      <c r="Y207" s="17">
        <v>0</v>
      </c>
      <c r="Z207" s="17">
        <v>0</v>
      </c>
      <c r="AA207" s="17">
        <v>0</v>
      </c>
      <c r="AB207" s="17">
        <v>0</v>
      </c>
      <c r="AC207" s="17">
        <v>0</v>
      </c>
      <c r="AD207" s="17">
        <v>0</v>
      </c>
      <c r="AE207" s="17">
        <v>0</v>
      </c>
      <c r="AF207" s="17">
        <v>0</v>
      </c>
      <c r="AG207" s="17">
        <v>0</v>
      </c>
      <c r="AH207" s="17">
        <v>0</v>
      </c>
      <c r="AI207" s="17">
        <v>0</v>
      </c>
      <c r="AJ207" s="17">
        <v>0</v>
      </c>
      <c r="AK207" s="17">
        <v>0</v>
      </c>
      <c r="AL207" s="17">
        <v>0</v>
      </c>
      <c r="AM207" s="17">
        <v>0</v>
      </c>
      <c r="AN207" s="17">
        <v>0</v>
      </c>
      <c r="AO207" s="17">
        <v>0</v>
      </c>
      <c r="AP207" s="18">
        <f t="shared" si="3"/>
        <v>705273.79130000004</v>
      </c>
    </row>
    <row r="208" spans="1:42" ht="24" customHeight="1" x14ac:dyDescent="0.2">
      <c r="A208" s="16" t="s">
        <v>588</v>
      </c>
      <c r="B208" s="16" t="s">
        <v>379</v>
      </c>
      <c r="C208" s="16" t="s">
        <v>379</v>
      </c>
      <c r="D208" s="16" t="s">
        <v>511</v>
      </c>
      <c r="E208" s="17">
        <v>195626.0172</v>
      </c>
      <c r="F208" s="17">
        <v>276634.28539999999</v>
      </c>
      <c r="G208" s="17">
        <v>419085.36820000003</v>
      </c>
      <c r="H208" s="17">
        <v>369466.43949999998</v>
      </c>
      <c r="I208" s="17">
        <v>325078.04119999998</v>
      </c>
      <c r="J208" s="17">
        <v>288553.93939999997</v>
      </c>
      <c r="K208" s="17">
        <v>257186.74059999999</v>
      </c>
      <c r="L208" s="17">
        <v>231067.3315</v>
      </c>
      <c r="M208" s="17">
        <v>208209.73989999999</v>
      </c>
      <c r="N208" s="17">
        <v>188814.92199999999</v>
      </c>
      <c r="O208" s="17">
        <v>172280.1912</v>
      </c>
      <c r="P208" s="17">
        <v>157776.80780000001</v>
      </c>
      <c r="Q208" s="17">
        <v>143966.04870000001</v>
      </c>
      <c r="R208" s="17">
        <v>132725.3351</v>
      </c>
      <c r="S208" s="17">
        <v>122790.2127</v>
      </c>
      <c r="T208" s="17">
        <v>113899.52929999999</v>
      </c>
      <c r="U208" s="17">
        <v>104867.3643</v>
      </c>
      <c r="V208" s="17">
        <v>97777.622300000003</v>
      </c>
      <c r="W208" s="17">
        <v>91418.378400000001</v>
      </c>
      <c r="X208" s="17">
        <v>85645.623099999997</v>
      </c>
      <c r="Y208" s="17">
        <v>80407.978799999997</v>
      </c>
      <c r="Z208" s="17">
        <v>75690.183600000004</v>
      </c>
      <c r="AA208" s="17">
        <v>71378.351200000005</v>
      </c>
      <c r="AB208" s="17">
        <v>66213.548999999999</v>
      </c>
      <c r="AC208" s="17">
        <v>62301.200499999999</v>
      </c>
      <c r="AD208" s="17">
        <v>58569.741999999998</v>
      </c>
      <c r="AE208" s="17">
        <v>55180.272599999997</v>
      </c>
      <c r="AF208" s="17">
        <v>52583.361900000004</v>
      </c>
      <c r="AG208" s="17">
        <v>49537.216800000002</v>
      </c>
      <c r="AH208" s="17">
        <v>46142.8194</v>
      </c>
      <c r="AI208" s="17">
        <v>42808.474099999999</v>
      </c>
      <c r="AJ208" s="17">
        <v>40333.935599999997</v>
      </c>
      <c r="AK208" s="17">
        <v>0</v>
      </c>
      <c r="AL208" s="17">
        <v>0</v>
      </c>
      <c r="AM208" s="17">
        <v>0</v>
      </c>
      <c r="AN208" s="17">
        <v>0</v>
      </c>
      <c r="AO208" s="17">
        <v>0</v>
      </c>
      <c r="AP208" s="18">
        <f t="shared" si="3"/>
        <v>4684017.0232999995</v>
      </c>
    </row>
    <row r="209" spans="1:42" ht="24" customHeight="1" x14ac:dyDescent="0.2">
      <c r="A209" s="16" t="s">
        <v>588</v>
      </c>
      <c r="B209" s="16" t="s">
        <v>589</v>
      </c>
      <c r="C209" s="16" t="s">
        <v>420</v>
      </c>
      <c r="D209" s="16" t="s">
        <v>511</v>
      </c>
      <c r="E209" s="17">
        <v>183669.32430000001</v>
      </c>
      <c r="F209" s="17">
        <v>173481.95879999999</v>
      </c>
      <c r="G209" s="17">
        <v>162961.0582</v>
      </c>
      <c r="H209" s="17">
        <v>153512.2157</v>
      </c>
      <c r="I209" s="17">
        <v>145002.67540000001</v>
      </c>
      <c r="J209" s="17">
        <v>136226.10329999999</v>
      </c>
      <c r="K209" s="17">
        <v>128345.2392</v>
      </c>
      <c r="L209" s="17">
        <v>120931.34600000001</v>
      </c>
      <c r="M209" s="17">
        <v>114253.6471</v>
      </c>
      <c r="N209" s="17">
        <v>107359.8933</v>
      </c>
      <c r="O209" s="17">
        <v>101176.6388</v>
      </c>
      <c r="P209" s="17">
        <v>95354.796600000001</v>
      </c>
      <c r="Q209" s="17">
        <v>90112.406300000002</v>
      </c>
      <c r="R209" s="17">
        <v>84699.766199999998</v>
      </c>
      <c r="S209" s="17">
        <v>79842.252500000002</v>
      </c>
      <c r="T209" s="17">
        <v>75269.863299999997</v>
      </c>
      <c r="U209" s="17">
        <v>71152.710600000006</v>
      </c>
      <c r="V209" s="17">
        <v>66898.152900000001</v>
      </c>
      <c r="W209" s="17">
        <v>63080.681299999997</v>
      </c>
      <c r="X209" s="17">
        <v>59485.786399999997</v>
      </c>
      <c r="Y209" s="17">
        <v>56248.644500000002</v>
      </c>
      <c r="Z209" s="17">
        <v>52902.010999999999</v>
      </c>
      <c r="AA209" s="17">
        <v>49898.783600000002</v>
      </c>
      <c r="AB209" s="17">
        <v>47069.327499999999</v>
      </c>
      <c r="AC209" s="17">
        <v>44522.1708</v>
      </c>
      <c r="AD209" s="17">
        <v>40992.565999999999</v>
      </c>
      <c r="AE209" s="17">
        <v>38654.847300000001</v>
      </c>
      <c r="AF209" s="17">
        <v>0</v>
      </c>
      <c r="AG209" s="17">
        <v>0</v>
      </c>
      <c r="AH209" s="17">
        <v>0</v>
      </c>
      <c r="AI209" s="17">
        <v>0</v>
      </c>
      <c r="AJ209" s="17">
        <v>0</v>
      </c>
      <c r="AK209" s="17">
        <v>0</v>
      </c>
      <c r="AL209" s="17">
        <v>0</v>
      </c>
      <c r="AM209" s="17">
        <v>0</v>
      </c>
      <c r="AN209" s="17">
        <v>0</v>
      </c>
      <c r="AO209" s="17">
        <v>0</v>
      </c>
      <c r="AP209" s="18">
        <f t="shared" si="3"/>
        <v>2543104.8669000007</v>
      </c>
    </row>
    <row r="210" spans="1:42" ht="24" customHeight="1" x14ac:dyDescent="0.2">
      <c r="A210" s="16" t="s">
        <v>590</v>
      </c>
      <c r="B210" s="16" t="s">
        <v>127</v>
      </c>
      <c r="C210" s="16" t="s">
        <v>127</v>
      </c>
      <c r="D210" s="16" t="s">
        <v>511</v>
      </c>
      <c r="E210" s="17">
        <v>10274.14</v>
      </c>
      <c r="F210" s="17">
        <v>9275.27</v>
      </c>
      <c r="G210" s="17">
        <v>8403.06</v>
      </c>
      <c r="H210" s="17">
        <v>7534.29</v>
      </c>
      <c r="I210" s="17">
        <v>0</v>
      </c>
      <c r="J210" s="17">
        <v>0</v>
      </c>
      <c r="K210" s="17">
        <v>0</v>
      </c>
      <c r="L210" s="17">
        <v>0</v>
      </c>
      <c r="M210" s="17">
        <v>0</v>
      </c>
      <c r="N210" s="17">
        <v>0</v>
      </c>
      <c r="O210" s="17">
        <v>0</v>
      </c>
      <c r="P210" s="17">
        <v>0</v>
      </c>
      <c r="Q210" s="17">
        <v>0</v>
      </c>
      <c r="R210" s="17">
        <v>0</v>
      </c>
      <c r="S210" s="17">
        <v>0</v>
      </c>
      <c r="T210" s="17">
        <v>0</v>
      </c>
      <c r="U210" s="17">
        <v>0</v>
      </c>
      <c r="V210" s="17">
        <v>0</v>
      </c>
      <c r="W210" s="17">
        <v>0</v>
      </c>
      <c r="X210" s="17">
        <v>0</v>
      </c>
      <c r="Y210" s="17">
        <v>0</v>
      </c>
      <c r="Z210" s="17">
        <v>0</v>
      </c>
      <c r="AA210" s="17">
        <v>0</v>
      </c>
      <c r="AB210" s="17">
        <v>0</v>
      </c>
      <c r="AC210" s="17">
        <v>0</v>
      </c>
      <c r="AD210" s="17">
        <v>0</v>
      </c>
      <c r="AE210" s="17">
        <v>0</v>
      </c>
      <c r="AF210" s="17">
        <v>0</v>
      </c>
      <c r="AG210" s="17">
        <v>0</v>
      </c>
      <c r="AH210" s="17">
        <v>0</v>
      </c>
      <c r="AI210" s="17">
        <v>0</v>
      </c>
      <c r="AJ210" s="17">
        <v>0</v>
      </c>
      <c r="AK210" s="17">
        <v>0</v>
      </c>
      <c r="AL210" s="17">
        <v>0</v>
      </c>
      <c r="AM210" s="17">
        <v>0</v>
      </c>
      <c r="AN210" s="17">
        <v>0</v>
      </c>
      <c r="AO210" s="17">
        <v>0</v>
      </c>
      <c r="AP210" s="18">
        <f t="shared" si="3"/>
        <v>35486.76</v>
      </c>
    </row>
    <row r="211" spans="1:42" ht="24" customHeight="1" x14ac:dyDescent="0.2">
      <c r="A211" s="16" t="s">
        <v>590</v>
      </c>
      <c r="B211" s="16" t="s">
        <v>591</v>
      </c>
      <c r="C211" s="16" t="s">
        <v>425</v>
      </c>
      <c r="D211" s="16" t="s">
        <v>511</v>
      </c>
      <c r="E211" s="17">
        <v>41145.24</v>
      </c>
      <c r="F211" s="17">
        <v>35966.03</v>
      </c>
      <c r="G211" s="17">
        <v>31530.71</v>
      </c>
      <c r="H211" s="17">
        <v>27642.34</v>
      </c>
      <c r="I211" s="17">
        <v>0</v>
      </c>
      <c r="J211" s="17">
        <v>0</v>
      </c>
      <c r="K211" s="17">
        <v>0</v>
      </c>
      <c r="L211" s="17">
        <v>0</v>
      </c>
      <c r="M211" s="17">
        <v>0</v>
      </c>
      <c r="N211" s="17">
        <v>0</v>
      </c>
      <c r="O211" s="17">
        <v>0</v>
      </c>
      <c r="P211" s="17">
        <v>0</v>
      </c>
      <c r="Q211" s="17">
        <v>0</v>
      </c>
      <c r="R211" s="17">
        <v>0</v>
      </c>
      <c r="S211" s="17">
        <v>0</v>
      </c>
      <c r="T211" s="17">
        <v>0</v>
      </c>
      <c r="U211" s="17">
        <v>0</v>
      </c>
      <c r="V211" s="17">
        <v>0</v>
      </c>
      <c r="W211" s="17">
        <v>0</v>
      </c>
      <c r="X211" s="17">
        <v>0</v>
      </c>
      <c r="Y211" s="17">
        <v>0</v>
      </c>
      <c r="Z211" s="17">
        <v>0</v>
      </c>
      <c r="AA211" s="17">
        <v>0</v>
      </c>
      <c r="AB211" s="17">
        <v>0</v>
      </c>
      <c r="AC211" s="17">
        <v>0</v>
      </c>
      <c r="AD211" s="17">
        <v>0</v>
      </c>
      <c r="AE211" s="17">
        <v>0</v>
      </c>
      <c r="AF211" s="17">
        <v>0</v>
      </c>
      <c r="AG211" s="17">
        <v>0</v>
      </c>
      <c r="AH211" s="17">
        <v>0</v>
      </c>
      <c r="AI211" s="17">
        <v>0</v>
      </c>
      <c r="AJ211" s="17">
        <v>0</v>
      </c>
      <c r="AK211" s="17">
        <v>0</v>
      </c>
      <c r="AL211" s="17">
        <v>0</v>
      </c>
      <c r="AM211" s="17">
        <v>0</v>
      </c>
      <c r="AN211" s="17">
        <v>0</v>
      </c>
      <c r="AO211" s="17">
        <v>0</v>
      </c>
      <c r="AP211" s="18">
        <f t="shared" si="3"/>
        <v>136284.31999999998</v>
      </c>
    </row>
    <row r="212" spans="1:42" ht="24" customHeight="1" x14ac:dyDescent="0.2">
      <c r="A212" s="16" t="s">
        <v>590</v>
      </c>
      <c r="B212" s="16" t="s">
        <v>304</v>
      </c>
      <c r="C212" s="16" t="s">
        <v>304</v>
      </c>
      <c r="D212" s="16" t="s">
        <v>511</v>
      </c>
      <c r="E212" s="17">
        <v>109066.91</v>
      </c>
      <c r="F212" s="17">
        <v>91454.28</v>
      </c>
      <c r="G212" s="17">
        <v>76605.320000000007</v>
      </c>
      <c r="H212" s="17">
        <v>61293.57</v>
      </c>
      <c r="I212" s="17">
        <v>45225.17</v>
      </c>
      <c r="J212" s="17">
        <v>0</v>
      </c>
      <c r="K212" s="17">
        <v>0</v>
      </c>
      <c r="L212" s="17">
        <v>0</v>
      </c>
      <c r="M212" s="17">
        <v>0</v>
      </c>
      <c r="N212" s="17">
        <v>0</v>
      </c>
      <c r="O212" s="17">
        <v>0</v>
      </c>
      <c r="P212" s="17">
        <v>0</v>
      </c>
      <c r="Q212" s="17">
        <v>0</v>
      </c>
      <c r="R212" s="17">
        <v>0</v>
      </c>
      <c r="S212" s="17">
        <v>0</v>
      </c>
      <c r="T212" s="17">
        <v>0</v>
      </c>
      <c r="U212" s="17">
        <v>0</v>
      </c>
      <c r="V212" s="17">
        <v>0</v>
      </c>
      <c r="W212" s="17">
        <v>0</v>
      </c>
      <c r="X212" s="17">
        <v>0</v>
      </c>
      <c r="Y212" s="17">
        <v>0</v>
      </c>
      <c r="Z212" s="17">
        <v>0</v>
      </c>
      <c r="AA212" s="17">
        <v>0</v>
      </c>
      <c r="AB212" s="17">
        <v>0</v>
      </c>
      <c r="AC212" s="17">
        <v>0</v>
      </c>
      <c r="AD212" s="17">
        <v>0</v>
      </c>
      <c r="AE212" s="17">
        <v>0</v>
      </c>
      <c r="AF212" s="17">
        <v>0</v>
      </c>
      <c r="AG212" s="17">
        <v>0</v>
      </c>
      <c r="AH212" s="17">
        <v>0</v>
      </c>
      <c r="AI212" s="17">
        <v>0</v>
      </c>
      <c r="AJ212" s="17">
        <v>0</v>
      </c>
      <c r="AK212" s="17">
        <v>0</v>
      </c>
      <c r="AL212" s="17">
        <v>0</v>
      </c>
      <c r="AM212" s="17">
        <v>0</v>
      </c>
      <c r="AN212" s="17">
        <v>0</v>
      </c>
      <c r="AO212" s="17">
        <v>0</v>
      </c>
      <c r="AP212" s="18">
        <f t="shared" si="3"/>
        <v>383645.25</v>
      </c>
    </row>
    <row r="213" spans="1:42" ht="24" customHeight="1" x14ac:dyDescent="0.2">
      <c r="A213" s="16" t="s">
        <v>590</v>
      </c>
      <c r="B213" s="16" t="s">
        <v>377</v>
      </c>
      <c r="C213" s="16" t="s">
        <v>377</v>
      </c>
      <c r="D213" s="16" t="s">
        <v>511</v>
      </c>
      <c r="E213" s="17">
        <v>8238.4699999999993</v>
      </c>
      <c r="F213" s="17">
        <v>6028.44</v>
      </c>
      <c r="G213" s="17">
        <v>4553.8900000000003</v>
      </c>
      <c r="H213" s="17">
        <v>3647.06</v>
      </c>
      <c r="I213" s="17">
        <v>2860.4</v>
      </c>
      <c r="J213" s="17">
        <v>1568.62</v>
      </c>
      <c r="K213" s="17">
        <v>1293.07</v>
      </c>
      <c r="L213" s="17">
        <v>0</v>
      </c>
      <c r="M213" s="17">
        <v>0</v>
      </c>
      <c r="N213" s="17">
        <v>0</v>
      </c>
      <c r="O213" s="17">
        <v>0</v>
      </c>
      <c r="P213" s="17">
        <v>0</v>
      </c>
      <c r="Q213" s="17">
        <v>0</v>
      </c>
      <c r="R213" s="17">
        <v>0</v>
      </c>
      <c r="S213" s="17">
        <v>0</v>
      </c>
      <c r="T213" s="17">
        <v>0</v>
      </c>
      <c r="U213" s="17">
        <v>0</v>
      </c>
      <c r="V213" s="17">
        <v>0</v>
      </c>
      <c r="W213" s="17">
        <v>0</v>
      </c>
      <c r="X213" s="17">
        <v>0</v>
      </c>
      <c r="Y213" s="17">
        <v>0</v>
      </c>
      <c r="Z213" s="17">
        <v>0</v>
      </c>
      <c r="AA213" s="17">
        <v>0</v>
      </c>
      <c r="AB213" s="17">
        <v>0</v>
      </c>
      <c r="AC213" s="17">
        <v>0</v>
      </c>
      <c r="AD213" s="17">
        <v>0</v>
      </c>
      <c r="AE213" s="17">
        <v>0</v>
      </c>
      <c r="AF213" s="17">
        <v>0</v>
      </c>
      <c r="AG213" s="17">
        <v>0</v>
      </c>
      <c r="AH213" s="17">
        <v>0</v>
      </c>
      <c r="AI213" s="17">
        <v>0</v>
      </c>
      <c r="AJ213" s="17">
        <v>0</v>
      </c>
      <c r="AK213" s="17">
        <v>0</v>
      </c>
      <c r="AL213" s="17">
        <v>0</v>
      </c>
      <c r="AM213" s="17">
        <v>0</v>
      </c>
      <c r="AN213" s="17">
        <v>0</v>
      </c>
      <c r="AO213" s="17">
        <v>0</v>
      </c>
      <c r="AP213" s="18">
        <f t="shared" si="3"/>
        <v>28189.95</v>
      </c>
    </row>
    <row r="214" spans="1:42" ht="15" customHeight="1" x14ac:dyDescent="0.2">
      <c r="A214" s="16" t="s">
        <v>592</v>
      </c>
      <c r="B214" s="16" t="s">
        <v>593</v>
      </c>
      <c r="C214" s="16" t="s">
        <v>186</v>
      </c>
      <c r="D214" s="16" t="s">
        <v>511</v>
      </c>
      <c r="E214" s="17">
        <v>85649</v>
      </c>
      <c r="F214" s="17">
        <v>197305</v>
      </c>
      <c r="G214" s="17">
        <v>85779</v>
      </c>
      <c r="H214" s="17">
        <v>48420</v>
      </c>
      <c r="I214" s="17">
        <v>31827</v>
      </c>
      <c r="J214" s="17">
        <v>22916</v>
      </c>
      <c r="K214" s="17">
        <v>17424</v>
      </c>
      <c r="L214" s="17">
        <v>13774</v>
      </c>
      <c r="M214" s="17">
        <v>11210</v>
      </c>
      <c r="N214" s="17">
        <v>0</v>
      </c>
      <c r="O214" s="17">
        <v>0</v>
      </c>
      <c r="P214" s="17">
        <v>0</v>
      </c>
      <c r="Q214" s="17">
        <v>0</v>
      </c>
      <c r="R214" s="17">
        <v>0</v>
      </c>
      <c r="S214" s="17">
        <v>0</v>
      </c>
      <c r="T214" s="17">
        <v>0</v>
      </c>
      <c r="U214" s="17">
        <v>0</v>
      </c>
      <c r="V214" s="17">
        <v>0</v>
      </c>
      <c r="W214" s="17">
        <v>0</v>
      </c>
      <c r="X214" s="17">
        <v>0</v>
      </c>
      <c r="Y214" s="17">
        <v>0</v>
      </c>
      <c r="Z214" s="17">
        <v>0</v>
      </c>
      <c r="AA214" s="17">
        <v>0</v>
      </c>
      <c r="AB214" s="17">
        <v>0</v>
      </c>
      <c r="AC214" s="17">
        <v>0</v>
      </c>
      <c r="AD214" s="17">
        <v>0</v>
      </c>
      <c r="AE214" s="17">
        <v>0</v>
      </c>
      <c r="AF214" s="17">
        <v>0</v>
      </c>
      <c r="AG214" s="17">
        <v>0</v>
      </c>
      <c r="AH214" s="17">
        <v>0</v>
      </c>
      <c r="AI214" s="17">
        <v>0</v>
      </c>
      <c r="AJ214" s="17">
        <v>0</v>
      </c>
      <c r="AK214" s="17">
        <v>0</v>
      </c>
      <c r="AL214" s="17">
        <v>0</v>
      </c>
      <c r="AM214" s="17">
        <v>0</v>
      </c>
      <c r="AN214" s="17">
        <v>0</v>
      </c>
      <c r="AO214" s="17">
        <v>0</v>
      </c>
      <c r="AP214" s="18">
        <f t="shared" si="3"/>
        <v>514304</v>
      </c>
    </row>
    <row r="215" spans="1:42" ht="15" customHeight="1" x14ac:dyDescent="0.2">
      <c r="A215" s="16" t="s">
        <v>592</v>
      </c>
      <c r="B215" s="16" t="s">
        <v>593</v>
      </c>
      <c r="C215" s="16" t="s">
        <v>224</v>
      </c>
      <c r="D215" s="16" t="s">
        <v>511</v>
      </c>
      <c r="E215" s="17">
        <v>182590</v>
      </c>
      <c r="F215" s="17">
        <v>261882</v>
      </c>
      <c r="G215" s="17">
        <v>130541</v>
      </c>
      <c r="H215" s="17">
        <v>83921</v>
      </c>
      <c r="I215" s="17">
        <v>60643</v>
      </c>
      <c r="J215" s="17">
        <v>46345</v>
      </c>
      <c r="K215" s="17">
        <v>34927</v>
      </c>
      <c r="L215" s="17">
        <v>27410</v>
      </c>
      <c r="M215" s="17">
        <v>22963</v>
      </c>
      <c r="N215" s="17">
        <v>19449</v>
      </c>
      <c r="O215" s="17">
        <v>16692</v>
      </c>
      <c r="P215" s="17">
        <v>14473</v>
      </c>
      <c r="Q215" s="17">
        <v>10601</v>
      </c>
      <c r="R215" s="17">
        <v>6691</v>
      </c>
      <c r="S215" s="17">
        <v>5949</v>
      </c>
      <c r="T215" s="17">
        <v>5331</v>
      </c>
      <c r="U215" s="17">
        <v>0</v>
      </c>
      <c r="V215" s="17">
        <v>0</v>
      </c>
      <c r="W215" s="17">
        <v>0</v>
      </c>
      <c r="X215" s="17">
        <v>0</v>
      </c>
      <c r="Y215" s="17">
        <v>0</v>
      </c>
      <c r="Z215" s="17">
        <v>0</v>
      </c>
      <c r="AA215" s="17">
        <v>0</v>
      </c>
      <c r="AB215" s="17">
        <v>0</v>
      </c>
      <c r="AC215" s="17">
        <v>0</v>
      </c>
      <c r="AD215" s="17">
        <v>0</v>
      </c>
      <c r="AE215" s="17">
        <v>0</v>
      </c>
      <c r="AF215" s="17">
        <v>0</v>
      </c>
      <c r="AG215" s="17">
        <v>0</v>
      </c>
      <c r="AH215" s="17">
        <v>0</v>
      </c>
      <c r="AI215" s="17">
        <v>0</v>
      </c>
      <c r="AJ215" s="17">
        <v>0</v>
      </c>
      <c r="AK215" s="17">
        <v>0</v>
      </c>
      <c r="AL215" s="17">
        <v>0</v>
      </c>
      <c r="AM215" s="17">
        <v>0</v>
      </c>
      <c r="AN215" s="17">
        <v>0</v>
      </c>
      <c r="AO215" s="17">
        <v>0</v>
      </c>
      <c r="AP215" s="18">
        <f t="shared" si="3"/>
        <v>930408</v>
      </c>
    </row>
    <row r="216" spans="1:42" ht="15" customHeight="1" x14ac:dyDescent="0.2">
      <c r="A216" s="16" t="s">
        <v>594</v>
      </c>
      <c r="B216" s="16" t="s">
        <v>595</v>
      </c>
      <c r="C216" s="16" t="s">
        <v>298</v>
      </c>
      <c r="D216" s="16" t="s">
        <v>511</v>
      </c>
      <c r="E216" s="17">
        <v>14357.7994</v>
      </c>
      <c r="F216" s="17">
        <v>0</v>
      </c>
      <c r="G216" s="17">
        <v>0</v>
      </c>
      <c r="H216" s="17">
        <v>0</v>
      </c>
      <c r="I216" s="17">
        <v>0</v>
      </c>
      <c r="J216" s="17">
        <v>0</v>
      </c>
      <c r="K216" s="17">
        <v>0</v>
      </c>
      <c r="L216" s="17">
        <v>0</v>
      </c>
      <c r="M216" s="17">
        <v>0</v>
      </c>
      <c r="N216" s="17">
        <v>0</v>
      </c>
      <c r="O216" s="17">
        <v>0</v>
      </c>
      <c r="P216" s="17">
        <v>0</v>
      </c>
      <c r="Q216" s="17">
        <v>0</v>
      </c>
      <c r="R216" s="17">
        <v>0</v>
      </c>
      <c r="S216" s="17">
        <v>0</v>
      </c>
      <c r="T216" s="17">
        <v>0</v>
      </c>
      <c r="U216" s="17">
        <v>0</v>
      </c>
      <c r="V216" s="17">
        <v>0</v>
      </c>
      <c r="W216" s="17">
        <v>0</v>
      </c>
      <c r="X216" s="17">
        <v>0</v>
      </c>
      <c r="Y216" s="17">
        <v>0</v>
      </c>
      <c r="Z216" s="17">
        <v>0</v>
      </c>
      <c r="AA216" s="17">
        <v>0</v>
      </c>
      <c r="AB216" s="17">
        <v>0</v>
      </c>
      <c r="AC216" s="17">
        <v>0</v>
      </c>
      <c r="AD216" s="17">
        <v>0</v>
      </c>
      <c r="AE216" s="17">
        <v>0</v>
      </c>
      <c r="AF216" s="17">
        <v>0</v>
      </c>
      <c r="AG216" s="17">
        <v>0</v>
      </c>
      <c r="AH216" s="17">
        <v>0</v>
      </c>
      <c r="AI216" s="17">
        <v>0</v>
      </c>
      <c r="AJ216" s="17">
        <v>0</v>
      </c>
      <c r="AK216" s="17">
        <v>0</v>
      </c>
      <c r="AL216" s="17">
        <v>0</v>
      </c>
      <c r="AM216" s="17">
        <v>0</v>
      </c>
      <c r="AN216" s="17">
        <v>0</v>
      </c>
      <c r="AO216" s="17">
        <v>0</v>
      </c>
      <c r="AP216" s="18">
        <f t="shared" si="3"/>
        <v>14357.7994</v>
      </c>
    </row>
    <row r="217" spans="1:42" ht="15" customHeight="1" x14ac:dyDescent="0.2">
      <c r="A217" s="16" t="s">
        <v>594</v>
      </c>
      <c r="B217" s="16" t="s">
        <v>595</v>
      </c>
      <c r="C217" s="16" t="s">
        <v>356</v>
      </c>
      <c r="D217" s="16" t="s">
        <v>511</v>
      </c>
      <c r="E217" s="17">
        <v>5642.7156000000004</v>
      </c>
      <c r="F217" s="17">
        <v>0</v>
      </c>
      <c r="G217" s="17">
        <v>0</v>
      </c>
      <c r="H217" s="17">
        <v>0</v>
      </c>
      <c r="I217" s="17">
        <v>0</v>
      </c>
      <c r="J217" s="17">
        <v>0</v>
      </c>
      <c r="K217" s="17">
        <v>0</v>
      </c>
      <c r="L217" s="17">
        <v>0</v>
      </c>
      <c r="M217" s="17">
        <v>0</v>
      </c>
      <c r="N217" s="17">
        <v>0</v>
      </c>
      <c r="O217" s="17">
        <v>0</v>
      </c>
      <c r="P217" s="17">
        <v>0</v>
      </c>
      <c r="Q217" s="17">
        <v>0</v>
      </c>
      <c r="R217" s="17">
        <v>0</v>
      </c>
      <c r="S217" s="17">
        <v>0</v>
      </c>
      <c r="T217" s="17">
        <v>0</v>
      </c>
      <c r="U217" s="17">
        <v>0</v>
      </c>
      <c r="V217" s="17">
        <v>0</v>
      </c>
      <c r="W217" s="17">
        <v>0</v>
      </c>
      <c r="X217" s="17">
        <v>0</v>
      </c>
      <c r="Y217" s="17">
        <v>0</v>
      </c>
      <c r="Z217" s="17">
        <v>0</v>
      </c>
      <c r="AA217" s="17">
        <v>0</v>
      </c>
      <c r="AB217" s="17">
        <v>0</v>
      </c>
      <c r="AC217" s="17">
        <v>0</v>
      </c>
      <c r="AD217" s="17">
        <v>0</v>
      </c>
      <c r="AE217" s="17">
        <v>0</v>
      </c>
      <c r="AF217" s="17">
        <v>0</v>
      </c>
      <c r="AG217" s="17">
        <v>0</v>
      </c>
      <c r="AH217" s="17">
        <v>0</v>
      </c>
      <c r="AI217" s="17">
        <v>0</v>
      </c>
      <c r="AJ217" s="17">
        <v>0</v>
      </c>
      <c r="AK217" s="17">
        <v>0</v>
      </c>
      <c r="AL217" s="17">
        <v>0</v>
      </c>
      <c r="AM217" s="17">
        <v>0</v>
      </c>
      <c r="AN217" s="17">
        <v>0</v>
      </c>
      <c r="AO217" s="17">
        <v>0</v>
      </c>
      <c r="AP217" s="18">
        <f t="shared" si="3"/>
        <v>5642.7156000000004</v>
      </c>
    </row>
    <row r="218" spans="1:42" ht="15" customHeight="1" x14ac:dyDescent="0.2">
      <c r="A218" s="16" t="s">
        <v>594</v>
      </c>
      <c r="B218" s="16" t="s">
        <v>596</v>
      </c>
      <c r="C218" s="16" t="s">
        <v>120</v>
      </c>
      <c r="D218" s="16" t="s">
        <v>511</v>
      </c>
      <c r="E218" s="17">
        <v>2418.3805000000002</v>
      </c>
      <c r="F218" s="17">
        <v>1613.9396999999999</v>
      </c>
      <c r="G218" s="17">
        <v>797.34839999999997</v>
      </c>
      <c r="H218" s="17">
        <v>0</v>
      </c>
      <c r="I218" s="17">
        <v>0</v>
      </c>
      <c r="J218" s="17">
        <v>0</v>
      </c>
      <c r="K218" s="17">
        <v>0</v>
      </c>
      <c r="L218" s="17">
        <v>0</v>
      </c>
      <c r="M218" s="17">
        <v>0</v>
      </c>
      <c r="N218" s="17">
        <v>0</v>
      </c>
      <c r="O218" s="17">
        <v>0</v>
      </c>
      <c r="P218" s="17">
        <v>0</v>
      </c>
      <c r="Q218" s="17">
        <v>0</v>
      </c>
      <c r="R218" s="17">
        <v>0</v>
      </c>
      <c r="S218" s="17">
        <v>0</v>
      </c>
      <c r="T218" s="17">
        <v>0</v>
      </c>
      <c r="U218" s="17">
        <v>0</v>
      </c>
      <c r="V218" s="17">
        <v>0</v>
      </c>
      <c r="W218" s="17">
        <v>0</v>
      </c>
      <c r="X218" s="17">
        <v>0</v>
      </c>
      <c r="Y218" s="17">
        <v>0</v>
      </c>
      <c r="Z218" s="17">
        <v>0</v>
      </c>
      <c r="AA218" s="17">
        <v>0</v>
      </c>
      <c r="AB218" s="17">
        <v>0</v>
      </c>
      <c r="AC218" s="17">
        <v>0</v>
      </c>
      <c r="AD218" s="17">
        <v>0</v>
      </c>
      <c r="AE218" s="17">
        <v>0</v>
      </c>
      <c r="AF218" s="17">
        <v>0</v>
      </c>
      <c r="AG218" s="17">
        <v>0</v>
      </c>
      <c r="AH218" s="17">
        <v>0</v>
      </c>
      <c r="AI218" s="17">
        <v>0</v>
      </c>
      <c r="AJ218" s="17">
        <v>0</v>
      </c>
      <c r="AK218" s="17">
        <v>0</v>
      </c>
      <c r="AL218" s="17">
        <v>0</v>
      </c>
      <c r="AM218" s="17">
        <v>0</v>
      </c>
      <c r="AN218" s="17">
        <v>0</v>
      </c>
      <c r="AO218" s="17">
        <v>0</v>
      </c>
      <c r="AP218" s="18">
        <f t="shared" si="3"/>
        <v>4829.6686</v>
      </c>
    </row>
    <row r="219" spans="1:42" ht="15" customHeight="1" x14ac:dyDescent="0.2">
      <c r="A219" s="16" t="s">
        <v>594</v>
      </c>
      <c r="B219" s="16" t="s">
        <v>596</v>
      </c>
      <c r="C219" s="16" t="s">
        <v>136</v>
      </c>
      <c r="D219" s="16" t="s">
        <v>511</v>
      </c>
      <c r="E219" s="17">
        <v>60288.515899999999</v>
      </c>
      <c r="F219" s="17">
        <v>50722.435799999999</v>
      </c>
      <c r="G219" s="17">
        <v>42801.374199999998</v>
      </c>
      <c r="H219" s="17">
        <v>36117.304499999998</v>
      </c>
      <c r="I219" s="17">
        <v>30553.644100000001</v>
      </c>
      <c r="J219" s="17">
        <v>0</v>
      </c>
      <c r="K219" s="17">
        <v>0</v>
      </c>
      <c r="L219" s="17">
        <v>0</v>
      </c>
      <c r="M219" s="17">
        <v>0</v>
      </c>
      <c r="N219" s="17">
        <v>0</v>
      </c>
      <c r="O219" s="17">
        <v>0</v>
      </c>
      <c r="P219" s="17">
        <v>0</v>
      </c>
      <c r="Q219" s="17">
        <v>0</v>
      </c>
      <c r="R219" s="17">
        <v>0</v>
      </c>
      <c r="S219" s="17">
        <v>0</v>
      </c>
      <c r="T219" s="17">
        <v>0</v>
      </c>
      <c r="U219" s="17">
        <v>0</v>
      </c>
      <c r="V219" s="17">
        <v>0</v>
      </c>
      <c r="W219" s="17">
        <v>0</v>
      </c>
      <c r="X219" s="17">
        <v>0</v>
      </c>
      <c r="Y219" s="17">
        <v>0</v>
      </c>
      <c r="Z219" s="17">
        <v>0</v>
      </c>
      <c r="AA219" s="17">
        <v>0</v>
      </c>
      <c r="AB219" s="17">
        <v>0</v>
      </c>
      <c r="AC219" s="17">
        <v>0</v>
      </c>
      <c r="AD219" s="17">
        <v>0</v>
      </c>
      <c r="AE219" s="17">
        <v>0</v>
      </c>
      <c r="AF219" s="17">
        <v>0</v>
      </c>
      <c r="AG219" s="17">
        <v>0</v>
      </c>
      <c r="AH219" s="17">
        <v>0</v>
      </c>
      <c r="AI219" s="17">
        <v>0</v>
      </c>
      <c r="AJ219" s="17">
        <v>0</v>
      </c>
      <c r="AK219" s="17">
        <v>0</v>
      </c>
      <c r="AL219" s="17">
        <v>0</v>
      </c>
      <c r="AM219" s="17">
        <v>0</v>
      </c>
      <c r="AN219" s="17">
        <v>0</v>
      </c>
      <c r="AO219" s="17">
        <v>0</v>
      </c>
      <c r="AP219" s="18">
        <f t="shared" si="3"/>
        <v>220483.2745</v>
      </c>
    </row>
    <row r="220" spans="1:42" ht="15" customHeight="1" x14ac:dyDescent="0.2">
      <c r="A220" s="16" t="s">
        <v>594</v>
      </c>
      <c r="B220" s="16" t="s">
        <v>596</v>
      </c>
      <c r="C220" s="16" t="s">
        <v>416</v>
      </c>
      <c r="D220" s="16" t="s">
        <v>511</v>
      </c>
      <c r="E220" s="17">
        <v>39428.3923</v>
      </c>
      <c r="F220" s="17">
        <v>35369.89</v>
      </c>
      <c r="G220" s="17">
        <v>29635.5524</v>
      </c>
      <c r="H220" s="17">
        <v>24886.417399999998</v>
      </c>
      <c r="I220" s="17">
        <v>21000.689600000002</v>
      </c>
      <c r="J220" s="17">
        <v>0</v>
      </c>
      <c r="K220" s="17">
        <v>0</v>
      </c>
      <c r="L220" s="17">
        <v>0</v>
      </c>
      <c r="M220" s="17">
        <v>0</v>
      </c>
      <c r="N220" s="17">
        <v>0</v>
      </c>
      <c r="O220" s="17">
        <v>0</v>
      </c>
      <c r="P220" s="17">
        <v>0</v>
      </c>
      <c r="Q220" s="17">
        <v>0</v>
      </c>
      <c r="R220" s="17">
        <v>0</v>
      </c>
      <c r="S220" s="17">
        <v>0</v>
      </c>
      <c r="T220" s="17">
        <v>0</v>
      </c>
      <c r="U220" s="17">
        <v>0</v>
      </c>
      <c r="V220" s="17">
        <v>0</v>
      </c>
      <c r="W220" s="17">
        <v>0</v>
      </c>
      <c r="X220" s="17">
        <v>0</v>
      </c>
      <c r="Y220" s="17">
        <v>0</v>
      </c>
      <c r="Z220" s="17">
        <v>0</v>
      </c>
      <c r="AA220" s="17">
        <v>0</v>
      </c>
      <c r="AB220" s="17">
        <v>0</v>
      </c>
      <c r="AC220" s="17">
        <v>0</v>
      </c>
      <c r="AD220" s="17">
        <v>0</v>
      </c>
      <c r="AE220" s="17">
        <v>0</v>
      </c>
      <c r="AF220" s="17">
        <v>0</v>
      </c>
      <c r="AG220" s="17">
        <v>0</v>
      </c>
      <c r="AH220" s="17">
        <v>0</v>
      </c>
      <c r="AI220" s="17">
        <v>0</v>
      </c>
      <c r="AJ220" s="17">
        <v>0</v>
      </c>
      <c r="AK220" s="17">
        <v>0</v>
      </c>
      <c r="AL220" s="17">
        <v>0</v>
      </c>
      <c r="AM220" s="17">
        <v>0</v>
      </c>
      <c r="AN220" s="17">
        <v>0</v>
      </c>
      <c r="AO220" s="17">
        <v>0</v>
      </c>
      <c r="AP220" s="18">
        <f t="shared" si="3"/>
        <v>150320.9417</v>
      </c>
    </row>
    <row r="221" spans="1:42" ht="15" customHeight="1" x14ac:dyDescent="0.2">
      <c r="A221" s="16" t="s">
        <v>597</v>
      </c>
      <c r="B221" s="16" t="s">
        <v>421</v>
      </c>
      <c r="C221" s="16" t="s">
        <v>421</v>
      </c>
      <c r="D221" s="16" t="s">
        <v>511</v>
      </c>
      <c r="E221" s="17">
        <v>1394765.459</v>
      </c>
      <c r="F221" s="17">
        <v>1616803.6279</v>
      </c>
      <c r="G221" s="17">
        <v>1622983.3511999999</v>
      </c>
      <c r="H221" s="17">
        <v>1411704.9036000001</v>
      </c>
      <c r="I221" s="17">
        <v>1230735.6122000001</v>
      </c>
      <c r="J221" s="17">
        <v>1068396.4569000001</v>
      </c>
      <c r="K221" s="17">
        <v>927156.8578</v>
      </c>
      <c r="L221" s="17">
        <v>808195.70250000001</v>
      </c>
      <c r="M221" s="17">
        <v>709158.48759999999</v>
      </c>
      <c r="N221" s="17">
        <v>613416.49459999998</v>
      </c>
      <c r="O221" s="17">
        <v>530622.60979999998</v>
      </c>
      <c r="P221" s="17">
        <v>463702.64880000002</v>
      </c>
      <c r="Q221" s="17">
        <v>407249.65120000002</v>
      </c>
      <c r="R221" s="17">
        <v>352579.6594</v>
      </c>
      <c r="S221" s="17">
        <v>297558.25689999998</v>
      </c>
      <c r="T221" s="17">
        <v>254574.06659999999</v>
      </c>
      <c r="U221" s="17">
        <v>223006.83549999999</v>
      </c>
      <c r="V221" s="17">
        <v>193174.73860000001</v>
      </c>
      <c r="W221" s="17">
        <v>164972.75039999999</v>
      </c>
      <c r="X221" s="17">
        <v>91757.7111</v>
      </c>
      <c r="Y221" s="17">
        <v>0</v>
      </c>
      <c r="Z221" s="17">
        <v>0</v>
      </c>
      <c r="AA221" s="17">
        <v>0</v>
      </c>
      <c r="AB221" s="17">
        <v>0</v>
      </c>
      <c r="AC221" s="17">
        <v>0</v>
      </c>
      <c r="AD221" s="17">
        <v>0</v>
      </c>
      <c r="AE221" s="17">
        <v>0</v>
      </c>
      <c r="AF221" s="17">
        <v>0</v>
      </c>
      <c r="AG221" s="17">
        <v>0</v>
      </c>
      <c r="AH221" s="17">
        <v>0</v>
      </c>
      <c r="AI221" s="17">
        <v>0</v>
      </c>
      <c r="AJ221" s="17">
        <v>0</v>
      </c>
      <c r="AK221" s="17">
        <v>0</v>
      </c>
      <c r="AL221" s="17">
        <v>0</v>
      </c>
      <c r="AM221" s="17">
        <v>0</v>
      </c>
      <c r="AN221" s="17">
        <v>0</v>
      </c>
      <c r="AO221" s="17">
        <v>0</v>
      </c>
      <c r="AP221" s="18">
        <f t="shared" si="3"/>
        <v>14382515.881600002</v>
      </c>
    </row>
    <row r="222" spans="1:42" ht="24" customHeight="1" x14ac:dyDescent="0.2">
      <c r="A222" s="16" t="s">
        <v>598</v>
      </c>
      <c r="B222" s="16" t="s">
        <v>151</v>
      </c>
      <c r="C222" s="16" t="s">
        <v>151</v>
      </c>
      <c r="D222" s="16" t="s">
        <v>511</v>
      </c>
      <c r="E222" s="17">
        <v>140931.7776</v>
      </c>
      <c r="F222" s="17">
        <v>123326.4304</v>
      </c>
      <c r="G222" s="17">
        <v>107722.9022</v>
      </c>
      <c r="H222" s="17">
        <v>96562.934299999994</v>
      </c>
      <c r="I222" s="17">
        <v>87108.785300000003</v>
      </c>
      <c r="J222" s="17">
        <v>77817.023499999996</v>
      </c>
      <c r="K222" s="17">
        <v>67564.703500000003</v>
      </c>
      <c r="L222" s="17">
        <v>61325.056400000001</v>
      </c>
      <c r="M222" s="17">
        <v>55967.2912</v>
      </c>
      <c r="N222" s="17">
        <v>30141.167799999999</v>
      </c>
      <c r="O222" s="17">
        <v>0</v>
      </c>
      <c r="P222" s="17">
        <v>0</v>
      </c>
      <c r="Q222" s="17">
        <v>0</v>
      </c>
      <c r="R222" s="17">
        <v>0</v>
      </c>
      <c r="S222" s="17">
        <v>0</v>
      </c>
      <c r="T222" s="17">
        <v>0</v>
      </c>
      <c r="U222" s="17">
        <v>0</v>
      </c>
      <c r="V222" s="17">
        <v>0</v>
      </c>
      <c r="W222" s="17">
        <v>0</v>
      </c>
      <c r="X222" s="17">
        <v>0</v>
      </c>
      <c r="Y222" s="17">
        <v>0</v>
      </c>
      <c r="Z222" s="17">
        <v>0</v>
      </c>
      <c r="AA222" s="17">
        <v>0</v>
      </c>
      <c r="AB222" s="17">
        <v>0</v>
      </c>
      <c r="AC222" s="17">
        <v>0</v>
      </c>
      <c r="AD222" s="17">
        <v>0</v>
      </c>
      <c r="AE222" s="17">
        <v>0</v>
      </c>
      <c r="AF222" s="17">
        <v>0</v>
      </c>
      <c r="AG222" s="17">
        <v>0</v>
      </c>
      <c r="AH222" s="17">
        <v>0</v>
      </c>
      <c r="AI222" s="17">
        <v>0</v>
      </c>
      <c r="AJ222" s="17">
        <v>0</v>
      </c>
      <c r="AK222" s="17">
        <v>0</v>
      </c>
      <c r="AL222" s="17">
        <v>0</v>
      </c>
      <c r="AM222" s="17">
        <v>0</v>
      </c>
      <c r="AN222" s="17">
        <v>0</v>
      </c>
      <c r="AO222" s="17">
        <v>0</v>
      </c>
      <c r="AP222" s="18">
        <f t="shared" si="3"/>
        <v>848468.07219999994</v>
      </c>
    </row>
    <row r="223" spans="1:42" ht="24" customHeight="1" x14ac:dyDescent="0.2">
      <c r="A223" s="16" t="s">
        <v>598</v>
      </c>
      <c r="B223" s="16" t="s">
        <v>599</v>
      </c>
      <c r="C223" s="16" t="s">
        <v>230</v>
      </c>
      <c r="D223" s="16" t="s">
        <v>511</v>
      </c>
      <c r="E223" s="17">
        <v>254427.6073</v>
      </c>
      <c r="F223" s="17">
        <v>322388.21750000003</v>
      </c>
      <c r="G223" s="17">
        <v>295173.93170000002</v>
      </c>
      <c r="H223" s="17">
        <v>230242.52119999999</v>
      </c>
      <c r="I223" s="17">
        <v>175538.57320000001</v>
      </c>
      <c r="J223" s="17">
        <v>140426.42550000001</v>
      </c>
      <c r="K223" s="17">
        <v>0</v>
      </c>
      <c r="L223" s="17">
        <v>0</v>
      </c>
      <c r="M223" s="17">
        <v>0</v>
      </c>
      <c r="N223" s="17">
        <v>0</v>
      </c>
      <c r="O223" s="17">
        <v>0</v>
      </c>
      <c r="P223" s="17">
        <v>0</v>
      </c>
      <c r="Q223" s="17">
        <v>0</v>
      </c>
      <c r="R223" s="17">
        <v>0</v>
      </c>
      <c r="S223" s="17">
        <v>0</v>
      </c>
      <c r="T223" s="17">
        <v>0</v>
      </c>
      <c r="U223" s="17">
        <v>0</v>
      </c>
      <c r="V223" s="17">
        <v>0</v>
      </c>
      <c r="W223" s="17">
        <v>0</v>
      </c>
      <c r="X223" s="17">
        <v>0</v>
      </c>
      <c r="Y223" s="17">
        <v>0</v>
      </c>
      <c r="Z223" s="17">
        <v>0</v>
      </c>
      <c r="AA223" s="17">
        <v>0</v>
      </c>
      <c r="AB223" s="17">
        <v>0</v>
      </c>
      <c r="AC223" s="17">
        <v>0</v>
      </c>
      <c r="AD223" s="17">
        <v>0</v>
      </c>
      <c r="AE223" s="17">
        <v>0</v>
      </c>
      <c r="AF223" s="17">
        <v>0</v>
      </c>
      <c r="AG223" s="17">
        <v>0</v>
      </c>
      <c r="AH223" s="17">
        <v>0</v>
      </c>
      <c r="AI223" s="17">
        <v>0</v>
      </c>
      <c r="AJ223" s="17">
        <v>0</v>
      </c>
      <c r="AK223" s="17">
        <v>0</v>
      </c>
      <c r="AL223" s="17">
        <v>0</v>
      </c>
      <c r="AM223" s="17">
        <v>0</v>
      </c>
      <c r="AN223" s="17">
        <v>0</v>
      </c>
      <c r="AO223" s="17">
        <v>0</v>
      </c>
      <c r="AP223" s="18">
        <f t="shared" si="3"/>
        <v>1418197.2764000003</v>
      </c>
    </row>
    <row r="224" spans="1:42" ht="24" customHeight="1" x14ac:dyDescent="0.2">
      <c r="A224" s="16" t="s">
        <v>598</v>
      </c>
      <c r="B224" s="16" t="s">
        <v>599</v>
      </c>
      <c r="C224" s="16" t="s">
        <v>231</v>
      </c>
      <c r="D224" s="16" t="s">
        <v>511</v>
      </c>
      <c r="E224" s="17">
        <v>23506.006600000001</v>
      </c>
      <c r="F224" s="17">
        <v>19432.876199999999</v>
      </c>
      <c r="G224" s="17">
        <v>16326.1149</v>
      </c>
      <c r="H224" s="17">
        <v>13872.816800000001</v>
      </c>
      <c r="I224" s="17">
        <v>11936.584000000001</v>
      </c>
      <c r="J224" s="17">
        <v>10305.1178</v>
      </c>
      <c r="K224" s="17">
        <v>8993.2389999999996</v>
      </c>
      <c r="L224" s="17">
        <v>7903.8190999999997</v>
      </c>
      <c r="M224" s="17">
        <v>627.01589999999999</v>
      </c>
      <c r="N224" s="17">
        <v>0</v>
      </c>
      <c r="O224" s="17">
        <v>0</v>
      </c>
      <c r="P224" s="17">
        <v>0</v>
      </c>
      <c r="Q224" s="17">
        <v>0</v>
      </c>
      <c r="R224" s="17">
        <v>0</v>
      </c>
      <c r="S224" s="17">
        <v>0</v>
      </c>
      <c r="T224" s="17">
        <v>0</v>
      </c>
      <c r="U224" s="17">
        <v>0</v>
      </c>
      <c r="V224" s="17">
        <v>0</v>
      </c>
      <c r="W224" s="17">
        <v>0</v>
      </c>
      <c r="X224" s="17">
        <v>0</v>
      </c>
      <c r="Y224" s="17">
        <v>0</v>
      </c>
      <c r="Z224" s="17">
        <v>0</v>
      </c>
      <c r="AA224" s="17">
        <v>0</v>
      </c>
      <c r="AB224" s="17">
        <v>0</v>
      </c>
      <c r="AC224" s="17">
        <v>0</v>
      </c>
      <c r="AD224" s="17">
        <v>0</v>
      </c>
      <c r="AE224" s="17">
        <v>0</v>
      </c>
      <c r="AF224" s="17">
        <v>0</v>
      </c>
      <c r="AG224" s="17">
        <v>0</v>
      </c>
      <c r="AH224" s="17">
        <v>0</v>
      </c>
      <c r="AI224" s="17">
        <v>0</v>
      </c>
      <c r="AJ224" s="17">
        <v>0</v>
      </c>
      <c r="AK224" s="17">
        <v>0</v>
      </c>
      <c r="AL224" s="17">
        <v>0</v>
      </c>
      <c r="AM224" s="17">
        <v>0</v>
      </c>
      <c r="AN224" s="17">
        <v>0</v>
      </c>
      <c r="AO224" s="17">
        <v>0</v>
      </c>
      <c r="AP224" s="18">
        <f t="shared" si="3"/>
        <v>112903.59030000001</v>
      </c>
    </row>
    <row r="225" spans="1:42" ht="24" customHeight="1" x14ac:dyDescent="0.2">
      <c r="A225" s="16" t="s">
        <v>598</v>
      </c>
      <c r="B225" s="16" t="s">
        <v>600</v>
      </c>
      <c r="C225" s="16" t="s">
        <v>288</v>
      </c>
      <c r="D225" s="16" t="s">
        <v>511</v>
      </c>
      <c r="E225" s="17">
        <v>0</v>
      </c>
      <c r="F225" s="17">
        <v>17419.794099999999</v>
      </c>
      <c r="G225" s="17">
        <v>18360.755799999999</v>
      </c>
      <c r="H225" s="17">
        <v>11233.5643</v>
      </c>
      <c r="I225" s="17">
        <v>0</v>
      </c>
      <c r="J225" s="17">
        <v>0</v>
      </c>
      <c r="K225" s="17">
        <v>0</v>
      </c>
      <c r="L225" s="17">
        <v>0</v>
      </c>
      <c r="M225" s="17">
        <v>0</v>
      </c>
      <c r="N225" s="17">
        <v>0</v>
      </c>
      <c r="O225" s="17">
        <v>0</v>
      </c>
      <c r="P225" s="17">
        <v>0</v>
      </c>
      <c r="Q225" s="17">
        <v>0</v>
      </c>
      <c r="R225" s="17">
        <v>0</v>
      </c>
      <c r="S225" s="17">
        <v>0</v>
      </c>
      <c r="T225" s="17">
        <v>0</v>
      </c>
      <c r="U225" s="17">
        <v>0</v>
      </c>
      <c r="V225" s="17">
        <v>0</v>
      </c>
      <c r="W225" s="17">
        <v>0</v>
      </c>
      <c r="X225" s="17">
        <v>0</v>
      </c>
      <c r="Y225" s="17">
        <v>0</v>
      </c>
      <c r="Z225" s="17">
        <v>0</v>
      </c>
      <c r="AA225" s="17">
        <v>0</v>
      </c>
      <c r="AB225" s="17">
        <v>0</v>
      </c>
      <c r="AC225" s="17">
        <v>0</v>
      </c>
      <c r="AD225" s="17">
        <v>0</v>
      </c>
      <c r="AE225" s="17">
        <v>0</v>
      </c>
      <c r="AF225" s="17">
        <v>0</v>
      </c>
      <c r="AG225" s="17">
        <v>0</v>
      </c>
      <c r="AH225" s="17">
        <v>0</v>
      </c>
      <c r="AI225" s="17">
        <v>0</v>
      </c>
      <c r="AJ225" s="17">
        <v>0</v>
      </c>
      <c r="AK225" s="17">
        <v>0</v>
      </c>
      <c r="AL225" s="17">
        <v>0</v>
      </c>
      <c r="AM225" s="17">
        <v>0</v>
      </c>
      <c r="AN225" s="17">
        <v>0</v>
      </c>
      <c r="AO225" s="17">
        <v>0</v>
      </c>
      <c r="AP225" s="18">
        <f t="shared" si="3"/>
        <v>47014.114199999996</v>
      </c>
    </row>
    <row r="226" spans="1:42" ht="15" customHeight="1" x14ac:dyDescent="0.2">
      <c r="A226" s="16" t="s">
        <v>601</v>
      </c>
      <c r="B226" s="16" t="s">
        <v>602</v>
      </c>
      <c r="C226" s="16" t="s">
        <v>124</v>
      </c>
      <c r="D226" s="16" t="s">
        <v>511</v>
      </c>
      <c r="E226" s="17">
        <v>214584.12</v>
      </c>
      <c r="F226" s="17">
        <v>179183.22719999999</v>
      </c>
      <c r="G226" s="17">
        <v>150662.07870000001</v>
      </c>
      <c r="H226" s="17">
        <v>127449.46890000001</v>
      </c>
      <c r="I226" s="17">
        <v>108538.99340000001</v>
      </c>
      <c r="J226" s="17">
        <v>93115.407300000006</v>
      </c>
      <c r="K226" s="17">
        <v>80518.332999999999</v>
      </c>
      <c r="L226" s="17">
        <v>70212.798599999995</v>
      </c>
      <c r="M226" s="17">
        <v>61765.457900000001</v>
      </c>
      <c r="N226" s="17">
        <v>54825.256500000003</v>
      </c>
      <c r="O226" s="17">
        <v>51107.786699999997</v>
      </c>
      <c r="P226" s="17">
        <v>48125.63</v>
      </c>
      <c r="Q226" s="17">
        <v>0</v>
      </c>
      <c r="R226" s="17">
        <v>0</v>
      </c>
      <c r="S226" s="17">
        <v>0</v>
      </c>
      <c r="T226" s="17">
        <v>0</v>
      </c>
      <c r="U226" s="17">
        <v>0</v>
      </c>
      <c r="V226" s="17">
        <v>0</v>
      </c>
      <c r="W226" s="17">
        <v>0</v>
      </c>
      <c r="X226" s="17">
        <v>0</v>
      </c>
      <c r="Y226" s="17">
        <v>0</v>
      </c>
      <c r="Z226" s="17">
        <v>0</v>
      </c>
      <c r="AA226" s="17">
        <v>0</v>
      </c>
      <c r="AB226" s="17">
        <v>0</v>
      </c>
      <c r="AC226" s="17">
        <v>0</v>
      </c>
      <c r="AD226" s="17">
        <v>0</v>
      </c>
      <c r="AE226" s="17">
        <v>0</v>
      </c>
      <c r="AF226" s="17">
        <v>0</v>
      </c>
      <c r="AG226" s="17">
        <v>0</v>
      </c>
      <c r="AH226" s="17">
        <v>0</v>
      </c>
      <c r="AI226" s="17">
        <v>0</v>
      </c>
      <c r="AJ226" s="17">
        <v>0</v>
      </c>
      <c r="AK226" s="17">
        <v>0</v>
      </c>
      <c r="AL226" s="17">
        <v>0</v>
      </c>
      <c r="AM226" s="17">
        <v>0</v>
      </c>
      <c r="AN226" s="17">
        <v>0</v>
      </c>
      <c r="AO226" s="17">
        <v>0</v>
      </c>
      <c r="AP226" s="18">
        <f t="shared" si="3"/>
        <v>1240088.5581999996</v>
      </c>
    </row>
    <row r="227" spans="1:42" ht="15" customHeight="1" x14ac:dyDescent="0.2">
      <c r="A227" s="16" t="s">
        <v>601</v>
      </c>
      <c r="B227" s="16" t="s">
        <v>602</v>
      </c>
      <c r="C227" s="16" t="s">
        <v>126</v>
      </c>
      <c r="D227" s="16" t="s">
        <v>511</v>
      </c>
      <c r="E227" s="17">
        <v>180221.141</v>
      </c>
      <c r="F227" s="17">
        <v>174594.68299999999</v>
      </c>
      <c r="G227" s="17">
        <v>169190.27</v>
      </c>
      <c r="H227" s="17">
        <v>164864.54999999999</v>
      </c>
      <c r="I227" s="17">
        <v>159814.94</v>
      </c>
      <c r="J227" s="17">
        <v>155953.94</v>
      </c>
      <c r="K227" s="17">
        <v>151223.39000000001</v>
      </c>
      <c r="L227" s="17">
        <v>147668.01999999999</v>
      </c>
      <c r="M227" s="17">
        <v>143230.31</v>
      </c>
      <c r="N227" s="17">
        <v>138455.57</v>
      </c>
      <c r="O227" s="17">
        <v>134361.82999999999</v>
      </c>
      <c r="P227" s="17">
        <v>130516.2</v>
      </c>
      <c r="Q227" s="17">
        <v>0</v>
      </c>
      <c r="R227" s="17">
        <v>0</v>
      </c>
      <c r="S227" s="17">
        <v>0</v>
      </c>
      <c r="T227" s="17">
        <v>0</v>
      </c>
      <c r="U227" s="17">
        <v>0</v>
      </c>
      <c r="V227" s="17">
        <v>0</v>
      </c>
      <c r="W227" s="17">
        <v>0</v>
      </c>
      <c r="X227" s="17">
        <v>0</v>
      </c>
      <c r="Y227" s="17">
        <v>0</v>
      </c>
      <c r="Z227" s="17">
        <v>0</v>
      </c>
      <c r="AA227" s="17">
        <v>0</v>
      </c>
      <c r="AB227" s="17">
        <v>0</v>
      </c>
      <c r="AC227" s="17">
        <v>0</v>
      </c>
      <c r="AD227" s="17">
        <v>0</v>
      </c>
      <c r="AE227" s="17">
        <v>0</v>
      </c>
      <c r="AF227" s="17">
        <v>0</v>
      </c>
      <c r="AG227" s="17">
        <v>0</v>
      </c>
      <c r="AH227" s="17">
        <v>0</v>
      </c>
      <c r="AI227" s="17">
        <v>0</v>
      </c>
      <c r="AJ227" s="17">
        <v>0</v>
      </c>
      <c r="AK227" s="17">
        <v>0</v>
      </c>
      <c r="AL227" s="17">
        <v>0</v>
      </c>
      <c r="AM227" s="17">
        <v>0</v>
      </c>
      <c r="AN227" s="17">
        <v>0</v>
      </c>
      <c r="AO227" s="17">
        <v>0</v>
      </c>
      <c r="AP227" s="18">
        <f t="shared" si="3"/>
        <v>1850094.844</v>
      </c>
    </row>
    <row r="228" spans="1:42" ht="15" customHeight="1" x14ac:dyDescent="0.2">
      <c r="A228" s="16" t="s">
        <v>601</v>
      </c>
      <c r="B228" s="16" t="s">
        <v>602</v>
      </c>
      <c r="C228" s="16" t="s">
        <v>323</v>
      </c>
      <c r="D228" s="16" t="s">
        <v>511</v>
      </c>
      <c r="E228" s="17">
        <v>352355.23979999998</v>
      </c>
      <c r="F228" s="17">
        <v>327749.28000000003</v>
      </c>
      <c r="G228" s="17">
        <v>306881.71999999997</v>
      </c>
      <c r="H228" s="17">
        <v>286882.09000000003</v>
      </c>
      <c r="I228" s="17">
        <v>270671.65000000002</v>
      </c>
      <c r="J228" s="17">
        <v>253769.79</v>
      </c>
      <c r="K228" s="17">
        <v>238563.47</v>
      </c>
      <c r="L228" s="17">
        <v>222555.19</v>
      </c>
      <c r="M228" s="17">
        <v>210861.36</v>
      </c>
      <c r="N228" s="17">
        <v>199243.6</v>
      </c>
      <c r="O228" s="17">
        <v>189603.14</v>
      </c>
      <c r="P228" s="17">
        <v>179736.23</v>
      </c>
      <c r="Q228" s="17">
        <v>0</v>
      </c>
      <c r="R228" s="17">
        <v>0</v>
      </c>
      <c r="S228" s="17">
        <v>0</v>
      </c>
      <c r="T228" s="17">
        <v>0</v>
      </c>
      <c r="U228" s="17">
        <v>0</v>
      </c>
      <c r="V228" s="17">
        <v>0</v>
      </c>
      <c r="W228" s="17">
        <v>0</v>
      </c>
      <c r="X228" s="17">
        <v>0</v>
      </c>
      <c r="Y228" s="17">
        <v>0</v>
      </c>
      <c r="Z228" s="17">
        <v>0</v>
      </c>
      <c r="AA228" s="17">
        <v>0</v>
      </c>
      <c r="AB228" s="17">
        <v>0</v>
      </c>
      <c r="AC228" s="17">
        <v>0</v>
      </c>
      <c r="AD228" s="17">
        <v>0</v>
      </c>
      <c r="AE228" s="17">
        <v>0</v>
      </c>
      <c r="AF228" s="17">
        <v>0</v>
      </c>
      <c r="AG228" s="17">
        <v>0</v>
      </c>
      <c r="AH228" s="17">
        <v>0</v>
      </c>
      <c r="AI228" s="17">
        <v>0</v>
      </c>
      <c r="AJ228" s="17">
        <v>0</v>
      </c>
      <c r="AK228" s="17">
        <v>0</v>
      </c>
      <c r="AL228" s="17">
        <v>0</v>
      </c>
      <c r="AM228" s="17">
        <v>0</v>
      </c>
      <c r="AN228" s="17">
        <v>0</v>
      </c>
      <c r="AO228" s="17">
        <v>0</v>
      </c>
      <c r="AP228" s="18">
        <f t="shared" si="3"/>
        <v>3038872.7598000001</v>
      </c>
    </row>
    <row r="229" spans="1:42" ht="15" customHeight="1" x14ac:dyDescent="0.2">
      <c r="A229" s="16" t="s">
        <v>603</v>
      </c>
      <c r="B229" s="16" t="s">
        <v>604</v>
      </c>
      <c r="C229" s="16" t="s">
        <v>263</v>
      </c>
      <c r="D229" s="16" t="s">
        <v>511</v>
      </c>
      <c r="E229" s="17">
        <v>7299648.5098000001</v>
      </c>
      <c r="F229" s="17">
        <v>5059712.4577000001</v>
      </c>
      <c r="G229" s="17">
        <v>3526342.3936999999</v>
      </c>
      <c r="H229" s="17">
        <v>2493652.6127999998</v>
      </c>
      <c r="I229" s="17">
        <v>1789898.2235999999</v>
      </c>
      <c r="J229" s="17">
        <v>1291528.0237</v>
      </c>
      <c r="K229" s="17">
        <v>932828.14289999998</v>
      </c>
      <c r="L229" s="17">
        <v>687351.86320000002</v>
      </c>
      <c r="M229" s="17">
        <v>499258.89860000001</v>
      </c>
      <c r="N229" s="17">
        <v>363320.9032</v>
      </c>
      <c r="O229" s="17">
        <v>274684.61930000002</v>
      </c>
      <c r="P229" s="17">
        <v>207924.53630000001</v>
      </c>
      <c r="Q229" s="17">
        <v>137034.42629999999</v>
      </c>
      <c r="R229" s="17">
        <v>104905.57709999999</v>
      </c>
      <c r="S229" s="17">
        <v>80560.044800000003</v>
      </c>
      <c r="T229" s="17">
        <v>61864.402199999997</v>
      </c>
      <c r="U229" s="17">
        <v>27593.6158</v>
      </c>
      <c r="V229" s="17">
        <v>0</v>
      </c>
      <c r="W229" s="17">
        <v>0</v>
      </c>
      <c r="X229" s="17">
        <v>0</v>
      </c>
      <c r="Y229" s="17">
        <v>0</v>
      </c>
      <c r="Z229" s="17">
        <v>0</v>
      </c>
      <c r="AA229" s="17">
        <v>0</v>
      </c>
      <c r="AB229" s="17">
        <v>0</v>
      </c>
      <c r="AC229" s="17">
        <v>0</v>
      </c>
      <c r="AD229" s="17">
        <v>0</v>
      </c>
      <c r="AE229" s="17">
        <v>0</v>
      </c>
      <c r="AF229" s="17">
        <v>0</v>
      </c>
      <c r="AG229" s="17">
        <v>0</v>
      </c>
      <c r="AH229" s="17">
        <v>0</v>
      </c>
      <c r="AI229" s="17">
        <v>0</v>
      </c>
      <c r="AJ229" s="17">
        <v>0</v>
      </c>
      <c r="AK229" s="17">
        <v>0</v>
      </c>
      <c r="AL229" s="17">
        <v>0</v>
      </c>
      <c r="AM229" s="17">
        <v>0</v>
      </c>
      <c r="AN229" s="17">
        <v>0</v>
      </c>
      <c r="AO229" s="17">
        <v>0</v>
      </c>
      <c r="AP229" s="18">
        <f t="shared" si="3"/>
        <v>24838109.251000002</v>
      </c>
    </row>
    <row r="230" spans="1:42" ht="15" customHeight="1" x14ac:dyDescent="0.2">
      <c r="A230" s="16" t="s">
        <v>603</v>
      </c>
      <c r="B230" s="16" t="s">
        <v>604</v>
      </c>
      <c r="C230" s="16" t="s">
        <v>307</v>
      </c>
      <c r="D230" s="16" t="s">
        <v>511</v>
      </c>
      <c r="E230" s="17">
        <v>158386.26509999999</v>
      </c>
      <c r="F230" s="17">
        <v>76787.269899999999</v>
      </c>
      <c r="G230" s="17">
        <v>0</v>
      </c>
      <c r="H230" s="17">
        <v>0</v>
      </c>
      <c r="I230" s="17">
        <v>0</v>
      </c>
      <c r="J230" s="17">
        <v>0</v>
      </c>
      <c r="K230" s="17">
        <v>0</v>
      </c>
      <c r="L230" s="17">
        <v>0</v>
      </c>
      <c r="M230" s="17">
        <v>0</v>
      </c>
      <c r="N230" s="17">
        <v>0</v>
      </c>
      <c r="O230" s="17">
        <v>0</v>
      </c>
      <c r="P230" s="17">
        <v>0</v>
      </c>
      <c r="Q230" s="17">
        <v>0</v>
      </c>
      <c r="R230" s="17">
        <v>0</v>
      </c>
      <c r="S230" s="17">
        <v>0</v>
      </c>
      <c r="T230" s="17">
        <v>0</v>
      </c>
      <c r="U230" s="17">
        <v>0</v>
      </c>
      <c r="V230" s="17">
        <v>0</v>
      </c>
      <c r="W230" s="17">
        <v>0</v>
      </c>
      <c r="X230" s="17">
        <v>0</v>
      </c>
      <c r="Y230" s="17">
        <v>0</v>
      </c>
      <c r="Z230" s="17">
        <v>0</v>
      </c>
      <c r="AA230" s="17">
        <v>0</v>
      </c>
      <c r="AB230" s="17">
        <v>0</v>
      </c>
      <c r="AC230" s="17">
        <v>0</v>
      </c>
      <c r="AD230" s="17">
        <v>0</v>
      </c>
      <c r="AE230" s="17">
        <v>0</v>
      </c>
      <c r="AF230" s="17">
        <v>0</v>
      </c>
      <c r="AG230" s="17">
        <v>0</v>
      </c>
      <c r="AH230" s="17">
        <v>0</v>
      </c>
      <c r="AI230" s="17">
        <v>0</v>
      </c>
      <c r="AJ230" s="17">
        <v>0</v>
      </c>
      <c r="AK230" s="17">
        <v>0</v>
      </c>
      <c r="AL230" s="17">
        <v>0</v>
      </c>
      <c r="AM230" s="17">
        <v>0</v>
      </c>
      <c r="AN230" s="17">
        <v>0</v>
      </c>
      <c r="AO230" s="17">
        <v>0</v>
      </c>
      <c r="AP230" s="18">
        <f t="shared" si="3"/>
        <v>235173.53499999997</v>
      </c>
    </row>
    <row r="231" spans="1:42" ht="15" customHeight="1" x14ac:dyDescent="0.2">
      <c r="A231" s="16" t="s">
        <v>605</v>
      </c>
      <c r="B231" s="16" t="s">
        <v>121</v>
      </c>
      <c r="C231" s="16" t="s">
        <v>121</v>
      </c>
      <c r="D231" s="16" t="s">
        <v>511</v>
      </c>
      <c r="E231" s="17">
        <v>203028.06479999999</v>
      </c>
      <c r="F231" s="17">
        <v>409922.96919999999</v>
      </c>
      <c r="G231" s="17">
        <v>732133.69270000001</v>
      </c>
      <c r="H231" s="17">
        <v>811892.71279999998</v>
      </c>
      <c r="I231" s="17">
        <v>655768.09340000001</v>
      </c>
      <c r="J231" s="17">
        <v>529915.34900000005</v>
      </c>
      <c r="K231" s="17">
        <v>430635.79210000002</v>
      </c>
      <c r="L231" s="17">
        <v>356090.4203</v>
      </c>
      <c r="M231" s="17">
        <v>296560.69579999999</v>
      </c>
      <c r="N231" s="17">
        <v>246885.2078</v>
      </c>
      <c r="O231" s="17">
        <v>207052.0128</v>
      </c>
      <c r="P231" s="17">
        <v>174658.0441</v>
      </c>
      <c r="Q231" s="17">
        <v>147842.02189999999</v>
      </c>
      <c r="R231" s="17">
        <v>126052.59540000001</v>
      </c>
      <c r="S231" s="17">
        <v>106991.1517</v>
      </c>
      <c r="T231" s="17">
        <v>90965.689400000003</v>
      </c>
      <c r="U231" s="17">
        <v>7126.6935999999996</v>
      </c>
      <c r="V231" s="17">
        <v>0</v>
      </c>
      <c r="W231" s="17">
        <v>0</v>
      </c>
      <c r="X231" s="17">
        <v>0</v>
      </c>
      <c r="Y231" s="17">
        <v>0</v>
      </c>
      <c r="Z231" s="17">
        <v>0</v>
      </c>
      <c r="AA231" s="17">
        <v>0</v>
      </c>
      <c r="AB231" s="17">
        <v>0</v>
      </c>
      <c r="AC231" s="17">
        <v>0</v>
      </c>
      <c r="AD231" s="17">
        <v>0</v>
      </c>
      <c r="AE231" s="17">
        <v>0</v>
      </c>
      <c r="AF231" s="17">
        <v>0</v>
      </c>
      <c r="AG231" s="17">
        <v>0</v>
      </c>
      <c r="AH231" s="17">
        <v>0</v>
      </c>
      <c r="AI231" s="17">
        <v>0</v>
      </c>
      <c r="AJ231" s="17">
        <v>0</v>
      </c>
      <c r="AK231" s="17">
        <v>0</v>
      </c>
      <c r="AL231" s="17">
        <v>0</v>
      </c>
      <c r="AM231" s="17">
        <v>0</v>
      </c>
      <c r="AN231" s="17">
        <v>0</v>
      </c>
      <c r="AO231" s="17">
        <v>0</v>
      </c>
      <c r="AP231" s="18">
        <f t="shared" si="3"/>
        <v>5533521.2067999989</v>
      </c>
    </row>
    <row r="232" spans="1:42" ht="15" customHeight="1" x14ac:dyDescent="0.2">
      <c r="A232" s="16" t="s">
        <v>605</v>
      </c>
      <c r="B232" s="16" t="s">
        <v>132</v>
      </c>
      <c r="C232" s="16" t="s">
        <v>132</v>
      </c>
      <c r="D232" s="16" t="s">
        <v>511</v>
      </c>
      <c r="E232" s="17">
        <v>1827566.2372000001</v>
      </c>
      <c r="F232" s="17">
        <v>1750063.5548</v>
      </c>
      <c r="G232" s="17">
        <v>1639464.6865999999</v>
      </c>
      <c r="H232" s="17">
        <v>1502278.7916999999</v>
      </c>
      <c r="I232" s="17">
        <v>1699212.9975999999</v>
      </c>
      <c r="J232" s="17">
        <v>1063164.4613000001</v>
      </c>
      <c r="K232" s="17">
        <v>688117.01390000002</v>
      </c>
      <c r="L232" s="17">
        <v>443541.84139999998</v>
      </c>
      <c r="M232" s="17">
        <v>242302.02489999999</v>
      </c>
      <c r="N232" s="17">
        <v>160919.5607</v>
      </c>
      <c r="O232" s="17">
        <v>71350.206000000006</v>
      </c>
      <c r="P232" s="17">
        <v>0</v>
      </c>
      <c r="Q232" s="17">
        <v>0</v>
      </c>
      <c r="R232" s="17">
        <v>0</v>
      </c>
      <c r="S232" s="17">
        <v>0</v>
      </c>
      <c r="T232" s="17">
        <v>0</v>
      </c>
      <c r="U232" s="17">
        <v>0</v>
      </c>
      <c r="V232" s="17">
        <v>0</v>
      </c>
      <c r="W232" s="17">
        <v>0</v>
      </c>
      <c r="X232" s="17">
        <v>0</v>
      </c>
      <c r="Y232" s="17">
        <v>0</v>
      </c>
      <c r="Z232" s="17">
        <v>0</v>
      </c>
      <c r="AA232" s="17">
        <v>0</v>
      </c>
      <c r="AB232" s="17">
        <v>0</v>
      </c>
      <c r="AC232" s="17">
        <v>0</v>
      </c>
      <c r="AD232" s="17">
        <v>0</v>
      </c>
      <c r="AE232" s="17">
        <v>0</v>
      </c>
      <c r="AF232" s="17">
        <v>0</v>
      </c>
      <c r="AG232" s="17">
        <v>0</v>
      </c>
      <c r="AH232" s="17">
        <v>0</v>
      </c>
      <c r="AI232" s="17">
        <v>0</v>
      </c>
      <c r="AJ232" s="17">
        <v>0</v>
      </c>
      <c r="AK232" s="17">
        <v>0</v>
      </c>
      <c r="AL232" s="17">
        <v>0</v>
      </c>
      <c r="AM232" s="17">
        <v>0</v>
      </c>
      <c r="AN232" s="17">
        <v>0</v>
      </c>
      <c r="AO232" s="17">
        <v>0</v>
      </c>
      <c r="AP232" s="18">
        <f t="shared" si="3"/>
        <v>11087981.3761</v>
      </c>
    </row>
    <row r="233" spans="1:42" ht="15" customHeight="1" x14ac:dyDescent="0.2">
      <c r="A233" s="16" t="s">
        <v>605</v>
      </c>
      <c r="B233" s="16" t="s">
        <v>149</v>
      </c>
      <c r="C233" s="16" t="s">
        <v>149</v>
      </c>
      <c r="D233" s="16" t="s">
        <v>511</v>
      </c>
      <c r="E233" s="17">
        <v>238798.95129999999</v>
      </c>
      <c r="F233" s="17">
        <v>192587.99179999999</v>
      </c>
      <c r="G233" s="17">
        <v>150042.856</v>
      </c>
      <c r="H233" s="17">
        <v>120391.3226</v>
      </c>
      <c r="I233" s="17">
        <v>99000.720600000001</v>
      </c>
      <c r="J233" s="17">
        <v>82212.537800000006</v>
      </c>
      <c r="K233" s="17">
        <v>68190.011299999998</v>
      </c>
      <c r="L233" s="17">
        <v>53262.225200000001</v>
      </c>
      <c r="M233" s="17">
        <v>9630.5601999999999</v>
      </c>
      <c r="N233" s="17">
        <v>0</v>
      </c>
      <c r="O233" s="17">
        <v>0</v>
      </c>
      <c r="P233" s="17">
        <v>0</v>
      </c>
      <c r="Q233" s="17">
        <v>0</v>
      </c>
      <c r="R233" s="17">
        <v>0</v>
      </c>
      <c r="S233" s="17">
        <v>0</v>
      </c>
      <c r="T233" s="17">
        <v>0</v>
      </c>
      <c r="U233" s="17">
        <v>0</v>
      </c>
      <c r="V233" s="17">
        <v>0</v>
      </c>
      <c r="W233" s="17">
        <v>0</v>
      </c>
      <c r="X233" s="17">
        <v>0</v>
      </c>
      <c r="Y233" s="17">
        <v>0</v>
      </c>
      <c r="Z233" s="17">
        <v>0</v>
      </c>
      <c r="AA233" s="17">
        <v>0</v>
      </c>
      <c r="AB233" s="17">
        <v>0</v>
      </c>
      <c r="AC233" s="17">
        <v>0</v>
      </c>
      <c r="AD233" s="17">
        <v>0</v>
      </c>
      <c r="AE233" s="17">
        <v>0</v>
      </c>
      <c r="AF233" s="17">
        <v>0</v>
      </c>
      <c r="AG233" s="17">
        <v>0</v>
      </c>
      <c r="AH233" s="17">
        <v>0</v>
      </c>
      <c r="AI233" s="17">
        <v>0</v>
      </c>
      <c r="AJ233" s="17">
        <v>0</v>
      </c>
      <c r="AK233" s="17">
        <v>0</v>
      </c>
      <c r="AL233" s="17">
        <v>0</v>
      </c>
      <c r="AM233" s="17">
        <v>0</v>
      </c>
      <c r="AN233" s="17">
        <v>0</v>
      </c>
      <c r="AO233" s="17">
        <v>0</v>
      </c>
      <c r="AP233" s="18">
        <f t="shared" si="3"/>
        <v>1014117.1767999999</v>
      </c>
    </row>
    <row r="234" spans="1:42" ht="15" customHeight="1" x14ac:dyDescent="0.2">
      <c r="A234" s="16" t="s">
        <v>605</v>
      </c>
      <c r="B234" s="16" t="s">
        <v>168</v>
      </c>
      <c r="C234" s="16" t="s">
        <v>129</v>
      </c>
      <c r="D234" s="16" t="s">
        <v>511</v>
      </c>
      <c r="E234" s="17">
        <v>2043850.0190000001</v>
      </c>
      <c r="F234" s="17">
        <v>2382556.7132999999</v>
      </c>
      <c r="G234" s="17">
        <v>1843136.4124</v>
      </c>
      <c r="H234" s="17">
        <v>1136247.3629000001</v>
      </c>
      <c r="I234" s="17">
        <v>1159170.4203999999</v>
      </c>
      <c r="J234" s="17">
        <v>1224375.4933</v>
      </c>
      <c r="K234" s="17">
        <v>985153.80279999995</v>
      </c>
      <c r="L234" s="17">
        <v>527159.30310000002</v>
      </c>
      <c r="M234" s="17">
        <v>36236.708899999998</v>
      </c>
      <c r="N234" s="17">
        <v>0</v>
      </c>
      <c r="O234" s="17">
        <v>0</v>
      </c>
      <c r="P234" s="17">
        <v>0</v>
      </c>
      <c r="Q234" s="17">
        <v>0</v>
      </c>
      <c r="R234" s="17">
        <v>0</v>
      </c>
      <c r="S234" s="17">
        <v>0</v>
      </c>
      <c r="T234" s="17">
        <v>0</v>
      </c>
      <c r="U234" s="17">
        <v>0</v>
      </c>
      <c r="V234" s="17">
        <v>0</v>
      </c>
      <c r="W234" s="17">
        <v>0</v>
      </c>
      <c r="X234" s="17">
        <v>0</v>
      </c>
      <c r="Y234" s="17">
        <v>0</v>
      </c>
      <c r="Z234" s="17">
        <v>0</v>
      </c>
      <c r="AA234" s="17">
        <v>0</v>
      </c>
      <c r="AB234" s="17">
        <v>0</v>
      </c>
      <c r="AC234" s="17">
        <v>0</v>
      </c>
      <c r="AD234" s="17">
        <v>0</v>
      </c>
      <c r="AE234" s="17">
        <v>0</v>
      </c>
      <c r="AF234" s="17">
        <v>0</v>
      </c>
      <c r="AG234" s="17">
        <v>0</v>
      </c>
      <c r="AH234" s="17">
        <v>0</v>
      </c>
      <c r="AI234" s="17">
        <v>0</v>
      </c>
      <c r="AJ234" s="17">
        <v>0</v>
      </c>
      <c r="AK234" s="17">
        <v>0</v>
      </c>
      <c r="AL234" s="17">
        <v>0</v>
      </c>
      <c r="AM234" s="17">
        <v>0</v>
      </c>
      <c r="AN234" s="17">
        <v>0</v>
      </c>
      <c r="AO234" s="17">
        <v>0</v>
      </c>
      <c r="AP234" s="18">
        <f t="shared" si="3"/>
        <v>11337886.236099999</v>
      </c>
    </row>
    <row r="235" spans="1:42" ht="15" customHeight="1" x14ac:dyDescent="0.2">
      <c r="A235" s="16" t="s">
        <v>605</v>
      </c>
      <c r="B235" s="16" t="s">
        <v>168</v>
      </c>
      <c r="C235" s="16" t="s">
        <v>168</v>
      </c>
      <c r="D235" s="16" t="s">
        <v>511</v>
      </c>
      <c r="E235" s="17">
        <v>300901.10369999998</v>
      </c>
      <c r="F235" s="17">
        <v>634407.21580000001</v>
      </c>
      <c r="G235" s="17">
        <v>946751.41480000003</v>
      </c>
      <c r="H235" s="17">
        <v>611610.27379999997</v>
      </c>
      <c r="I235" s="17">
        <v>433903.05050000001</v>
      </c>
      <c r="J235" s="17">
        <v>325019.74410000001</v>
      </c>
      <c r="K235" s="17">
        <v>254564.47750000001</v>
      </c>
      <c r="L235" s="17">
        <v>205540.6697</v>
      </c>
      <c r="M235" s="17">
        <v>15665.906300000001</v>
      </c>
      <c r="N235" s="17">
        <v>0</v>
      </c>
      <c r="O235" s="17">
        <v>0</v>
      </c>
      <c r="P235" s="17">
        <v>0</v>
      </c>
      <c r="Q235" s="17">
        <v>0</v>
      </c>
      <c r="R235" s="17">
        <v>0</v>
      </c>
      <c r="S235" s="17">
        <v>0</v>
      </c>
      <c r="T235" s="17">
        <v>0</v>
      </c>
      <c r="U235" s="17">
        <v>0</v>
      </c>
      <c r="V235" s="17">
        <v>0</v>
      </c>
      <c r="W235" s="17">
        <v>0</v>
      </c>
      <c r="X235" s="17">
        <v>0</v>
      </c>
      <c r="Y235" s="17">
        <v>0</v>
      </c>
      <c r="Z235" s="17">
        <v>0</v>
      </c>
      <c r="AA235" s="17">
        <v>0</v>
      </c>
      <c r="AB235" s="17">
        <v>0</v>
      </c>
      <c r="AC235" s="17">
        <v>0</v>
      </c>
      <c r="AD235" s="17">
        <v>0</v>
      </c>
      <c r="AE235" s="17">
        <v>0</v>
      </c>
      <c r="AF235" s="17">
        <v>0</v>
      </c>
      <c r="AG235" s="17">
        <v>0</v>
      </c>
      <c r="AH235" s="17">
        <v>0</v>
      </c>
      <c r="AI235" s="17">
        <v>0</v>
      </c>
      <c r="AJ235" s="17">
        <v>0</v>
      </c>
      <c r="AK235" s="17">
        <v>0</v>
      </c>
      <c r="AL235" s="17">
        <v>0</v>
      </c>
      <c r="AM235" s="17">
        <v>0</v>
      </c>
      <c r="AN235" s="17">
        <v>0</v>
      </c>
      <c r="AO235" s="17">
        <v>0</v>
      </c>
      <c r="AP235" s="18">
        <f t="shared" si="3"/>
        <v>3728363.8561999998</v>
      </c>
    </row>
    <row r="236" spans="1:42" ht="15" customHeight="1" x14ac:dyDescent="0.2">
      <c r="A236" s="16" t="s">
        <v>605</v>
      </c>
      <c r="B236" s="16" t="s">
        <v>168</v>
      </c>
      <c r="C236" s="16" t="s">
        <v>169</v>
      </c>
      <c r="D236" s="16" t="s">
        <v>511</v>
      </c>
      <c r="E236" s="17">
        <v>258313.33410000001</v>
      </c>
      <c r="F236" s="17">
        <v>214071.53779999999</v>
      </c>
      <c r="G236" s="17">
        <v>150224.42139999999</v>
      </c>
      <c r="H236" s="17">
        <v>410373.70870000002</v>
      </c>
      <c r="I236" s="17">
        <v>301913.52769999998</v>
      </c>
      <c r="J236" s="17">
        <v>217774.92420000001</v>
      </c>
      <c r="K236" s="17">
        <v>145715.36720000001</v>
      </c>
      <c r="L236" s="17">
        <v>116620.0776</v>
      </c>
      <c r="M236" s="17">
        <v>8840.9069999999992</v>
      </c>
      <c r="N236" s="17">
        <v>0</v>
      </c>
      <c r="O236" s="17">
        <v>0</v>
      </c>
      <c r="P236" s="17">
        <v>0</v>
      </c>
      <c r="Q236" s="17">
        <v>0</v>
      </c>
      <c r="R236" s="17">
        <v>0</v>
      </c>
      <c r="S236" s="17">
        <v>0</v>
      </c>
      <c r="T236" s="17">
        <v>0</v>
      </c>
      <c r="U236" s="17">
        <v>0</v>
      </c>
      <c r="V236" s="17">
        <v>0</v>
      </c>
      <c r="W236" s="17">
        <v>0</v>
      </c>
      <c r="X236" s="17">
        <v>0</v>
      </c>
      <c r="Y236" s="17">
        <v>0</v>
      </c>
      <c r="Z236" s="17">
        <v>0</v>
      </c>
      <c r="AA236" s="17">
        <v>0</v>
      </c>
      <c r="AB236" s="17">
        <v>0</v>
      </c>
      <c r="AC236" s="17">
        <v>0</v>
      </c>
      <c r="AD236" s="17">
        <v>0</v>
      </c>
      <c r="AE236" s="17">
        <v>0</v>
      </c>
      <c r="AF236" s="17">
        <v>0</v>
      </c>
      <c r="AG236" s="17">
        <v>0</v>
      </c>
      <c r="AH236" s="17">
        <v>0</v>
      </c>
      <c r="AI236" s="17">
        <v>0</v>
      </c>
      <c r="AJ236" s="17">
        <v>0</v>
      </c>
      <c r="AK236" s="17">
        <v>0</v>
      </c>
      <c r="AL236" s="17">
        <v>0</v>
      </c>
      <c r="AM236" s="17">
        <v>0</v>
      </c>
      <c r="AN236" s="17">
        <v>0</v>
      </c>
      <c r="AO236" s="17">
        <v>0</v>
      </c>
      <c r="AP236" s="18">
        <f t="shared" si="3"/>
        <v>1823847.8056999999</v>
      </c>
    </row>
    <row r="237" spans="1:42" ht="15" customHeight="1" x14ac:dyDescent="0.2">
      <c r="A237" s="16" t="s">
        <v>605</v>
      </c>
      <c r="B237" s="16" t="s">
        <v>606</v>
      </c>
      <c r="C237" s="16" t="s">
        <v>381</v>
      </c>
      <c r="D237" s="16" t="s">
        <v>511</v>
      </c>
      <c r="E237" s="17">
        <v>466994.84259999997</v>
      </c>
      <c r="F237" s="17">
        <v>209604.0227</v>
      </c>
      <c r="G237" s="17">
        <v>111710.1159</v>
      </c>
      <c r="H237" s="17">
        <v>50185.846899999997</v>
      </c>
      <c r="I237" s="17">
        <v>26879.701300000001</v>
      </c>
      <c r="J237" s="17">
        <v>0</v>
      </c>
      <c r="K237" s="17">
        <v>0</v>
      </c>
      <c r="L237" s="17">
        <v>0</v>
      </c>
      <c r="M237" s="17">
        <v>0</v>
      </c>
      <c r="N237" s="17">
        <v>0</v>
      </c>
      <c r="O237" s="17">
        <v>0</v>
      </c>
      <c r="P237" s="17">
        <v>0</v>
      </c>
      <c r="Q237" s="17">
        <v>0</v>
      </c>
      <c r="R237" s="17">
        <v>0</v>
      </c>
      <c r="S237" s="17">
        <v>0</v>
      </c>
      <c r="T237" s="17">
        <v>0</v>
      </c>
      <c r="U237" s="17">
        <v>0</v>
      </c>
      <c r="V237" s="17">
        <v>0</v>
      </c>
      <c r="W237" s="17">
        <v>0</v>
      </c>
      <c r="X237" s="17">
        <v>0</v>
      </c>
      <c r="Y237" s="17">
        <v>0</v>
      </c>
      <c r="Z237" s="17">
        <v>0</v>
      </c>
      <c r="AA237" s="17">
        <v>0</v>
      </c>
      <c r="AB237" s="17">
        <v>0</v>
      </c>
      <c r="AC237" s="17">
        <v>0</v>
      </c>
      <c r="AD237" s="17">
        <v>0</v>
      </c>
      <c r="AE237" s="17">
        <v>0</v>
      </c>
      <c r="AF237" s="17">
        <v>0</v>
      </c>
      <c r="AG237" s="17">
        <v>0</v>
      </c>
      <c r="AH237" s="17">
        <v>0</v>
      </c>
      <c r="AI237" s="17">
        <v>0</v>
      </c>
      <c r="AJ237" s="17">
        <v>0</v>
      </c>
      <c r="AK237" s="17">
        <v>0</v>
      </c>
      <c r="AL237" s="17">
        <v>0</v>
      </c>
      <c r="AM237" s="17">
        <v>0</v>
      </c>
      <c r="AN237" s="17">
        <v>0</v>
      </c>
      <c r="AO237" s="17">
        <v>0</v>
      </c>
      <c r="AP237" s="18">
        <f t="shared" si="3"/>
        <v>865374.52939999988</v>
      </c>
    </row>
    <row r="238" spans="1:42" ht="15" customHeight="1" x14ac:dyDescent="0.2">
      <c r="A238" s="16" t="s">
        <v>605</v>
      </c>
      <c r="B238" s="16" t="s">
        <v>607</v>
      </c>
      <c r="C238" s="16" t="s">
        <v>119</v>
      </c>
      <c r="D238" s="16" t="s">
        <v>511</v>
      </c>
      <c r="E238" s="17">
        <v>70039.649999999994</v>
      </c>
      <c r="F238" s="17">
        <v>61076.137199999997</v>
      </c>
      <c r="G238" s="17">
        <v>53781.857000000004</v>
      </c>
      <c r="H238" s="17">
        <v>47651.481</v>
      </c>
      <c r="I238" s="17">
        <v>42566.574000000001</v>
      </c>
      <c r="J238" s="17">
        <v>31938.472399999999</v>
      </c>
      <c r="K238" s="17">
        <v>0</v>
      </c>
      <c r="L238" s="17">
        <v>0</v>
      </c>
      <c r="M238" s="17">
        <v>0</v>
      </c>
      <c r="N238" s="17">
        <v>0</v>
      </c>
      <c r="O238" s="17">
        <v>0</v>
      </c>
      <c r="P238" s="17">
        <v>0</v>
      </c>
      <c r="Q238" s="17">
        <v>0</v>
      </c>
      <c r="R238" s="17">
        <v>0</v>
      </c>
      <c r="S238" s="17">
        <v>0</v>
      </c>
      <c r="T238" s="17">
        <v>0</v>
      </c>
      <c r="U238" s="17">
        <v>0</v>
      </c>
      <c r="V238" s="17">
        <v>0</v>
      </c>
      <c r="W238" s="17">
        <v>0</v>
      </c>
      <c r="X238" s="17">
        <v>0</v>
      </c>
      <c r="Y238" s="17">
        <v>0</v>
      </c>
      <c r="Z238" s="17">
        <v>0</v>
      </c>
      <c r="AA238" s="17">
        <v>0</v>
      </c>
      <c r="AB238" s="17">
        <v>0</v>
      </c>
      <c r="AC238" s="17">
        <v>0</v>
      </c>
      <c r="AD238" s="17">
        <v>0</v>
      </c>
      <c r="AE238" s="17">
        <v>0</v>
      </c>
      <c r="AF238" s="17">
        <v>0</v>
      </c>
      <c r="AG238" s="17">
        <v>0</v>
      </c>
      <c r="AH238" s="17">
        <v>0</v>
      </c>
      <c r="AI238" s="17">
        <v>0</v>
      </c>
      <c r="AJ238" s="17">
        <v>0</v>
      </c>
      <c r="AK238" s="17">
        <v>0</v>
      </c>
      <c r="AL238" s="17">
        <v>0</v>
      </c>
      <c r="AM238" s="17">
        <v>0</v>
      </c>
      <c r="AN238" s="17">
        <v>0</v>
      </c>
      <c r="AO238" s="17">
        <v>0</v>
      </c>
      <c r="AP238" s="18">
        <f t="shared" si="3"/>
        <v>307054.1716</v>
      </c>
    </row>
    <row r="239" spans="1:42" ht="15" customHeight="1" x14ac:dyDescent="0.2">
      <c r="A239" s="16" t="s">
        <v>605</v>
      </c>
      <c r="B239" s="16" t="s">
        <v>608</v>
      </c>
      <c r="C239" s="16" t="s">
        <v>144</v>
      </c>
      <c r="D239" s="16" t="s">
        <v>511</v>
      </c>
      <c r="E239" s="17">
        <v>261612.7188</v>
      </c>
      <c r="F239" s="17">
        <v>174294.96049999999</v>
      </c>
      <c r="G239" s="17">
        <v>128616.7586</v>
      </c>
      <c r="H239" s="17">
        <v>101023.4014</v>
      </c>
      <c r="I239" s="17">
        <v>57805.871599999999</v>
      </c>
      <c r="J239" s="17">
        <v>44485.658000000003</v>
      </c>
      <c r="K239" s="17">
        <v>40550.859600000003</v>
      </c>
      <c r="L239" s="17">
        <v>21935.313699999999</v>
      </c>
      <c r="M239" s="17">
        <v>0</v>
      </c>
      <c r="N239" s="17">
        <v>0</v>
      </c>
      <c r="O239" s="17">
        <v>0</v>
      </c>
      <c r="P239" s="17">
        <v>0</v>
      </c>
      <c r="Q239" s="17">
        <v>0</v>
      </c>
      <c r="R239" s="17">
        <v>0</v>
      </c>
      <c r="S239" s="17">
        <v>0</v>
      </c>
      <c r="T239" s="17">
        <v>0</v>
      </c>
      <c r="U239" s="17">
        <v>0</v>
      </c>
      <c r="V239" s="17">
        <v>0</v>
      </c>
      <c r="W239" s="17">
        <v>0</v>
      </c>
      <c r="X239" s="17">
        <v>0</v>
      </c>
      <c r="Y239" s="17">
        <v>0</v>
      </c>
      <c r="Z239" s="17">
        <v>0</v>
      </c>
      <c r="AA239" s="17">
        <v>0</v>
      </c>
      <c r="AB239" s="17">
        <v>0</v>
      </c>
      <c r="AC239" s="17">
        <v>0</v>
      </c>
      <c r="AD239" s="17">
        <v>0</v>
      </c>
      <c r="AE239" s="17">
        <v>0</v>
      </c>
      <c r="AF239" s="17">
        <v>0</v>
      </c>
      <c r="AG239" s="17">
        <v>0</v>
      </c>
      <c r="AH239" s="17">
        <v>0</v>
      </c>
      <c r="AI239" s="17">
        <v>0</v>
      </c>
      <c r="AJ239" s="17">
        <v>0</v>
      </c>
      <c r="AK239" s="17">
        <v>0</v>
      </c>
      <c r="AL239" s="17">
        <v>0</v>
      </c>
      <c r="AM239" s="17">
        <v>0</v>
      </c>
      <c r="AN239" s="17">
        <v>0</v>
      </c>
      <c r="AO239" s="17">
        <v>0</v>
      </c>
      <c r="AP239" s="18">
        <f t="shared" si="3"/>
        <v>830325.54220000003</v>
      </c>
    </row>
    <row r="240" spans="1:42" ht="15" customHeight="1" x14ac:dyDescent="0.2">
      <c r="A240" s="16" t="s">
        <v>605</v>
      </c>
      <c r="B240" s="16" t="s">
        <v>609</v>
      </c>
      <c r="C240" s="16" t="s">
        <v>287</v>
      </c>
      <c r="D240" s="16" t="s">
        <v>511</v>
      </c>
      <c r="E240" s="17">
        <v>54946.439700000003</v>
      </c>
      <c r="F240" s="17">
        <v>47356.652000000002</v>
      </c>
      <c r="G240" s="17">
        <v>41380.451800000003</v>
      </c>
      <c r="H240" s="17">
        <v>24783.1656</v>
      </c>
      <c r="I240" s="17">
        <v>0</v>
      </c>
      <c r="J240" s="17">
        <v>0</v>
      </c>
      <c r="K240" s="17">
        <v>0</v>
      </c>
      <c r="L240" s="17">
        <v>0</v>
      </c>
      <c r="M240" s="17">
        <v>0</v>
      </c>
      <c r="N240" s="17">
        <v>0</v>
      </c>
      <c r="O240" s="17">
        <v>0</v>
      </c>
      <c r="P240" s="17">
        <v>0</v>
      </c>
      <c r="Q240" s="17">
        <v>0</v>
      </c>
      <c r="R240" s="17">
        <v>0</v>
      </c>
      <c r="S240" s="17">
        <v>0</v>
      </c>
      <c r="T240" s="17">
        <v>0</v>
      </c>
      <c r="U240" s="17">
        <v>0</v>
      </c>
      <c r="V240" s="17">
        <v>0</v>
      </c>
      <c r="W240" s="17">
        <v>0</v>
      </c>
      <c r="X240" s="17">
        <v>0</v>
      </c>
      <c r="Y240" s="17">
        <v>0</v>
      </c>
      <c r="Z240" s="17">
        <v>0</v>
      </c>
      <c r="AA240" s="17">
        <v>0</v>
      </c>
      <c r="AB240" s="17">
        <v>0</v>
      </c>
      <c r="AC240" s="17">
        <v>0</v>
      </c>
      <c r="AD240" s="17">
        <v>0</v>
      </c>
      <c r="AE240" s="17">
        <v>0</v>
      </c>
      <c r="AF240" s="17">
        <v>0</v>
      </c>
      <c r="AG240" s="17">
        <v>0</v>
      </c>
      <c r="AH240" s="17">
        <v>0</v>
      </c>
      <c r="AI240" s="17">
        <v>0</v>
      </c>
      <c r="AJ240" s="17">
        <v>0</v>
      </c>
      <c r="AK240" s="17">
        <v>0</v>
      </c>
      <c r="AL240" s="17">
        <v>0</v>
      </c>
      <c r="AM240" s="17">
        <v>0</v>
      </c>
      <c r="AN240" s="17">
        <v>0</v>
      </c>
      <c r="AO240" s="17">
        <v>0</v>
      </c>
      <c r="AP240" s="18">
        <f t="shared" si="3"/>
        <v>168466.70910000001</v>
      </c>
    </row>
    <row r="241" spans="1:42" ht="15" customHeight="1" x14ac:dyDescent="0.2">
      <c r="A241" s="16" t="s">
        <v>605</v>
      </c>
      <c r="B241" s="16" t="s">
        <v>610</v>
      </c>
      <c r="C241" s="16" t="s">
        <v>275</v>
      </c>
      <c r="D241" s="16" t="s">
        <v>511</v>
      </c>
      <c r="E241" s="17">
        <v>1449400</v>
      </c>
      <c r="F241" s="17">
        <v>1551536.8092</v>
      </c>
      <c r="G241" s="17">
        <v>1013460.2436</v>
      </c>
      <c r="H241" s="17">
        <v>649983.4743</v>
      </c>
      <c r="I241" s="17">
        <v>440357.0993</v>
      </c>
      <c r="J241" s="17">
        <v>309249.98550000001</v>
      </c>
      <c r="K241" s="17">
        <v>225295.98860000001</v>
      </c>
      <c r="L241" s="17">
        <v>168722.6917</v>
      </c>
      <c r="M241" s="17">
        <v>129625.5373</v>
      </c>
      <c r="N241" s="17">
        <v>101017.10249999999</v>
      </c>
      <c r="O241" s="17">
        <v>80319.447100000005</v>
      </c>
      <c r="P241" s="17">
        <v>64813.661999999997</v>
      </c>
      <c r="Q241" s="17">
        <v>53116.604500000001</v>
      </c>
      <c r="R241" s="17">
        <v>4044.0270999999998</v>
      </c>
      <c r="S241" s="17">
        <v>0</v>
      </c>
      <c r="T241" s="17">
        <v>0</v>
      </c>
      <c r="U241" s="17">
        <v>0</v>
      </c>
      <c r="V241" s="17">
        <v>0</v>
      </c>
      <c r="W241" s="17">
        <v>0</v>
      </c>
      <c r="X241" s="17">
        <v>0</v>
      </c>
      <c r="Y241" s="17">
        <v>0</v>
      </c>
      <c r="Z241" s="17">
        <v>0</v>
      </c>
      <c r="AA241" s="17">
        <v>0</v>
      </c>
      <c r="AB241" s="17">
        <v>0</v>
      </c>
      <c r="AC241" s="17">
        <v>0</v>
      </c>
      <c r="AD241" s="17">
        <v>0</v>
      </c>
      <c r="AE241" s="17">
        <v>0</v>
      </c>
      <c r="AF241" s="17">
        <v>0</v>
      </c>
      <c r="AG241" s="17">
        <v>0</v>
      </c>
      <c r="AH241" s="17">
        <v>0</v>
      </c>
      <c r="AI241" s="17">
        <v>0</v>
      </c>
      <c r="AJ241" s="17">
        <v>0</v>
      </c>
      <c r="AK241" s="17">
        <v>0</v>
      </c>
      <c r="AL241" s="17">
        <v>0</v>
      </c>
      <c r="AM241" s="17">
        <v>0</v>
      </c>
      <c r="AN241" s="17">
        <v>0</v>
      </c>
      <c r="AO241" s="17">
        <v>0</v>
      </c>
      <c r="AP241" s="18">
        <f t="shared" si="3"/>
        <v>6240942.6727000009</v>
      </c>
    </row>
    <row r="242" spans="1:42" ht="15" customHeight="1" x14ac:dyDescent="0.2">
      <c r="A242" s="16" t="s">
        <v>611</v>
      </c>
      <c r="B242" s="16" t="s">
        <v>612</v>
      </c>
      <c r="C242" s="16" t="s">
        <v>141</v>
      </c>
      <c r="D242" s="16" t="s">
        <v>511</v>
      </c>
      <c r="E242" s="17">
        <v>67927.991800000003</v>
      </c>
      <c r="F242" s="17">
        <v>62833.392399999997</v>
      </c>
      <c r="G242" s="17">
        <v>58120.887999999999</v>
      </c>
      <c r="H242" s="17">
        <v>53761.821400000001</v>
      </c>
      <c r="I242" s="17">
        <v>49729.684800000003</v>
      </c>
      <c r="J242" s="17">
        <v>19603.365600000001</v>
      </c>
      <c r="K242" s="17">
        <v>0</v>
      </c>
      <c r="L242" s="17">
        <v>0</v>
      </c>
      <c r="M242" s="17">
        <v>0</v>
      </c>
      <c r="N242" s="17">
        <v>0</v>
      </c>
      <c r="O242" s="17">
        <v>0</v>
      </c>
      <c r="P242" s="17">
        <v>0</v>
      </c>
      <c r="Q242" s="17">
        <v>0</v>
      </c>
      <c r="R242" s="17">
        <v>0</v>
      </c>
      <c r="S242" s="17">
        <v>0</v>
      </c>
      <c r="T242" s="17">
        <v>0</v>
      </c>
      <c r="U242" s="17">
        <v>0</v>
      </c>
      <c r="V242" s="17">
        <v>0</v>
      </c>
      <c r="W242" s="17">
        <v>0</v>
      </c>
      <c r="X242" s="17">
        <v>0</v>
      </c>
      <c r="Y242" s="17">
        <v>0</v>
      </c>
      <c r="Z242" s="17">
        <v>0</v>
      </c>
      <c r="AA242" s="17">
        <v>0</v>
      </c>
      <c r="AB242" s="17">
        <v>0</v>
      </c>
      <c r="AC242" s="17">
        <v>0</v>
      </c>
      <c r="AD242" s="17">
        <v>0</v>
      </c>
      <c r="AE242" s="17">
        <v>0</v>
      </c>
      <c r="AF242" s="17">
        <v>0</v>
      </c>
      <c r="AG242" s="17">
        <v>0</v>
      </c>
      <c r="AH242" s="17">
        <v>0</v>
      </c>
      <c r="AI242" s="17">
        <v>0</v>
      </c>
      <c r="AJ242" s="17">
        <v>0</v>
      </c>
      <c r="AK242" s="17">
        <v>0</v>
      </c>
      <c r="AL242" s="17">
        <v>0</v>
      </c>
      <c r="AM242" s="17">
        <v>0</v>
      </c>
      <c r="AN242" s="17">
        <v>0</v>
      </c>
      <c r="AO242" s="17">
        <v>0</v>
      </c>
      <c r="AP242" s="18">
        <f t="shared" si="3"/>
        <v>311977.14400000003</v>
      </c>
    </row>
    <row r="243" spans="1:42" ht="15" customHeight="1" x14ac:dyDescent="0.2">
      <c r="A243" s="16" t="s">
        <v>611</v>
      </c>
      <c r="B243" s="16" t="s">
        <v>612</v>
      </c>
      <c r="C243" s="16" t="s">
        <v>161</v>
      </c>
      <c r="D243" s="16" t="s">
        <v>511</v>
      </c>
      <c r="E243" s="17">
        <v>15961.904500000001</v>
      </c>
      <c r="F243" s="17">
        <v>0</v>
      </c>
      <c r="G243" s="17">
        <v>0</v>
      </c>
      <c r="H243" s="17">
        <v>0</v>
      </c>
      <c r="I243" s="17">
        <v>0</v>
      </c>
      <c r="J243" s="17">
        <v>0</v>
      </c>
      <c r="K243" s="17">
        <v>0</v>
      </c>
      <c r="L243" s="17">
        <v>0</v>
      </c>
      <c r="M243" s="17">
        <v>0</v>
      </c>
      <c r="N243" s="17">
        <v>0</v>
      </c>
      <c r="O243" s="17">
        <v>0</v>
      </c>
      <c r="P243" s="17">
        <v>0</v>
      </c>
      <c r="Q243" s="17">
        <v>0</v>
      </c>
      <c r="R243" s="17">
        <v>0</v>
      </c>
      <c r="S243" s="17">
        <v>0</v>
      </c>
      <c r="T243" s="17">
        <v>0</v>
      </c>
      <c r="U243" s="17">
        <v>0</v>
      </c>
      <c r="V243" s="17">
        <v>0</v>
      </c>
      <c r="W243" s="17">
        <v>0</v>
      </c>
      <c r="X243" s="17">
        <v>0</v>
      </c>
      <c r="Y243" s="17">
        <v>0</v>
      </c>
      <c r="Z243" s="17">
        <v>0</v>
      </c>
      <c r="AA243" s="17">
        <v>0</v>
      </c>
      <c r="AB243" s="17">
        <v>0</v>
      </c>
      <c r="AC243" s="17">
        <v>0</v>
      </c>
      <c r="AD243" s="17">
        <v>0</v>
      </c>
      <c r="AE243" s="17">
        <v>0</v>
      </c>
      <c r="AF243" s="17">
        <v>0</v>
      </c>
      <c r="AG243" s="17">
        <v>0</v>
      </c>
      <c r="AH243" s="17">
        <v>0</v>
      </c>
      <c r="AI243" s="17">
        <v>0</v>
      </c>
      <c r="AJ243" s="17">
        <v>0</v>
      </c>
      <c r="AK243" s="17">
        <v>0</v>
      </c>
      <c r="AL243" s="17">
        <v>0</v>
      </c>
      <c r="AM243" s="17">
        <v>0</v>
      </c>
      <c r="AN243" s="17">
        <v>0</v>
      </c>
      <c r="AO243" s="17">
        <v>0</v>
      </c>
      <c r="AP243" s="18">
        <f t="shared" si="3"/>
        <v>15961.904500000001</v>
      </c>
    </row>
    <row r="244" spans="1:42" ht="15" customHeight="1" x14ac:dyDescent="0.2">
      <c r="A244" s="16" t="s">
        <v>611</v>
      </c>
      <c r="B244" s="16" t="s">
        <v>612</v>
      </c>
      <c r="C244" s="16" t="s">
        <v>162</v>
      </c>
      <c r="D244" s="16" t="s">
        <v>511</v>
      </c>
      <c r="E244" s="17">
        <v>48408.557399999998</v>
      </c>
      <c r="F244" s="17">
        <v>43083.616099999999</v>
      </c>
      <c r="G244" s="17">
        <v>38344.418299999998</v>
      </c>
      <c r="H244" s="17">
        <v>34126.532299999999</v>
      </c>
      <c r="I244" s="17">
        <v>30372.613700000002</v>
      </c>
      <c r="J244" s="17">
        <v>11647.1355</v>
      </c>
      <c r="K244" s="17">
        <v>0</v>
      </c>
      <c r="L244" s="17">
        <v>0</v>
      </c>
      <c r="M244" s="17">
        <v>0</v>
      </c>
      <c r="N244" s="17">
        <v>0</v>
      </c>
      <c r="O244" s="17">
        <v>0</v>
      </c>
      <c r="P244" s="17">
        <v>0</v>
      </c>
      <c r="Q244" s="17">
        <v>0</v>
      </c>
      <c r="R244" s="17">
        <v>0</v>
      </c>
      <c r="S244" s="17">
        <v>0</v>
      </c>
      <c r="T244" s="17">
        <v>0</v>
      </c>
      <c r="U244" s="17">
        <v>0</v>
      </c>
      <c r="V244" s="17">
        <v>0</v>
      </c>
      <c r="W244" s="17">
        <v>0</v>
      </c>
      <c r="X244" s="17">
        <v>0</v>
      </c>
      <c r="Y244" s="17">
        <v>0</v>
      </c>
      <c r="Z244" s="17">
        <v>0</v>
      </c>
      <c r="AA244" s="17">
        <v>0</v>
      </c>
      <c r="AB244" s="17">
        <v>0</v>
      </c>
      <c r="AC244" s="17">
        <v>0</v>
      </c>
      <c r="AD244" s="17">
        <v>0</v>
      </c>
      <c r="AE244" s="17">
        <v>0</v>
      </c>
      <c r="AF244" s="17">
        <v>0</v>
      </c>
      <c r="AG244" s="17">
        <v>0</v>
      </c>
      <c r="AH244" s="17">
        <v>0</v>
      </c>
      <c r="AI244" s="17">
        <v>0</v>
      </c>
      <c r="AJ244" s="17">
        <v>0</v>
      </c>
      <c r="AK244" s="17">
        <v>0</v>
      </c>
      <c r="AL244" s="17">
        <v>0</v>
      </c>
      <c r="AM244" s="17">
        <v>0</v>
      </c>
      <c r="AN244" s="17">
        <v>0</v>
      </c>
      <c r="AO244" s="17">
        <v>0</v>
      </c>
      <c r="AP244" s="18">
        <f t="shared" si="3"/>
        <v>205982.87330000001</v>
      </c>
    </row>
    <row r="245" spans="1:42" ht="15" customHeight="1" x14ac:dyDescent="0.2">
      <c r="A245" s="16" t="s">
        <v>611</v>
      </c>
      <c r="B245" s="16" t="s">
        <v>612</v>
      </c>
      <c r="C245" s="16" t="s">
        <v>163</v>
      </c>
      <c r="D245" s="16" t="s">
        <v>511</v>
      </c>
      <c r="E245" s="17">
        <v>68061.772899999996</v>
      </c>
      <c r="F245" s="17">
        <v>57852.506999999998</v>
      </c>
      <c r="G245" s="17">
        <v>49174.630899999996</v>
      </c>
      <c r="H245" s="17">
        <v>41798.436300000001</v>
      </c>
      <c r="I245" s="17">
        <v>35528.6708</v>
      </c>
      <c r="J245" s="17">
        <v>13181.897199999999</v>
      </c>
      <c r="K245" s="17">
        <v>0</v>
      </c>
      <c r="L245" s="17">
        <v>0</v>
      </c>
      <c r="M245" s="17">
        <v>0</v>
      </c>
      <c r="N245" s="17">
        <v>0</v>
      </c>
      <c r="O245" s="17">
        <v>0</v>
      </c>
      <c r="P245" s="17">
        <v>0</v>
      </c>
      <c r="Q245" s="17">
        <v>0</v>
      </c>
      <c r="R245" s="17">
        <v>0</v>
      </c>
      <c r="S245" s="17">
        <v>0</v>
      </c>
      <c r="T245" s="17">
        <v>0</v>
      </c>
      <c r="U245" s="17">
        <v>0</v>
      </c>
      <c r="V245" s="17">
        <v>0</v>
      </c>
      <c r="W245" s="17">
        <v>0</v>
      </c>
      <c r="X245" s="17">
        <v>0</v>
      </c>
      <c r="Y245" s="17">
        <v>0</v>
      </c>
      <c r="Z245" s="17">
        <v>0</v>
      </c>
      <c r="AA245" s="17">
        <v>0</v>
      </c>
      <c r="AB245" s="17">
        <v>0</v>
      </c>
      <c r="AC245" s="17">
        <v>0</v>
      </c>
      <c r="AD245" s="17">
        <v>0</v>
      </c>
      <c r="AE245" s="17">
        <v>0</v>
      </c>
      <c r="AF245" s="17">
        <v>0</v>
      </c>
      <c r="AG245" s="17">
        <v>0</v>
      </c>
      <c r="AH245" s="17">
        <v>0</v>
      </c>
      <c r="AI245" s="17">
        <v>0</v>
      </c>
      <c r="AJ245" s="17">
        <v>0</v>
      </c>
      <c r="AK245" s="17">
        <v>0</v>
      </c>
      <c r="AL245" s="17">
        <v>0</v>
      </c>
      <c r="AM245" s="17">
        <v>0</v>
      </c>
      <c r="AN245" s="17">
        <v>0</v>
      </c>
      <c r="AO245" s="17">
        <v>0</v>
      </c>
      <c r="AP245" s="18">
        <f t="shared" si="3"/>
        <v>265597.91509999998</v>
      </c>
    </row>
    <row r="246" spans="1:42" ht="15" customHeight="1" x14ac:dyDescent="0.2">
      <c r="A246" s="16" t="s">
        <v>611</v>
      </c>
      <c r="B246" s="16" t="s">
        <v>612</v>
      </c>
      <c r="C246" s="16" t="s">
        <v>215</v>
      </c>
      <c r="D246" s="16" t="s">
        <v>511</v>
      </c>
      <c r="E246" s="17">
        <v>71146.827499999999</v>
      </c>
      <c r="F246" s="17">
        <v>57984.664400000001</v>
      </c>
      <c r="G246" s="17">
        <v>47257.501499999998</v>
      </c>
      <c r="H246" s="17">
        <v>38514.863700000002</v>
      </c>
      <c r="I246" s="17">
        <v>31389.6139</v>
      </c>
      <c r="J246" s="17">
        <v>11298.457899999999</v>
      </c>
      <c r="K246" s="17">
        <v>0</v>
      </c>
      <c r="L246" s="17">
        <v>0</v>
      </c>
      <c r="M246" s="17">
        <v>0</v>
      </c>
      <c r="N246" s="17">
        <v>0</v>
      </c>
      <c r="O246" s="17">
        <v>0</v>
      </c>
      <c r="P246" s="17">
        <v>0</v>
      </c>
      <c r="Q246" s="17">
        <v>0</v>
      </c>
      <c r="R246" s="17">
        <v>0</v>
      </c>
      <c r="S246" s="17">
        <v>0</v>
      </c>
      <c r="T246" s="17">
        <v>0</v>
      </c>
      <c r="U246" s="17">
        <v>0</v>
      </c>
      <c r="V246" s="17">
        <v>0</v>
      </c>
      <c r="W246" s="17">
        <v>0</v>
      </c>
      <c r="X246" s="17">
        <v>0</v>
      </c>
      <c r="Y246" s="17">
        <v>0</v>
      </c>
      <c r="Z246" s="17">
        <v>0</v>
      </c>
      <c r="AA246" s="17">
        <v>0</v>
      </c>
      <c r="AB246" s="17">
        <v>0</v>
      </c>
      <c r="AC246" s="17">
        <v>0</v>
      </c>
      <c r="AD246" s="17">
        <v>0</v>
      </c>
      <c r="AE246" s="17">
        <v>0</v>
      </c>
      <c r="AF246" s="17">
        <v>0</v>
      </c>
      <c r="AG246" s="17">
        <v>0</v>
      </c>
      <c r="AH246" s="17">
        <v>0</v>
      </c>
      <c r="AI246" s="17">
        <v>0</v>
      </c>
      <c r="AJ246" s="17">
        <v>0</v>
      </c>
      <c r="AK246" s="17">
        <v>0</v>
      </c>
      <c r="AL246" s="17">
        <v>0</v>
      </c>
      <c r="AM246" s="17">
        <v>0</v>
      </c>
      <c r="AN246" s="17">
        <v>0</v>
      </c>
      <c r="AO246" s="17">
        <v>0</v>
      </c>
      <c r="AP246" s="18">
        <f t="shared" si="3"/>
        <v>257591.92889999997</v>
      </c>
    </row>
    <row r="247" spans="1:42" ht="15" customHeight="1" x14ac:dyDescent="0.2">
      <c r="A247" s="16" t="s">
        <v>611</v>
      </c>
      <c r="B247" s="16" t="s">
        <v>612</v>
      </c>
      <c r="C247" s="16" t="s">
        <v>278</v>
      </c>
      <c r="D247" s="16" t="s">
        <v>511</v>
      </c>
      <c r="E247" s="17">
        <v>64215.262600000002</v>
      </c>
      <c r="F247" s="17">
        <v>55763.675999999999</v>
      </c>
      <c r="G247" s="17">
        <v>48507.123099999997</v>
      </c>
      <c r="H247" s="17">
        <v>41310.3606</v>
      </c>
      <c r="I247" s="17">
        <v>26582.424500000001</v>
      </c>
      <c r="J247" s="17">
        <v>10234.673699999999</v>
      </c>
      <c r="K247" s="17">
        <v>0</v>
      </c>
      <c r="L247" s="17">
        <v>0</v>
      </c>
      <c r="M247" s="17">
        <v>0</v>
      </c>
      <c r="N247" s="17">
        <v>0</v>
      </c>
      <c r="O247" s="17">
        <v>0</v>
      </c>
      <c r="P247" s="17">
        <v>0</v>
      </c>
      <c r="Q247" s="17">
        <v>0</v>
      </c>
      <c r="R247" s="17">
        <v>0</v>
      </c>
      <c r="S247" s="17">
        <v>0</v>
      </c>
      <c r="T247" s="17">
        <v>0</v>
      </c>
      <c r="U247" s="17">
        <v>0</v>
      </c>
      <c r="V247" s="17">
        <v>0</v>
      </c>
      <c r="W247" s="17">
        <v>0</v>
      </c>
      <c r="X247" s="17">
        <v>0</v>
      </c>
      <c r="Y247" s="17">
        <v>0</v>
      </c>
      <c r="Z247" s="17">
        <v>0</v>
      </c>
      <c r="AA247" s="17">
        <v>0</v>
      </c>
      <c r="AB247" s="17">
        <v>0</v>
      </c>
      <c r="AC247" s="17">
        <v>0</v>
      </c>
      <c r="AD247" s="17">
        <v>0</v>
      </c>
      <c r="AE247" s="17">
        <v>0</v>
      </c>
      <c r="AF247" s="17">
        <v>0</v>
      </c>
      <c r="AG247" s="17">
        <v>0</v>
      </c>
      <c r="AH247" s="17">
        <v>0</v>
      </c>
      <c r="AI247" s="17">
        <v>0</v>
      </c>
      <c r="AJ247" s="17">
        <v>0</v>
      </c>
      <c r="AK247" s="17">
        <v>0</v>
      </c>
      <c r="AL247" s="17">
        <v>0</v>
      </c>
      <c r="AM247" s="17">
        <v>0</v>
      </c>
      <c r="AN247" s="17">
        <v>0</v>
      </c>
      <c r="AO247" s="17">
        <v>0</v>
      </c>
      <c r="AP247" s="18">
        <f t="shared" si="3"/>
        <v>246613.52049999998</v>
      </c>
    </row>
    <row r="248" spans="1:42" ht="15" customHeight="1" x14ac:dyDescent="0.2">
      <c r="A248" s="16" t="s">
        <v>611</v>
      </c>
      <c r="B248" s="16" t="s">
        <v>612</v>
      </c>
      <c r="C248" s="16" t="s">
        <v>279</v>
      </c>
      <c r="D248" s="16" t="s">
        <v>511</v>
      </c>
      <c r="E248" s="17">
        <v>99250.466199999995</v>
      </c>
      <c r="F248" s="17">
        <v>132872.06450000001</v>
      </c>
      <c r="G248" s="17">
        <v>140622.33319999999</v>
      </c>
      <c r="H248" s="17">
        <v>113145.5528</v>
      </c>
      <c r="I248" s="17">
        <v>91047.544999999998</v>
      </c>
      <c r="J248" s="17">
        <v>32473.918000000001</v>
      </c>
      <c r="K248" s="17">
        <v>0</v>
      </c>
      <c r="L248" s="17">
        <v>0</v>
      </c>
      <c r="M248" s="17">
        <v>0</v>
      </c>
      <c r="N248" s="17">
        <v>0</v>
      </c>
      <c r="O248" s="17">
        <v>0</v>
      </c>
      <c r="P248" s="17">
        <v>0</v>
      </c>
      <c r="Q248" s="17">
        <v>0</v>
      </c>
      <c r="R248" s="17">
        <v>0</v>
      </c>
      <c r="S248" s="17">
        <v>0</v>
      </c>
      <c r="T248" s="17">
        <v>0</v>
      </c>
      <c r="U248" s="17">
        <v>0</v>
      </c>
      <c r="V248" s="17">
        <v>0</v>
      </c>
      <c r="W248" s="17">
        <v>0</v>
      </c>
      <c r="X248" s="17">
        <v>0</v>
      </c>
      <c r="Y248" s="17">
        <v>0</v>
      </c>
      <c r="Z248" s="17">
        <v>0</v>
      </c>
      <c r="AA248" s="17">
        <v>0</v>
      </c>
      <c r="AB248" s="17">
        <v>0</v>
      </c>
      <c r="AC248" s="17">
        <v>0</v>
      </c>
      <c r="AD248" s="17">
        <v>0</v>
      </c>
      <c r="AE248" s="17">
        <v>0</v>
      </c>
      <c r="AF248" s="17">
        <v>0</v>
      </c>
      <c r="AG248" s="17">
        <v>0</v>
      </c>
      <c r="AH248" s="17">
        <v>0</v>
      </c>
      <c r="AI248" s="17">
        <v>0</v>
      </c>
      <c r="AJ248" s="17">
        <v>0</v>
      </c>
      <c r="AK248" s="17">
        <v>0</v>
      </c>
      <c r="AL248" s="17">
        <v>0</v>
      </c>
      <c r="AM248" s="17">
        <v>0</v>
      </c>
      <c r="AN248" s="17">
        <v>0</v>
      </c>
      <c r="AO248" s="17">
        <v>0</v>
      </c>
      <c r="AP248" s="18">
        <f t="shared" si="3"/>
        <v>609411.87969999993</v>
      </c>
    </row>
    <row r="249" spans="1:42" ht="15" customHeight="1" x14ac:dyDescent="0.2">
      <c r="A249" s="16" t="s">
        <v>611</v>
      </c>
      <c r="B249" s="16" t="s">
        <v>612</v>
      </c>
      <c r="C249" s="16" t="s">
        <v>280</v>
      </c>
      <c r="D249" s="16" t="s">
        <v>511</v>
      </c>
      <c r="E249" s="17">
        <v>135949.508</v>
      </c>
      <c r="F249" s="17">
        <v>128771.90429999999</v>
      </c>
      <c r="G249" s="17">
        <v>113845.32859999999</v>
      </c>
      <c r="H249" s="17">
        <v>100878.522</v>
      </c>
      <c r="I249" s="17">
        <v>89584.158500000005</v>
      </c>
      <c r="J249" s="17">
        <v>34341.154699999999</v>
      </c>
      <c r="K249" s="17">
        <v>0</v>
      </c>
      <c r="L249" s="17">
        <v>0</v>
      </c>
      <c r="M249" s="17">
        <v>0</v>
      </c>
      <c r="N249" s="17">
        <v>0</v>
      </c>
      <c r="O249" s="17">
        <v>0</v>
      </c>
      <c r="P249" s="17">
        <v>0</v>
      </c>
      <c r="Q249" s="17">
        <v>0</v>
      </c>
      <c r="R249" s="17">
        <v>0</v>
      </c>
      <c r="S249" s="17">
        <v>0</v>
      </c>
      <c r="T249" s="17">
        <v>0</v>
      </c>
      <c r="U249" s="17">
        <v>0</v>
      </c>
      <c r="V249" s="17">
        <v>0</v>
      </c>
      <c r="W249" s="17">
        <v>0</v>
      </c>
      <c r="X249" s="17">
        <v>0</v>
      </c>
      <c r="Y249" s="17">
        <v>0</v>
      </c>
      <c r="Z249" s="17">
        <v>0</v>
      </c>
      <c r="AA249" s="17">
        <v>0</v>
      </c>
      <c r="AB249" s="17">
        <v>0</v>
      </c>
      <c r="AC249" s="17">
        <v>0</v>
      </c>
      <c r="AD249" s="17">
        <v>0</v>
      </c>
      <c r="AE249" s="17">
        <v>0</v>
      </c>
      <c r="AF249" s="17">
        <v>0</v>
      </c>
      <c r="AG249" s="17">
        <v>0</v>
      </c>
      <c r="AH249" s="17">
        <v>0</v>
      </c>
      <c r="AI249" s="17">
        <v>0</v>
      </c>
      <c r="AJ249" s="17">
        <v>0</v>
      </c>
      <c r="AK249" s="17">
        <v>0</v>
      </c>
      <c r="AL249" s="17">
        <v>0</v>
      </c>
      <c r="AM249" s="17">
        <v>0</v>
      </c>
      <c r="AN249" s="17">
        <v>0</v>
      </c>
      <c r="AO249" s="17">
        <v>0</v>
      </c>
      <c r="AP249" s="18">
        <f t="shared" si="3"/>
        <v>603370.57609999995</v>
      </c>
    </row>
    <row r="250" spans="1:42" ht="15" customHeight="1" x14ac:dyDescent="0.2">
      <c r="A250" s="16" t="s">
        <v>611</v>
      </c>
      <c r="B250" s="16" t="s">
        <v>612</v>
      </c>
      <c r="C250" s="16" t="s">
        <v>318</v>
      </c>
      <c r="D250" s="16" t="s">
        <v>511</v>
      </c>
      <c r="E250" s="17">
        <v>64900.025900000001</v>
      </c>
      <c r="F250" s="17">
        <v>73442.994099999996</v>
      </c>
      <c r="G250" s="17">
        <v>59171.996200000001</v>
      </c>
      <c r="H250" s="17">
        <v>47677.941700000003</v>
      </c>
      <c r="I250" s="17">
        <v>38419.734400000001</v>
      </c>
      <c r="J250" s="17">
        <v>13716.7703</v>
      </c>
      <c r="K250" s="17">
        <v>0</v>
      </c>
      <c r="L250" s="17">
        <v>0</v>
      </c>
      <c r="M250" s="17">
        <v>0</v>
      </c>
      <c r="N250" s="17">
        <v>0</v>
      </c>
      <c r="O250" s="17">
        <v>0</v>
      </c>
      <c r="P250" s="17">
        <v>0</v>
      </c>
      <c r="Q250" s="17">
        <v>0</v>
      </c>
      <c r="R250" s="17">
        <v>0</v>
      </c>
      <c r="S250" s="17">
        <v>0</v>
      </c>
      <c r="T250" s="17">
        <v>0</v>
      </c>
      <c r="U250" s="17">
        <v>0</v>
      </c>
      <c r="V250" s="17">
        <v>0</v>
      </c>
      <c r="W250" s="17">
        <v>0</v>
      </c>
      <c r="X250" s="17">
        <v>0</v>
      </c>
      <c r="Y250" s="17">
        <v>0</v>
      </c>
      <c r="Z250" s="17">
        <v>0</v>
      </c>
      <c r="AA250" s="17">
        <v>0</v>
      </c>
      <c r="AB250" s="17">
        <v>0</v>
      </c>
      <c r="AC250" s="17">
        <v>0</v>
      </c>
      <c r="AD250" s="17">
        <v>0</v>
      </c>
      <c r="AE250" s="17">
        <v>0</v>
      </c>
      <c r="AF250" s="17">
        <v>0</v>
      </c>
      <c r="AG250" s="17">
        <v>0</v>
      </c>
      <c r="AH250" s="17">
        <v>0</v>
      </c>
      <c r="AI250" s="17">
        <v>0</v>
      </c>
      <c r="AJ250" s="17">
        <v>0</v>
      </c>
      <c r="AK250" s="17">
        <v>0</v>
      </c>
      <c r="AL250" s="17">
        <v>0</v>
      </c>
      <c r="AM250" s="17">
        <v>0</v>
      </c>
      <c r="AN250" s="17">
        <v>0</v>
      </c>
      <c r="AO250" s="17">
        <v>0</v>
      </c>
      <c r="AP250" s="18">
        <f t="shared" si="3"/>
        <v>297329.46259999997</v>
      </c>
    </row>
    <row r="251" spans="1:42" ht="15" customHeight="1" x14ac:dyDescent="0.2">
      <c r="A251" s="16" t="s">
        <v>611</v>
      </c>
      <c r="B251" s="16" t="s">
        <v>612</v>
      </c>
      <c r="C251" s="16" t="s">
        <v>406</v>
      </c>
      <c r="D251" s="16" t="s">
        <v>511</v>
      </c>
      <c r="E251" s="17">
        <v>45718.918400000002</v>
      </c>
      <c r="F251" s="17">
        <v>64365.684300000001</v>
      </c>
      <c r="G251" s="17">
        <v>74611.303700000004</v>
      </c>
      <c r="H251" s="17">
        <v>48147.523399999998</v>
      </c>
      <c r="I251" s="17">
        <v>38277.839099999997</v>
      </c>
      <c r="J251" s="17">
        <v>13801.684300000001</v>
      </c>
      <c r="K251" s="17">
        <v>0</v>
      </c>
      <c r="L251" s="17">
        <v>0</v>
      </c>
      <c r="M251" s="17">
        <v>0</v>
      </c>
      <c r="N251" s="17">
        <v>0</v>
      </c>
      <c r="O251" s="17">
        <v>0</v>
      </c>
      <c r="P251" s="17">
        <v>0</v>
      </c>
      <c r="Q251" s="17">
        <v>0</v>
      </c>
      <c r="R251" s="17">
        <v>0</v>
      </c>
      <c r="S251" s="17">
        <v>0</v>
      </c>
      <c r="T251" s="17">
        <v>0</v>
      </c>
      <c r="U251" s="17">
        <v>0</v>
      </c>
      <c r="V251" s="17">
        <v>0</v>
      </c>
      <c r="W251" s="17">
        <v>0</v>
      </c>
      <c r="X251" s="17">
        <v>0</v>
      </c>
      <c r="Y251" s="17">
        <v>0</v>
      </c>
      <c r="Z251" s="17">
        <v>0</v>
      </c>
      <c r="AA251" s="17">
        <v>0</v>
      </c>
      <c r="AB251" s="17">
        <v>0</v>
      </c>
      <c r="AC251" s="17">
        <v>0</v>
      </c>
      <c r="AD251" s="17">
        <v>0</v>
      </c>
      <c r="AE251" s="17">
        <v>0</v>
      </c>
      <c r="AF251" s="17">
        <v>0</v>
      </c>
      <c r="AG251" s="17">
        <v>0</v>
      </c>
      <c r="AH251" s="17">
        <v>0</v>
      </c>
      <c r="AI251" s="17">
        <v>0</v>
      </c>
      <c r="AJ251" s="17">
        <v>0</v>
      </c>
      <c r="AK251" s="17">
        <v>0</v>
      </c>
      <c r="AL251" s="17">
        <v>0</v>
      </c>
      <c r="AM251" s="17">
        <v>0</v>
      </c>
      <c r="AN251" s="17">
        <v>0</v>
      </c>
      <c r="AO251" s="17">
        <v>0</v>
      </c>
      <c r="AP251" s="18">
        <f t="shared" si="3"/>
        <v>284922.95320000005</v>
      </c>
    </row>
    <row r="252" spans="1:42" ht="15" customHeight="1" x14ac:dyDescent="0.2">
      <c r="A252" s="16" t="s">
        <v>611</v>
      </c>
      <c r="B252" s="16" t="s">
        <v>211</v>
      </c>
      <c r="C252" s="16" t="s">
        <v>160</v>
      </c>
      <c r="D252" s="16" t="s">
        <v>511</v>
      </c>
      <c r="E252" s="17">
        <v>34030.886500000001</v>
      </c>
      <c r="F252" s="17">
        <v>28926.253499999999</v>
      </c>
      <c r="G252" s="17">
        <v>24587.315500000001</v>
      </c>
      <c r="H252" s="17">
        <v>20899.218099999998</v>
      </c>
      <c r="I252" s="17">
        <v>17764.3354</v>
      </c>
      <c r="J252" s="17">
        <v>15099.685100000001</v>
      </c>
      <c r="K252" s="17">
        <v>12834.7323</v>
      </c>
      <c r="L252" s="17">
        <v>10909.522499999999</v>
      </c>
      <c r="M252" s="17">
        <v>9273.0941000000003</v>
      </c>
      <c r="N252" s="17">
        <v>7882.13</v>
      </c>
      <c r="O252" s="17">
        <v>600.83659999999998</v>
      </c>
      <c r="P252" s="17">
        <v>0</v>
      </c>
      <c r="Q252" s="17">
        <v>0</v>
      </c>
      <c r="R252" s="17">
        <v>0</v>
      </c>
      <c r="S252" s="17">
        <v>0</v>
      </c>
      <c r="T252" s="17">
        <v>0</v>
      </c>
      <c r="U252" s="17">
        <v>0</v>
      </c>
      <c r="V252" s="17">
        <v>0</v>
      </c>
      <c r="W252" s="17">
        <v>0</v>
      </c>
      <c r="X252" s="17">
        <v>0</v>
      </c>
      <c r="Y252" s="17">
        <v>0</v>
      </c>
      <c r="Z252" s="17">
        <v>0</v>
      </c>
      <c r="AA252" s="17">
        <v>0</v>
      </c>
      <c r="AB252" s="17">
        <v>0</v>
      </c>
      <c r="AC252" s="17">
        <v>0</v>
      </c>
      <c r="AD252" s="17">
        <v>0</v>
      </c>
      <c r="AE252" s="17">
        <v>0</v>
      </c>
      <c r="AF252" s="17">
        <v>0</v>
      </c>
      <c r="AG252" s="17">
        <v>0</v>
      </c>
      <c r="AH252" s="17">
        <v>0</v>
      </c>
      <c r="AI252" s="17">
        <v>0</v>
      </c>
      <c r="AJ252" s="17">
        <v>0</v>
      </c>
      <c r="AK252" s="17">
        <v>0</v>
      </c>
      <c r="AL252" s="17">
        <v>0</v>
      </c>
      <c r="AM252" s="17">
        <v>0</v>
      </c>
      <c r="AN252" s="17">
        <v>0</v>
      </c>
      <c r="AO252" s="17">
        <v>0</v>
      </c>
      <c r="AP252" s="18">
        <f t="shared" si="3"/>
        <v>182808.00959999999</v>
      </c>
    </row>
    <row r="253" spans="1:42" ht="15" customHeight="1" x14ac:dyDescent="0.2">
      <c r="A253" s="16" t="s">
        <v>611</v>
      </c>
      <c r="B253" s="16" t="s">
        <v>211</v>
      </c>
      <c r="C253" s="16" t="s">
        <v>210</v>
      </c>
      <c r="D253" s="16" t="s">
        <v>511</v>
      </c>
      <c r="E253" s="17">
        <v>371526.93430000002</v>
      </c>
      <c r="F253" s="17">
        <v>265124.5834</v>
      </c>
      <c r="G253" s="17">
        <v>189734.7267</v>
      </c>
      <c r="H253" s="17">
        <v>137772.08979999999</v>
      </c>
      <c r="I253" s="17">
        <v>101328.9855</v>
      </c>
      <c r="J253" s="17">
        <v>77721.852299999999</v>
      </c>
      <c r="K253" s="17">
        <v>60254.5268</v>
      </c>
      <c r="L253" s="17">
        <v>4377.7789000000002</v>
      </c>
      <c r="M253" s="17">
        <v>0</v>
      </c>
      <c r="N253" s="17">
        <v>0</v>
      </c>
      <c r="O253" s="17">
        <v>0</v>
      </c>
      <c r="P253" s="17">
        <v>0</v>
      </c>
      <c r="Q253" s="17">
        <v>0</v>
      </c>
      <c r="R253" s="17">
        <v>0</v>
      </c>
      <c r="S253" s="17">
        <v>0</v>
      </c>
      <c r="T253" s="17">
        <v>0</v>
      </c>
      <c r="U253" s="17">
        <v>0</v>
      </c>
      <c r="V253" s="17">
        <v>0</v>
      </c>
      <c r="W253" s="17">
        <v>0</v>
      </c>
      <c r="X253" s="17">
        <v>0</v>
      </c>
      <c r="Y253" s="17">
        <v>0</v>
      </c>
      <c r="Z253" s="17">
        <v>0</v>
      </c>
      <c r="AA253" s="17">
        <v>0</v>
      </c>
      <c r="AB253" s="17">
        <v>0</v>
      </c>
      <c r="AC253" s="17">
        <v>0</v>
      </c>
      <c r="AD253" s="17">
        <v>0</v>
      </c>
      <c r="AE253" s="17">
        <v>0</v>
      </c>
      <c r="AF253" s="17">
        <v>0</v>
      </c>
      <c r="AG253" s="17">
        <v>0</v>
      </c>
      <c r="AH253" s="17">
        <v>0</v>
      </c>
      <c r="AI253" s="17">
        <v>0</v>
      </c>
      <c r="AJ253" s="17">
        <v>0</v>
      </c>
      <c r="AK253" s="17">
        <v>0</v>
      </c>
      <c r="AL253" s="17">
        <v>0</v>
      </c>
      <c r="AM253" s="17">
        <v>0</v>
      </c>
      <c r="AN253" s="17">
        <v>0</v>
      </c>
      <c r="AO253" s="17">
        <v>0</v>
      </c>
      <c r="AP253" s="18">
        <f t="shared" si="3"/>
        <v>1207841.4776999999</v>
      </c>
    </row>
    <row r="254" spans="1:42" ht="15" customHeight="1" x14ac:dyDescent="0.2">
      <c r="A254" s="16" t="s">
        <v>611</v>
      </c>
      <c r="B254" s="16" t="s">
        <v>211</v>
      </c>
      <c r="C254" s="16" t="s">
        <v>211</v>
      </c>
      <c r="D254" s="16" t="s">
        <v>511</v>
      </c>
      <c r="E254" s="17">
        <v>73892.513600000006</v>
      </c>
      <c r="F254" s="17">
        <v>101029.6059</v>
      </c>
      <c r="G254" s="17">
        <v>92099.352100000004</v>
      </c>
      <c r="H254" s="17">
        <v>63736.602200000001</v>
      </c>
      <c r="I254" s="17">
        <v>42968.579400000002</v>
      </c>
      <c r="J254" s="17">
        <v>31641.709900000002</v>
      </c>
      <c r="K254" s="17">
        <v>24062.0746</v>
      </c>
      <c r="L254" s="17">
        <v>1724.3501000000001</v>
      </c>
      <c r="M254" s="17">
        <v>0</v>
      </c>
      <c r="N254" s="17">
        <v>0</v>
      </c>
      <c r="O254" s="17">
        <v>0</v>
      </c>
      <c r="P254" s="17">
        <v>0</v>
      </c>
      <c r="Q254" s="17">
        <v>0</v>
      </c>
      <c r="R254" s="17">
        <v>0</v>
      </c>
      <c r="S254" s="17">
        <v>0</v>
      </c>
      <c r="T254" s="17">
        <v>0</v>
      </c>
      <c r="U254" s="17">
        <v>0</v>
      </c>
      <c r="V254" s="17">
        <v>0</v>
      </c>
      <c r="W254" s="17">
        <v>0</v>
      </c>
      <c r="X254" s="17">
        <v>0</v>
      </c>
      <c r="Y254" s="17">
        <v>0</v>
      </c>
      <c r="Z254" s="17">
        <v>0</v>
      </c>
      <c r="AA254" s="17">
        <v>0</v>
      </c>
      <c r="AB254" s="17">
        <v>0</v>
      </c>
      <c r="AC254" s="17">
        <v>0</v>
      </c>
      <c r="AD254" s="17">
        <v>0</v>
      </c>
      <c r="AE254" s="17">
        <v>0</v>
      </c>
      <c r="AF254" s="17">
        <v>0</v>
      </c>
      <c r="AG254" s="17">
        <v>0</v>
      </c>
      <c r="AH254" s="17">
        <v>0</v>
      </c>
      <c r="AI254" s="17">
        <v>0</v>
      </c>
      <c r="AJ254" s="17">
        <v>0</v>
      </c>
      <c r="AK254" s="17">
        <v>0</v>
      </c>
      <c r="AL254" s="17">
        <v>0</v>
      </c>
      <c r="AM254" s="17">
        <v>0</v>
      </c>
      <c r="AN254" s="17">
        <v>0</v>
      </c>
      <c r="AO254" s="17">
        <v>0</v>
      </c>
      <c r="AP254" s="18">
        <f t="shared" si="3"/>
        <v>431154.78779999999</v>
      </c>
    </row>
    <row r="255" spans="1:42" ht="15" customHeight="1" x14ac:dyDescent="0.2">
      <c r="A255" s="16" t="s">
        <v>611</v>
      </c>
      <c r="B255" s="16" t="s">
        <v>211</v>
      </c>
      <c r="C255" s="16" t="s">
        <v>212</v>
      </c>
      <c r="D255" s="16" t="s">
        <v>511</v>
      </c>
      <c r="E255" s="17">
        <v>42322.655899999998</v>
      </c>
      <c r="F255" s="17">
        <v>35127.804400000001</v>
      </c>
      <c r="G255" s="17">
        <v>29156.077600000001</v>
      </c>
      <c r="H255" s="17">
        <v>24199.544399999999</v>
      </c>
      <c r="I255" s="17">
        <v>20085.621899999998</v>
      </c>
      <c r="J255" s="17">
        <v>16671.066200000001</v>
      </c>
      <c r="K255" s="17">
        <v>13836.984899999999</v>
      </c>
      <c r="L255" s="17">
        <v>1040.8875</v>
      </c>
      <c r="M255" s="17">
        <v>0</v>
      </c>
      <c r="N255" s="17">
        <v>0</v>
      </c>
      <c r="O255" s="17">
        <v>0</v>
      </c>
      <c r="P255" s="17">
        <v>0</v>
      </c>
      <c r="Q255" s="17">
        <v>0</v>
      </c>
      <c r="R255" s="17">
        <v>0</v>
      </c>
      <c r="S255" s="17">
        <v>0</v>
      </c>
      <c r="T255" s="17">
        <v>0</v>
      </c>
      <c r="U255" s="17">
        <v>0</v>
      </c>
      <c r="V255" s="17">
        <v>0</v>
      </c>
      <c r="W255" s="17">
        <v>0</v>
      </c>
      <c r="X255" s="17">
        <v>0</v>
      </c>
      <c r="Y255" s="17">
        <v>0</v>
      </c>
      <c r="Z255" s="17">
        <v>0</v>
      </c>
      <c r="AA255" s="17">
        <v>0</v>
      </c>
      <c r="AB255" s="17">
        <v>0</v>
      </c>
      <c r="AC255" s="17">
        <v>0</v>
      </c>
      <c r="AD255" s="17">
        <v>0</v>
      </c>
      <c r="AE255" s="17">
        <v>0</v>
      </c>
      <c r="AF255" s="17">
        <v>0</v>
      </c>
      <c r="AG255" s="17">
        <v>0</v>
      </c>
      <c r="AH255" s="17">
        <v>0</v>
      </c>
      <c r="AI255" s="17">
        <v>0</v>
      </c>
      <c r="AJ255" s="17">
        <v>0</v>
      </c>
      <c r="AK255" s="17">
        <v>0</v>
      </c>
      <c r="AL255" s="17">
        <v>0</v>
      </c>
      <c r="AM255" s="17">
        <v>0</v>
      </c>
      <c r="AN255" s="17">
        <v>0</v>
      </c>
      <c r="AO255" s="17">
        <v>0</v>
      </c>
      <c r="AP255" s="18">
        <f t="shared" si="3"/>
        <v>182440.64280000003</v>
      </c>
    </row>
    <row r="256" spans="1:42" ht="15" customHeight="1" x14ac:dyDescent="0.2">
      <c r="A256" s="16" t="s">
        <v>611</v>
      </c>
      <c r="B256" s="16" t="s">
        <v>211</v>
      </c>
      <c r="C256" s="16" t="s">
        <v>371</v>
      </c>
      <c r="D256" s="16" t="s">
        <v>511</v>
      </c>
      <c r="E256" s="17">
        <v>130424.7549</v>
      </c>
      <c r="F256" s="17">
        <v>114580.94409999999</v>
      </c>
      <c r="G256" s="17">
        <v>109482.4559</v>
      </c>
      <c r="H256" s="17">
        <v>159679.4822</v>
      </c>
      <c r="I256" s="17">
        <v>119050.4111</v>
      </c>
      <c r="J256" s="17">
        <v>93022.110499999995</v>
      </c>
      <c r="K256" s="17">
        <v>75543.082999999999</v>
      </c>
      <c r="L256" s="17">
        <v>63180.642999999996</v>
      </c>
      <c r="M256" s="17">
        <v>48733.537600000003</v>
      </c>
      <c r="N256" s="17">
        <v>40652.103199999998</v>
      </c>
      <c r="O256" s="17">
        <v>3183.8193999999999</v>
      </c>
      <c r="P256" s="17">
        <v>0</v>
      </c>
      <c r="Q256" s="17">
        <v>0</v>
      </c>
      <c r="R256" s="17">
        <v>0</v>
      </c>
      <c r="S256" s="17">
        <v>0</v>
      </c>
      <c r="T256" s="17">
        <v>0</v>
      </c>
      <c r="U256" s="17">
        <v>0</v>
      </c>
      <c r="V256" s="17">
        <v>0</v>
      </c>
      <c r="W256" s="17">
        <v>0</v>
      </c>
      <c r="X256" s="17">
        <v>0</v>
      </c>
      <c r="Y256" s="17">
        <v>0</v>
      </c>
      <c r="Z256" s="17">
        <v>0</v>
      </c>
      <c r="AA256" s="17">
        <v>0</v>
      </c>
      <c r="AB256" s="17">
        <v>0</v>
      </c>
      <c r="AC256" s="17">
        <v>0</v>
      </c>
      <c r="AD256" s="17">
        <v>0</v>
      </c>
      <c r="AE256" s="17">
        <v>0</v>
      </c>
      <c r="AF256" s="17">
        <v>0</v>
      </c>
      <c r="AG256" s="17">
        <v>0</v>
      </c>
      <c r="AH256" s="17">
        <v>0</v>
      </c>
      <c r="AI256" s="17">
        <v>0</v>
      </c>
      <c r="AJ256" s="17">
        <v>0</v>
      </c>
      <c r="AK256" s="17">
        <v>0</v>
      </c>
      <c r="AL256" s="17">
        <v>0</v>
      </c>
      <c r="AM256" s="17">
        <v>0</v>
      </c>
      <c r="AN256" s="17">
        <v>0</v>
      </c>
      <c r="AO256" s="17">
        <v>0</v>
      </c>
      <c r="AP256" s="18">
        <f t="shared" si="3"/>
        <v>957533.34490000003</v>
      </c>
    </row>
    <row r="257" spans="1:42" ht="15" customHeight="1" x14ac:dyDescent="0.2">
      <c r="A257" s="16" t="s">
        <v>611</v>
      </c>
      <c r="B257" s="16" t="s">
        <v>211</v>
      </c>
      <c r="C257" s="16" t="s">
        <v>372</v>
      </c>
      <c r="D257" s="16" t="s">
        <v>511</v>
      </c>
      <c r="E257" s="17">
        <v>59198.025600000001</v>
      </c>
      <c r="F257" s="17">
        <v>54462.183599999997</v>
      </c>
      <c r="G257" s="17">
        <v>50105.208899999998</v>
      </c>
      <c r="H257" s="17">
        <v>46096.792200000004</v>
      </c>
      <c r="I257" s="17">
        <v>42409.048799999997</v>
      </c>
      <c r="J257" s="17">
        <v>39016.3249</v>
      </c>
      <c r="K257" s="17">
        <v>35895.018900000003</v>
      </c>
      <c r="L257" s="17">
        <v>33023.417399999998</v>
      </c>
      <c r="M257" s="17">
        <v>30381.544000000002</v>
      </c>
      <c r="N257" s="17">
        <v>27951.020499999999</v>
      </c>
      <c r="O257" s="17">
        <v>2225.7510000000002</v>
      </c>
      <c r="P257" s="17">
        <v>0</v>
      </c>
      <c r="Q257" s="17">
        <v>0</v>
      </c>
      <c r="R257" s="17">
        <v>0</v>
      </c>
      <c r="S257" s="17">
        <v>0</v>
      </c>
      <c r="T257" s="17">
        <v>0</v>
      </c>
      <c r="U257" s="17">
        <v>0</v>
      </c>
      <c r="V257" s="17">
        <v>0</v>
      </c>
      <c r="W257" s="17">
        <v>0</v>
      </c>
      <c r="X257" s="17">
        <v>0</v>
      </c>
      <c r="Y257" s="17">
        <v>0</v>
      </c>
      <c r="Z257" s="17">
        <v>0</v>
      </c>
      <c r="AA257" s="17">
        <v>0</v>
      </c>
      <c r="AB257" s="17">
        <v>0</v>
      </c>
      <c r="AC257" s="17">
        <v>0</v>
      </c>
      <c r="AD257" s="17">
        <v>0</v>
      </c>
      <c r="AE257" s="17">
        <v>0</v>
      </c>
      <c r="AF257" s="17">
        <v>0</v>
      </c>
      <c r="AG257" s="17">
        <v>0</v>
      </c>
      <c r="AH257" s="17">
        <v>0</v>
      </c>
      <c r="AI257" s="17">
        <v>0</v>
      </c>
      <c r="AJ257" s="17">
        <v>0</v>
      </c>
      <c r="AK257" s="17">
        <v>0</v>
      </c>
      <c r="AL257" s="17">
        <v>0</v>
      </c>
      <c r="AM257" s="17">
        <v>0</v>
      </c>
      <c r="AN257" s="17">
        <v>0</v>
      </c>
      <c r="AO257" s="17">
        <v>0</v>
      </c>
      <c r="AP257" s="18">
        <f t="shared" si="3"/>
        <v>420764.33579999994</v>
      </c>
    </row>
    <row r="258" spans="1:42" ht="15" customHeight="1" x14ac:dyDescent="0.2">
      <c r="A258" s="16" t="s">
        <v>611</v>
      </c>
      <c r="B258" s="16" t="s">
        <v>237</v>
      </c>
      <c r="C258" s="16" t="s">
        <v>116</v>
      </c>
      <c r="D258" s="16" t="s">
        <v>511</v>
      </c>
      <c r="E258" s="17">
        <v>701889.3798</v>
      </c>
      <c r="F258" s="17">
        <v>490258.62920000002</v>
      </c>
      <c r="G258" s="17">
        <v>347406.59779999999</v>
      </c>
      <c r="H258" s="17">
        <v>237627.1335</v>
      </c>
      <c r="I258" s="17">
        <v>167100.38010000001</v>
      </c>
      <c r="J258" s="17">
        <v>118760.60370000001</v>
      </c>
      <c r="K258" s="17">
        <v>85505.308999999994</v>
      </c>
      <c r="L258" s="17">
        <v>48617.157099999997</v>
      </c>
      <c r="M258" s="17">
        <v>0</v>
      </c>
      <c r="N258" s="17">
        <v>0</v>
      </c>
      <c r="O258" s="17">
        <v>0</v>
      </c>
      <c r="P258" s="17">
        <v>0</v>
      </c>
      <c r="Q258" s="17">
        <v>0</v>
      </c>
      <c r="R258" s="17">
        <v>0</v>
      </c>
      <c r="S258" s="17">
        <v>0</v>
      </c>
      <c r="T258" s="17">
        <v>0</v>
      </c>
      <c r="U258" s="17">
        <v>0</v>
      </c>
      <c r="V258" s="17">
        <v>0</v>
      </c>
      <c r="W258" s="17">
        <v>0</v>
      </c>
      <c r="X258" s="17">
        <v>0</v>
      </c>
      <c r="Y258" s="17">
        <v>0</v>
      </c>
      <c r="Z258" s="17">
        <v>0</v>
      </c>
      <c r="AA258" s="17">
        <v>0</v>
      </c>
      <c r="AB258" s="17">
        <v>0</v>
      </c>
      <c r="AC258" s="17">
        <v>0</v>
      </c>
      <c r="AD258" s="17">
        <v>0</v>
      </c>
      <c r="AE258" s="17">
        <v>0</v>
      </c>
      <c r="AF258" s="17">
        <v>0</v>
      </c>
      <c r="AG258" s="17">
        <v>0</v>
      </c>
      <c r="AH258" s="17">
        <v>0</v>
      </c>
      <c r="AI258" s="17">
        <v>0</v>
      </c>
      <c r="AJ258" s="17">
        <v>0</v>
      </c>
      <c r="AK258" s="17">
        <v>0</v>
      </c>
      <c r="AL258" s="17">
        <v>0</v>
      </c>
      <c r="AM258" s="17">
        <v>0</v>
      </c>
      <c r="AN258" s="17">
        <v>0</v>
      </c>
      <c r="AO258" s="17">
        <v>0</v>
      </c>
      <c r="AP258" s="18">
        <f t="shared" ref="AP258:AP321" si="4">SUM(E258:AO258)</f>
        <v>2197165.1902000001</v>
      </c>
    </row>
    <row r="259" spans="1:42" ht="15" customHeight="1" x14ac:dyDescent="0.2">
      <c r="A259" s="16" t="s">
        <v>611</v>
      </c>
      <c r="B259" s="16" t="s">
        <v>237</v>
      </c>
      <c r="C259" s="16" t="s">
        <v>191</v>
      </c>
      <c r="D259" s="16" t="s">
        <v>511</v>
      </c>
      <c r="E259" s="17">
        <v>879669.13740000001</v>
      </c>
      <c r="F259" s="17">
        <v>720218.54749999999</v>
      </c>
      <c r="G259" s="17">
        <v>557504.62829999998</v>
      </c>
      <c r="H259" s="17">
        <v>430718.1188</v>
      </c>
      <c r="I259" s="17">
        <v>334936.68</v>
      </c>
      <c r="J259" s="17">
        <v>262368.63630000001</v>
      </c>
      <c r="K259" s="17">
        <v>207199.2481</v>
      </c>
      <c r="L259" s="17">
        <v>127179.927</v>
      </c>
      <c r="M259" s="17">
        <v>0</v>
      </c>
      <c r="N259" s="17">
        <v>0</v>
      </c>
      <c r="O259" s="17">
        <v>0</v>
      </c>
      <c r="P259" s="17">
        <v>0</v>
      </c>
      <c r="Q259" s="17">
        <v>0</v>
      </c>
      <c r="R259" s="17">
        <v>0</v>
      </c>
      <c r="S259" s="17">
        <v>0</v>
      </c>
      <c r="T259" s="17">
        <v>0</v>
      </c>
      <c r="U259" s="17">
        <v>0</v>
      </c>
      <c r="V259" s="17">
        <v>0</v>
      </c>
      <c r="W259" s="17">
        <v>0</v>
      </c>
      <c r="X259" s="17">
        <v>0</v>
      </c>
      <c r="Y259" s="17">
        <v>0</v>
      </c>
      <c r="Z259" s="17">
        <v>0</v>
      </c>
      <c r="AA259" s="17">
        <v>0</v>
      </c>
      <c r="AB259" s="17">
        <v>0</v>
      </c>
      <c r="AC259" s="17">
        <v>0</v>
      </c>
      <c r="AD259" s="17">
        <v>0</v>
      </c>
      <c r="AE259" s="17">
        <v>0</v>
      </c>
      <c r="AF259" s="17">
        <v>0</v>
      </c>
      <c r="AG259" s="17">
        <v>0</v>
      </c>
      <c r="AH259" s="17">
        <v>0</v>
      </c>
      <c r="AI259" s="17">
        <v>0</v>
      </c>
      <c r="AJ259" s="17">
        <v>0</v>
      </c>
      <c r="AK259" s="17">
        <v>0</v>
      </c>
      <c r="AL259" s="17">
        <v>0</v>
      </c>
      <c r="AM259" s="17">
        <v>0</v>
      </c>
      <c r="AN259" s="17">
        <v>0</v>
      </c>
      <c r="AO259" s="17">
        <v>0</v>
      </c>
      <c r="AP259" s="18">
        <f t="shared" si="4"/>
        <v>3519794.9233999997</v>
      </c>
    </row>
    <row r="260" spans="1:42" ht="15" customHeight="1" x14ac:dyDescent="0.2">
      <c r="A260" s="16" t="s">
        <v>611</v>
      </c>
      <c r="B260" s="16" t="s">
        <v>237</v>
      </c>
      <c r="C260" s="16" t="s">
        <v>250</v>
      </c>
      <c r="D260" s="16" t="s">
        <v>511</v>
      </c>
      <c r="E260" s="17">
        <v>34345.754399999998</v>
      </c>
      <c r="F260" s="17">
        <v>61172.1302</v>
      </c>
      <c r="G260" s="17">
        <v>102624.8879</v>
      </c>
      <c r="H260" s="17">
        <v>99800.798200000005</v>
      </c>
      <c r="I260" s="17">
        <v>72830.839399999997</v>
      </c>
      <c r="J260" s="17">
        <v>55505.058100000002</v>
      </c>
      <c r="K260" s="17">
        <v>44051.090199999999</v>
      </c>
      <c r="L260" s="17">
        <v>25694.358499999998</v>
      </c>
      <c r="M260" s="17">
        <v>0</v>
      </c>
      <c r="N260" s="17">
        <v>0</v>
      </c>
      <c r="O260" s="17">
        <v>0</v>
      </c>
      <c r="P260" s="17">
        <v>0</v>
      </c>
      <c r="Q260" s="17">
        <v>0</v>
      </c>
      <c r="R260" s="17">
        <v>0</v>
      </c>
      <c r="S260" s="17">
        <v>0</v>
      </c>
      <c r="T260" s="17">
        <v>0</v>
      </c>
      <c r="U260" s="17">
        <v>0</v>
      </c>
      <c r="V260" s="17">
        <v>0</v>
      </c>
      <c r="W260" s="17">
        <v>0</v>
      </c>
      <c r="X260" s="17">
        <v>0</v>
      </c>
      <c r="Y260" s="17">
        <v>0</v>
      </c>
      <c r="Z260" s="17">
        <v>0</v>
      </c>
      <c r="AA260" s="17">
        <v>0</v>
      </c>
      <c r="AB260" s="17">
        <v>0</v>
      </c>
      <c r="AC260" s="17">
        <v>0</v>
      </c>
      <c r="AD260" s="17">
        <v>0</v>
      </c>
      <c r="AE260" s="17">
        <v>0</v>
      </c>
      <c r="AF260" s="17">
        <v>0</v>
      </c>
      <c r="AG260" s="17">
        <v>0</v>
      </c>
      <c r="AH260" s="17">
        <v>0</v>
      </c>
      <c r="AI260" s="17">
        <v>0</v>
      </c>
      <c r="AJ260" s="17">
        <v>0</v>
      </c>
      <c r="AK260" s="17">
        <v>0</v>
      </c>
      <c r="AL260" s="17">
        <v>0</v>
      </c>
      <c r="AM260" s="17">
        <v>0</v>
      </c>
      <c r="AN260" s="17">
        <v>0</v>
      </c>
      <c r="AO260" s="17">
        <v>0</v>
      </c>
      <c r="AP260" s="18">
        <f t="shared" si="4"/>
        <v>496024.91689999995</v>
      </c>
    </row>
    <row r="261" spans="1:42" ht="15" customHeight="1" x14ac:dyDescent="0.2">
      <c r="A261" s="16" t="s">
        <v>611</v>
      </c>
      <c r="B261" s="16" t="s">
        <v>613</v>
      </c>
      <c r="C261" s="16" t="s">
        <v>256</v>
      </c>
      <c r="D261" s="16" t="s">
        <v>511</v>
      </c>
      <c r="E261" s="17">
        <v>39281.430699999997</v>
      </c>
      <c r="F261" s="17">
        <v>46022.790099999998</v>
      </c>
      <c r="G261" s="17">
        <v>40748.433199999999</v>
      </c>
      <c r="H261" s="17">
        <v>36082.1613</v>
      </c>
      <c r="I261" s="17">
        <v>31953.488000000001</v>
      </c>
      <c r="J261" s="17">
        <v>20864.370200000001</v>
      </c>
      <c r="K261" s="17">
        <v>17733.8485</v>
      </c>
      <c r="L261" s="17">
        <v>15605.786700000001</v>
      </c>
      <c r="M261" s="17">
        <v>13733.0923</v>
      </c>
      <c r="N261" s="17">
        <v>12085.1212</v>
      </c>
      <c r="O261" s="17">
        <v>2787.5039999999999</v>
      </c>
      <c r="P261" s="17">
        <v>0</v>
      </c>
      <c r="Q261" s="17">
        <v>0</v>
      </c>
      <c r="R261" s="17">
        <v>0</v>
      </c>
      <c r="S261" s="17">
        <v>0</v>
      </c>
      <c r="T261" s="17">
        <v>0</v>
      </c>
      <c r="U261" s="17">
        <v>0</v>
      </c>
      <c r="V261" s="17">
        <v>0</v>
      </c>
      <c r="W261" s="17">
        <v>0</v>
      </c>
      <c r="X261" s="17">
        <v>0</v>
      </c>
      <c r="Y261" s="17">
        <v>0</v>
      </c>
      <c r="Z261" s="17">
        <v>0</v>
      </c>
      <c r="AA261" s="17">
        <v>0</v>
      </c>
      <c r="AB261" s="17">
        <v>0</v>
      </c>
      <c r="AC261" s="17">
        <v>0</v>
      </c>
      <c r="AD261" s="17">
        <v>0</v>
      </c>
      <c r="AE261" s="17">
        <v>0</v>
      </c>
      <c r="AF261" s="17">
        <v>0</v>
      </c>
      <c r="AG261" s="17">
        <v>0</v>
      </c>
      <c r="AH261" s="17">
        <v>0</v>
      </c>
      <c r="AI261" s="17">
        <v>0</v>
      </c>
      <c r="AJ261" s="17">
        <v>0</v>
      </c>
      <c r="AK261" s="17">
        <v>0</v>
      </c>
      <c r="AL261" s="17">
        <v>0</v>
      </c>
      <c r="AM261" s="17">
        <v>0</v>
      </c>
      <c r="AN261" s="17">
        <v>0</v>
      </c>
      <c r="AO261" s="17">
        <v>0</v>
      </c>
      <c r="AP261" s="18">
        <f t="shared" si="4"/>
        <v>276898.02620000002</v>
      </c>
    </row>
    <row r="262" spans="1:42" ht="15" customHeight="1" x14ac:dyDescent="0.2">
      <c r="A262" s="16" t="s">
        <v>611</v>
      </c>
      <c r="B262" s="16" t="s">
        <v>613</v>
      </c>
      <c r="C262" s="16" t="s">
        <v>269</v>
      </c>
      <c r="D262" s="16" t="s">
        <v>511</v>
      </c>
      <c r="E262" s="17">
        <v>11166.384599999999</v>
      </c>
      <c r="F262" s="17">
        <v>9491.4269000000004</v>
      </c>
      <c r="G262" s="17">
        <v>8067.7129000000004</v>
      </c>
      <c r="H262" s="17">
        <v>0</v>
      </c>
      <c r="I262" s="17">
        <v>0</v>
      </c>
      <c r="J262" s="17">
        <v>0</v>
      </c>
      <c r="K262" s="17">
        <v>0</v>
      </c>
      <c r="L262" s="17">
        <v>0</v>
      </c>
      <c r="M262" s="17">
        <v>0</v>
      </c>
      <c r="N262" s="17">
        <v>0</v>
      </c>
      <c r="O262" s="17">
        <v>0</v>
      </c>
      <c r="P262" s="17">
        <v>0</v>
      </c>
      <c r="Q262" s="17">
        <v>0</v>
      </c>
      <c r="R262" s="17">
        <v>0</v>
      </c>
      <c r="S262" s="17">
        <v>0</v>
      </c>
      <c r="T262" s="17">
        <v>0</v>
      </c>
      <c r="U262" s="17">
        <v>0</v>
      </c>
      <c r="V262" s="17">
        <v>0</v>
      </c>
      <c r="W262" s="17">
        <v>0</v>
      </c>
      <c r="X262" s="17">
        <v>0</v>
      </c>
      <c r="Y262" s="17">
        <v>0</v>
      </c>
      <c r="Z262" s="17">
        <v>0</v>
      </c>
      <c r="AA262" s="17">
        <v>0</v>
      </c>
      <c r="AB262" s="17">
        <v>0</v>
      </c>
      <c r="AC262" s="17">
        <v>0</v>
      </c>
      <c r="AD262" s="17">
        <v>0</v>
      </c>
      <c r="AE262" s="17">
        <v>0</v>
      </c>
      <c r="AF262" s="17">
        <v>0</v>
      </c>
      <c r="AG262" s="17">
        <v>0</v>
      </c>
      <c r="AH262" s="17">
        <v>0</v>
      </c>
      <c r="AI262" s="17">
        <v>0</v>
      </c>
      <c r="AJ262" s="17">
        <v>0</v>
      </c>
      <c r="AK262" s="17">
        <v>0</v>
      </c>
      <c r="AL262" s="17">
        <v>0</v>
      </c>
      <c r="AM262" s="17">
        <v>0</v>
      </c>
      <c r="AN262" s="17">
        <v>0</v>
      </c>
      <c r="AO262" s="17">
        <v>0</v>
      </c>
      <c r="AP262" s="18">
        <f t="shared" si="4"/>
        <v>28725.524400000002</v>
      </c>
    </row>
    <row r="263" spans="1:42" ht="15" customHeight="1" x14ac:dyDescent="0.2">
      <c r="A263" s="16" t="s">
        <v>611</v>
      </c>
      <c r="B263" s="16" t="s">
        <v>613</v>
      </c>
      <c r="C263" s="16" t="s">
        <v>270</v>
      </c>
      <c r="D263" s="16" t="s">
        <v>511</v>
      </c>
      <c r="E263" s="17">
        <v>189401.0632</v>
      </c>
      <c r="F263" s="17">
        <v>144781.1207</v>
      </c>
      <c r="G263" s="17">
        <v>114546.8158</v>
      </c>
      <c r="H263" s="17">
        <v>87651.107900000003</v>
      </c>
      <c r="I263" s="17">
        <v>73096.525999999998</v>
      </c>
      <c r="J263" s="17">
        <v>58018.675000000003</v>
      </c>
      <c r="K263" s="17">
        <v>43040.225899999998</v>
      </c>
      <c r="L263" s="17">
        <v>22293.981</v>
      </c>
      <c r="M263" s="17">
        <v>19618.703300000001</v>
      </c>
      <c r="N263" s="17">
        <v>17264.458900000001</v>
      </c>
      <c r="O263" s="17">
        <v>3982.1486</v>
      </c>
      <c r="P263" s="17">
        <v>0</v>
      </c>
      <c r="Q263" s="17">
        <v>0</v>
      </c>
      <c r="R263" s="17">
        <v>0</v>
      </c>
      <c r="S263" s="17">
        <v>0</v>
      </c>
      <c r="T263" s="17">
        <v>0</v>
      </c>
      <c r="U263" s="17">
        <v>0</v>
      </c>
      <c r="V263" s="17">
        <v>0</v>
      </c>
      <c r="W263" s="17">
        <v>0</v>
      </c>
      <c r="X263" s="17">
        <v>0</v>
      </c>
      <c r="Y263" s="17">
        <v>0</v>
      </c>
      <c r="Z263" s="17">
        <v>0</v>
      </c>
      <c r="AA263" s="17">
        <v>0</v>
      </c>
      <c r="AB263" s="17">
        <v>0</v>
      </c>
      <c r="AC263" s="17">
        <v>0</v>
      </c>
      <c r="AD263" s="17">
        <v>0</v>
      </c>
      <c r="AE263" s="17">
        <v>0</v>
      </c>
      <c r="AF263" s="17">
        <v>0</v>
      </c>
      <c r="AG263" s="17">
        <v>0</v>
      </c>
      <c r="AH263" s="17">
        <v>0</v>
      </c>
      <c r="AI263" s="17">
        <v>0</v>
      </c>
      <c r="AJ263" s="17">
        <v>0</v>
      </c>
      <c r="AK263" s="17">
        <v>0</v>
      </c>
      <c r="AL263" s="17">
        <v>0</v>
      </c>
      <c r="AM263" s="17">
        <v>0</v>
      </c>
      <c r="AN263" s="17">
        <v>0</v>
      </c>
      <c r="AO263" s="17">
        <v>0</v>
      </c>
      <c r="AP263" s="18">
        <f t="shared" si="4"/>
        <v>773694.82629999996</v>
      </c>
    </row>
    <row r="264" spans="1:42" ht="15" customHeight="1" x14ac:dyDescent="0.2">
      <c r="A264" s="16" t="s">
        <v>611</v>
      </c>
      <c r="B264" s="16" t="s">
        <v>613</v>
      </c>
      <c r="C264" s="16" t="s">
        <v>337</v>
      </c>
      <c r="D264" s="16" t="s">
        <v>511</v>
      </c>
      <c r="E264" s="17">
        <v>37007.942499999997</v>
      </c>
      <c r="F264" s="17">
        <v>27816.7916</v>
      </c>
      <c r="G264" s="17">
        <v>20750.477599999998</v>
      </c>
      <c r="H264" s="17">
        <v>18467.9251</v>
      </c>
      <c r="I264" s="17">
        <v>16436.453300000001</v>
      </c>
      <c r="J264" s="17">
        <v>14628.4434</v>
      </c>
      <c r="K264" s="17">
        <v>13019.314700000001</v>
      </c>
      <c r="L264" s="17">
        <v>11587.1901</v>
      </c>
      <c r="M264" s="17">
        <v>10312.599099999999</v>
      </c>
      <c r="N264" s="17">
        <v>9178.2132000000001</v>
      </c>
      <c r="O264" s="17">
        <v>717.66070000000002</v>
      </c>
      <c r="P264" s="17">
        <v>0</v>
      </c>
      <c r="Q264" s="17">
        <v>0</v>
      </c>
      <c r="R264" s="17">
        <v>0</v>
      </c>
      <c r="S264" s="17">
        <v>0</v>
      </c>
      <c r="T264" s="17">
        <v>0</v>
      </c>
      <c r="U264" s="17">
        <v>0</v>
      </c>
      <c r="V264" s="17">
        <v>0</v>
      </c>
      <c r="W264" s="17">
        <v>0</v>
      </c>
      <c r="X264" s="17">
        <v>0</v>
      </c>
      <c r="Y264" s="17">
        <v>0</v>
      </c>
      <c r="Z264" s="17">
        <v>0</v>
      </c>
      <c r="AA264" s="17">
        <v>0</v>
      </c>
      <c r="AB264" s="17">
        <v>0</v>
      </c>
      <c r="AC264" s="17">
        <v>0</v>
      </c>
      <c r="AD264" s="17">
        <v>0</v>
      </c>
      <c r="AE264" s="17">
        <v>0</v>
      </c>
      <c r="AF264" s="17">
        <v>0</v>
      </c>
      <c r="AG264" s="17">
        <v>0</v>
      </c>
      <c r="AH264" s="17">
        <v>0</v>
      </c>
      <c r="AI264" s="17">
        <v>0</v>
      </c>
      <c r="AJ264" s="17">
        <v>0</v>
      </c>
      <c r="AK264" s="17">
        <v>0</v>
      </c>
      <c r="AL264" s="17">
        <v>0</v>
      </c>
      <c r="AM264" s="17">
        <v>0</v>
      </c>
      <c r="AN264" s="17">
        <v>0</v>
      </c>
      <c r="AO264" s="17">
        <v>0</v>
      </c>
      <c r="AP264" s="18">
        <f t="shared" si="4"/>
        <v>179923.01129999998</v>
      </c>
    </row>
    <row r="265" spans="1:42" ht="15" customHeight="1" x14ac:dyDescent="0.2">
      <c r="A265" s="16" t="s">
        <v>611</v>
      </c>
      <c r="B265" s="16" t="s">
        <v>613</v>
      </c>
      <c r="C265" s="16" t="s">
        <v>339</v>
      </c>
      <c r="D265" s="16" t="s">
        <v>511</v>
      </c>
      <c r="E265" s="17">
        <v>81637.857900000003</v>
      </c>
      <c r="F265" s="17">
        <v>64493.907800000001</v>
      </c>
      <c r="G265" s="17">
        <v>50950.187100000003</v>
      </c>
      <c r="H265" s="17">
        <v>40250.647799999999</v>
      </c>
      <c r="I265" s="17">
        <v>31798.0118</v>
      </c>
      <c r="J265" s="17">
        <v>25120.4293</v>
      </c>
      <c r="K265" s="17">
        <v>19845.139200000001</v>
      </c>
      <c r="L265" s="17">
        <v>15677.659900000001</v>
      </c>
      <c r="M265" s="17">
        <v>12385.3514</v>
      </c>
      <c r="N265" s="17">
        <v>9784.4276000000009</v>
      </c>
      <c r="O265" s="17">
        <v>715.98540000000003</v>
      </c>
      <c r="P265" s="17">
        <v>0</v>
      </c>
      <c r="Q265" s="17">
        <v>0</v>
      </c>
      <c r="R265" s="17">
        <v>0</v>
      </c>
      <c r="S265" s="17">
        <v>0</v>
      </c>
      <c r="T265" s="17">
        <v>0</v>
      </c>
      <c r="U265" s="17">
        <v>0</v>
      </c>
      <c r="V265" s="17">
        <v>0</v>
      </c>
      <c r="W265" s="17">
        <v>0</v>
      </c>
      <c r="X265" s="17">
        <v>0</v>
      </c>
      <c r="Y265" s="17">
        <v>0</v>
      </c>
      <c r="Z265" s="17">
        <v>0</v>
      </c>
      <c r="AA265" s="17">
        <v>0</v>
      </c>
      <c r="AB265" s="17">
        <v>0</v>
      </c>
      <c r="AC265" s="17">
        <v>0</v>
      </c>
      <c r="AD265" s="17">
        <v>0</v>
      </c>
      <c r="AE265" s="17">
        <v>0</v>
      </c>
      <c r="AF265" s="17">
        <v>0</v>
      </c>
      <c r="AG265" s="17">
        <v>0</v>
      </c>
      <c r="AH265" s="17">
        <v>0</v>
      </c>
      <c r="AI265" s="17">
        <v>0</v>
      </c>
      <c r="AJ265" s="17">
        <v>0</v>
      </c>
      <c r="AK265" s="17">
        <v>0</v>
      </c>
      <c r="AL265" s="17">
        <v>0</v>
      </c>
      <c r="AM265" s="17">
        <v>0</v>
      </c>
      <c r="AN265" s="17">
        <v>0</v>
      </c>
      <c r="AO265" s="17">
        <v>0</v>
      </c>
      <c r="AP265" s="18">
        <f t="shared" si="4"/>
        <v>352659.60519999999</v>
      </c>
    </row>
    <row r="266" spans="1:42" ht="15" customHeight="1" x14ac:dyDescent="0.2">
      <c r="A266" s="16" t="s">
        <v>611</v>
      </c>
      <c r="B266" s="16" t="s">
        <v>613</v>
      </c>
      <c r="C266" s="16" t="s">
        <v>353</v>
      </c>
      <c r="D266" s="16" t="s">
        <v>511</v>
      </c>
      <c r="E266" s="17">
        <v>15530.7354</v>
      </c>
      <c r="F266" s="17">
        <v>13977.661899999999</v>
      </c>
      <c r="G266" s="17">
        <v>19224.949199999999</v>
      </c>
      <c r="H266" s="17">
        <v>20565.341400000001</v>
      </c>
      <c r="I266" s="17">
        <v>15828.210999999999</v>
      </c>
      <c r="J266" s="17">
        <v>12610.226199999999</v>
      </c>
      <c r="K266" s="17">
        <v>10351.7538</v>
      </c>
      <c r="L266" s="17">
        <v>7351.8950000000004</v>
      </c>
      <c r="M266" s="17">
        <v>0</v>
      </c>
      <c r="N266" s="17">
        <v>0</v>
      </c>
      <c r="O266" s="17">
        <v>0</v>
      </c>
      <c r="P266" s="17">
        <v>0</v>
      </c>
      <c r="Q266" s="17">
        <v>0</v>
      </c>
      <c r="R266" s="17">
        <v>0</v>
      </c>
      <c r="S266" s="17">
        <v>0</v>
      </c>
      <c r="T266" s="17">
        <v>0</v>
      </c>
      <c r="U266" s="17">
        <v>0</v>
      </c>
      <c r="V266" s="17">
        <v>0</v>
      </c>
      <c r="W266" s="17">
        <v>0</v>
      </c>
      <c r="X266" s="17">
        <v>0</v>
      </c>
      <c r="Y266" s="17">
        <v>0</v>
      </c>
      <c r="Z266" s="17">
        <v>0</v>
      </c>
      <c r="AA266" s="17">
        <v>0</v>
      </c>
      <c r="AB266" s="17">
        <v>0</v>
      </c>
      <c r="AC266" s="17">
        <v>0</v>
      </c>
      <c r="AD266" s="17">
        <v>0</v>
      </c>
      <c r="AE266" s="17">
        <v>0</v>
      </c>
      <c r="AF266" s="17">
        <v>0</v>
      </c>
      <c r="AG266" s="17">
        <v>0</v>
      </c>
      <c r="AH266" s="17">
        <v>0</v>
      </c>
      <c r="AI266" s="17">
        <v>0</v>
      </c>
      <c r="AJ266" s="17">
        <v>0</v>
      </c>
      <c r="AK266" s="17">
        <v>0</v>
      </c>
      <c r="AL266" s="17">
        <v>0</v>
      </c>
      <c r="AM266" s="17">
        <v>0</v>
      </c>
      <c r="AN266" s="17">
        <v>0</v>
      </c>
      <c r="AO266" s="17">
        <v>0</v>
      </c>
      <c r="AP266" s="18">
        <f t="shared" si="4"/>
        <v>115440.77390000001</v>
      </c>
    </row>
    <row r="267" spans="1:42" ht="15" customHeight="1" x14ac:dyDescent="0.2">
      <c r="A267" s="16" t="s">
        <v>611</v>
      </c>
      <c r="B267" s="16" t="s">
        <v>613</v>
      </c>
      <c r="C267" s="16" t="s">
        <v>390</v>
      </c>
      <c r="D267" s="16" t="s">
        <v>511</v>
      </c>
      <c r="E267" s="17">
        <v>159667.17800000001</v>
      </c>
      <c r="F267" s="17">
        <v>152767.97649999999</v>
      </c>
      <c r="G267" s="17">
        <v>223737.55559999999</v>
      </c>
      <c r="H267" s="17">
        <v>240874.93549999999</v>
      </c>
      <c r="I267" s="17">
        <v>208169.9307</v>
      </c>
      <c r="J267" s="17">
        <v>181128.88860000001</v>
      </c>
      <c r="K267" s="17">
        <v>157154.71919999999</v>
      </c>
      <c r="L267" s="17">
        <v>131988.24059999999</v>
      </c>
      <c r="M267" s="17">
        <v>110446.33199999999</v>
      </c>
      <c r="N267" s="17">
        <v>99043.397299999997</v>
      </c>
      <c r="O267" s="17">
        <v>23227.837299999999</v>
      </c>
      <c r="P267" s="17">
        <v>0</v>
      </c>
      <c r="Q267" s="17">
        <v>0</v>
      </c>
      <c r="R267" s="17">
        <v>0</v>
      </c>
      <c r="S267" s="17">
        <v>0</v>
      </c>
      <c r="T267" s="17">
        <v>0</v>
      </c>
      <c r="U267" s="17">
        <v>0</v>
      </c>
      <c r="V267" s="17">
        <v>0</v>
      </c>
      <c r="W267" s="17">
        <v>0</v>
      </c>
      <c r="X267" s="17">
        <v>0</v>
      </c>
      <c r="Y267" s="17">
        <v>0</v>
      </c>
      <c r="Z267" s="17">
        <v>0</v>
      </c>
      <c r="AA267" s="17">
        <v>0</v>
      </c>
      <c r="AB267" s="17">
        <v>0</v>
      </c>
      <c r="AC267" s="17">
        <v>0</v>
      </c>
      <c r="AD267" s="17">
        <v>0</v>
      </c>
      <c r="AE267" s="17">
        <v>0</v>
      </c>
      <c r="AF267" s="17">
        <v>0</v>
      </c>
      <c r="AG267" s="17">
        <v>0</v>
      </c>
      <c r="AH267" s="17">
        <v>0</v>
      </c>
      <c r="AI267" s="17">
        <v>0</v>
      </c>
      <c r="AJ267" s="17">
        <v>0</v>
      </c>
      <c r="AK267" s="17">
        <v>0</v>
      </c>
      <c r="AL267" s="17">
        <v>0</v>
      </c>
      <c r="AM267" s="17">
        <v>0</v>
      </c>
      <c r="AN267" s="17">
        <v>0</v>
      </c>
      <c r="AO267" s="17">
        <v>0</v>
      </c>
      <c r="AP267" s="18">
        <f t="shared" si="4"/>
        <v>1688206.9912999999</v>
      </c>
    </row>
    <row r="268" spans="1:42" ht="15" customHeight="1" x14ac:dyDescent="0.2">
      <c r="A268" s="16" t="s">
        <v>611</v>
      </c>
      <c r="B268" s="16" t="s">
        <v>614</v>
      </c>
      <c r="C268" s="16" t="s">
        <v>253</v>
      </c>
      <c r="D268" s="16" t="s">
        <v>511</v>
      </c>
      <c r="E268" s="17">
        <v>254607.79689999999</v>
      </c>
      <c r="F268" s="17">
        <v>253998.68309999999</v>
      </c>
      <c r="G268" s="17">
        <v>285630.10869999998</v>
      </c>
      <c r="H268" s="17">
        <v>243861.71109999999</v>
      </c>
      <c r="I268" s="17">
        <v>213939.6188</v>
      </c>
      <c r="J268" s="17">
        <v>190139.59330000001</v>
      </c>
      <c r="K268" s="17">
        <v>170246.95069999999</v>
      </c>
      <c r="L268" s="17">
        <v>153169.3309</v>
      </c>
      <c r="M268" s="17">
        <v>138273.7015</v>
      </c>
      <c r="N268" s="17">
        <v>123891.4308</v>
      </c>
      <c r="O268" s="17">
        <v>28829.010900000001</v>
      </c>
      <c r="P268" s="17">
        <v>0</v>
      </c>
      <c r="Q268" s="17">
        <v>0</v>
      </c>
      <c r="R268" s="17">
        <v>0</v>
      </c>
      <c r="S268" s="17">
        <v>0</v>
      </c>
      <c r="T268" s="17">
        <v>0</v>
      </c>
      <c r="U268" s="17">
        <v>0</v>
      </c>
      <c r="V268" s="17">
        <v>0</v>
      </c>
      <c r="W268" s="17">
        <v>0</v>
      </c>
      <c r="X268" s="17">
        <v>0</v>
      </c>
      <c r="Y268" s="17">
        <v>0</v>
      </c>
      <c r="Z268" s="17">
        <v>0</v>
      </c>
      <c r="AA268" s="17">
        <v>0</v>
      </c>
      <c r="AB268" s="17">
        <v>0</v>
      </c>
      <c r="AC268" s="17">
        <v>0</v>
      </c>
      <c r="AD268" s="17">
        <v>0</v>
      </c>
      <c r="AE268" s="17">
        <v>0</v>
      </c>
      <c r="AF268" s="17">
        <v>0</v>
      </c>
      <c r="AG268" s="17">
        <v>0</v>
      </c>
      <c r="AH268" s="17">
        <v>0</v>
      </c>
      <c r="AI268" s="17">
        <v>0</v>
      </c>
      <c r="AJ268" s="17">
        <v>0</v>
      </c>
      <c r="AK268" s="17">
        <v>0</v>
      </c>
      <c r="AL268" s="17">
        <v>0</v>
      </c>
      <c r="AM268" s="17">
        <v>0</v>
      </c>
      <c r="AN268" s="17">
        <v>0</v>
      </c>
      <c r="AO268" s="17">
        <v>0</v>
      </c>
      <c r="AP268" s="18">
        <f t="shared" si="4"/>
        <v>2056587.9367</v>
      </c>
    </row>
    <row r="269" spans="1:42" ht="15" customHeight="1" x14ac:dyDescent="0.2">
      <c r="A269" s="16" t="s">
        <v>611</v>
      </c>
      <c r="B269" s="16" t="s">
        <v>330</v>
      </c>
      <c r="C269" s="16" t="s">
        <v>330</v>
      </c>
      <c r="D269" s="16" t="s">
        <v>511</v>
      </c>
      <c r="E269" s="17">
        <v>58661.518499999998</v>
      </c>
      <c r="F269" s="17">
        <v>62333.973899999997</v>
      </c>
      <c r="G269" s="17">
        <v>55670.201800000003</v>
      </c>
      <c r="H269" s="17">
        <v>49576.139300000003</v>
      </c>
      <c r="I269" s="17">
        <v>44708.911999999997</v>
      </c>
      <c r="J269" s="17">
        <v>40727.068200000002</v>
      </c>
      <c r="K269" s="17">
        <v>37406.311300000001</v>
      </c>
      <c r="L269" s="17">
        <v>34591.911699999997</v>
      </c>
      <c r="M269" s="17">
        <v>32164.562300000001</v>
      </c>
      <c r="N269" s="17">
        <v>30031.7101</v>
      </c>
      <c r="O269" s="17">
        <v>28126.3305</v>
      </c>
      <c r="P269" s="17">
        <v>26408.985499999999</v>
      </c>
      <c r="Q269" s="17">
        <v>24823.658200000002</v>
      </c>
      <c r="R269" s="17">
        <v>23334.238700000002</v>
      </c>
      <c r="S269" s="17">
        <v>21934.184399999998</v>
      </c>
      <c r="T269" s="17">
        <v>20618.133300000001</v>
      </c>
      <c r="U269" s="17">
        <v>19381.045300000002</v>
      </c>
      <c r="V269" s="17">
        <v>18218.1826</v>
      </c>
      <c r="W269" s="17">
        <v>12942.6402</v>
      </c>
      <c r="X269" s="17">
        <v>0</v>
      </c>
      <c r="Y269" s="17">
        <v>0</v>
      </c>
      <c r="Z269" s="17">
        <v>0</v>
      </c>
      <c r="AA269" s="17">
        <v>0</v>
      </c>
      <c r="AB269" s="17">
        <v>0</v>
      </c>
      <c r="AC269" s="17">
        <v>0</v>
      </c>
      <c r="AD269" s="17">
        <v>0</v>
      </c>
      <c r="AE269" s="17">
        <v>0</v>
      </c>
      <c r="AF269" s="17">
        <v>0</v>
      </c>
      <c r="AG269" s="17">
        <v>0</v>
      </c>
      <c r="AH269" s="17">
        <v>0</v>
      </c>
      <c r="AI269" s="17">
        <v>0</v>
      </c>
      <c r="AJ269" s="17">
        <v>0</v>
      </c>
      <c r="AK269" s="17">
        <v>0</v>
      </c>
      <c r="AL269" s="17">
        <v>0</v>
      </c>
      <c r="AM269" s="17">
        <v>0</v>
      </c>
      <c r="AN269" s="17">
        <v>0</v>
      </c>
      <c r="AO269" s="17">
        <v>0</v>
      </c>
      <c r="AP269" s="18">
        <f t="shared" si="4"/>
        <v>641659.70779999997</v>
      </c>
    </row>
    <row r="270" spans="1:42" ht="15" customHeight="1" x14ac:dyDescent="0.2">
      <c r="A270" s="16" t="s">
        <v>611</v>
      </c>
      <c r="B270" s="16" t="s">
        <v>330</v>
      </c>
      <c r="C270" s="16" t="s">
        <v>426</v>
      </c>
      <c r="D270" s="16" t="s">
        <v>511</v>
      </c>
      <c r="E270" s="17">
        <v>37184.407899999998</v>
      </c>
      <c r="F270" s="17">
        <v>33614.499199999998</v>
      </c>
      <c r="G270" s="17">
        <v>29231.4421</v>
      </c>
      <c r="H270" s="17">
        <v>27124.953399999999</v>
      </c>
      <c r="I270" s="17">
        <v>25295.195800000001</v>
      </c>
      <c r="J270" s="17">
        <v>23659.6577</v>
      </c>
      <c r="K270" s="17">
        <v>22181.312300000001</v>
      </c>
      <c r="L270" s="17">
        <v>20835.387699999999</v>
      </c>
      <c r="M270" s="17">
        <v>19585.045399999999</v>
      </c>
      <c r="N270" s="17">
        <v>18409.9427</v>
      </c>
      <c r="O270" s="17">
        <v>17305.346099999999</v>
      </c>
      <c r="P270" s="17">
        <v>16267.025299999999</v>
      </c>
      <c r="Q270" s="17">
        <v>15291.0038</v>
      </c>
      <c r="R270" s="17">
        <v>14373.543600000001</v>
      </c>
      <c r="S270" s="17">
        <v>13511.130999999999</v>
      </c>
      <c r="T270" s="17">
        <v>12700.463100000001</v>
      </c>
      <c r="U270" s="17">
        <v>11938.435299999999</v>
      </c>
      <c r="V270" s="17">
        <v>11222.129199999999</v>
      </c>
      <c r="W270" s="17">
        <v>7972.4736000000003</v>
      </c>
      <c r="X270" s="17">
        <v>0</v>
      </c>
      <c r="Y270" s="17">
        <v>0</v>
      </c>
      <c r="Z270" s="17">
        <v>0</v>
      </c>
      <c r="AA270" s="17">
        <v>0</v>
      </c>
      <c r="AB270" s="17">
        <v>0</v>
      </c>
      <c r="AC270" s="17">
        <v>0</v>
      </c>
      <c r="AD270" s="17">
        <v>0</v>
      </c>
      <c r="AE270" s="17">
        <v>0</v>
      </c>
      <c r="AF270" s="17">
        <v>0</v>
      </c>
      <c r="AG270" s="17">
        <v>0</v>
      </c>
      <c r="AH270" s="17">
        <v>0</v>
      </c>
      <c r="AI270" s="17">
        <v>0</v>
      </c>
      <c r="AJ270" s="17">
        <v>0</v>
      </c>
      <c r="AK270" s="17">
        <v>0</v>
      </c>
      <c r="AL270" s="17">
        <v>0</v>
      </c>
      <c r="AM270" s="17">
        <v>0</v>
      </c>
      <c r="AN270" s="17">
        <v>0</v>
      </c>
      <c r="AO270" s="17">
        <v>0</v>
      </c>
      <c r="AP270" s="18">
        <f t="shared" si="4"/>
        <v>377703.39520000003</v>
      </c>
    </row>
    <row r="271" spans="1:42" ht="15" customHeight="1" x14ac:dyDescent="0.2">
      <c r="A271" s="16" t="s">
        <v>615</v>
      </c>
      <c r="B271" s="16" t="s">
        <v>616</v>
      </c>
      <c r="C271" s="16" t="s">
        <v>217</v>
      </c>
      <c r="D271" s="16" t="s">
        <v>511</v>
      </c>
      <c r="E271" s="17">
        <v>10045.9316</v>
      </c>
      <c r="F271" s="17">
        <v>6834.3491000000004</v>
      </c>
      <c r="G271" s="17">
        <v>5186.1387999999997</v>
      </c>
      <c r="H271" s="17">
        <v>4180.4265999999998</v>
      </c>
      <c r="I271" s="17">
        <v>3502.1318999999999</v>
      </c>
      <c r="J271" s="17">
        <v>3013.5275999999999</v>
      </c>
      <c r="K271" s="17">
        <v>1581.7420999999999</v>
      </c>
      <c r="L271" s="17">
        <v>0</v>
      </c>
      <c r="M271" s="17">
        <v>0</v>
      </c>
      <c r="N271" s="17">
        <v>0</v>
      </c>
      <c r="O271" s="17">
        <v>0</v>
      </c>
      <c r="P271" s="17">
        <v>0</v>
      </c>
      <c r="Q271" s="17">
        <v>0</v>
      </c>
      <c r="R271" s="17">
        <v>0</v>
      </c>
      <c r="S271" s="17">
        <v>0</v>
      </c>
      <c r="T271" s="17">
        <v>0</v>
      </c>
      <c r="U271" s="17">
        <v>0</v>
      </c>
      <c r="V271" s="17">
        <v>0</v>
      </c>
      <c r="W271" s="17">
        <v>0</v>
      </c>
      <c r="X271" s="17">
        <v>0</v>
      </c>
      <c r="Y271" s="17">
        <v>0</v>
      </c>
      <c r="Z271" s="17">
        <v>0</v>
      </c>
      <c r="AA271" s="17">
        <v>0</v>
      </c>
      <c r="AB271" s="17">
        <v>0</v>
      </c>
      <c r="AC271" s="17">
        <v>0</v>
      </c>
      <c r="AD271" s="17">
        <v>0</v>
      </c>
      <c r="AE271" s="17">
        <v>0</v>
      </c>
      <c r="AF271" s="17">
        <v>0</v>
      </c>
      <c r="AG271" s="17">
        <v>0</v>
      </c>
      <c r="AH271" s="17">
        <v>0</v>
      </c>
      <c r="AI271" s="17">
        <v>0</v>
      </c>
      <c r="AJ271" s="17">
        <v>0</v>
      </c>
      <c r="AK271" s="17">
        <v>0</v>
      </c>
      <c r="AL271" s="17">
        <v>0</v>
      </c>
      <c r="AM271" s="17">
        <v>0</v>
      </c>
      <c r="AN271" s="17">
        <v>0</v>
      </c>
      <c r="AO271" s="17">
        <v>0</v>
      </c>
      <c r="AP271" s="18">
        <f t="shared" si="4"/>
        <v>34344.2477</v>
      </c>
    </row>
    <row r="272" spans="1:42" ht="15" customHeight="1" x14ac:dyDescent="0.2">
      <c r="A272" s="16" t="s">
        <v>615</v>
      </c>
      <c r="B272" s="16" t="s">
        <v>616</v>
      </c>
      <c r="C272" s="16" t="s">
        <v>218</v>
      </c>
      <c r="D272" s="16" t="s">
        <v>511</v>
      </c>
      <c r="E272" s="17">
        <v>76902.506500000003</v>
      </c>
      <c r="F272" s="17">
        <v>96567.810899999997</v>
      </c>
      <c r="G272" s="17">
        <v>82972.465400000001</v>
      </c>
      <c r="H272" s="17">
        <v>74232.356599999999</v>
      </c>
      <c r="I272" s="17">
        <v>67233.713300000003</v>
      </c>
      <c r="J272" s="17">
        <v>61479.4326</v>
      </c>
      <c r="K272" s="17">
        <v>56626.249499999998</v>
      </c>
      <c r="L272" s="17">
        <v>52450.457999999999</v>
      </c>
      <c r="M272" s="17">
        <v>48798.4755</v>
      </c>
      <c r="N272" s="17">
        <v>45563.679100000001</v>
      </c>
      <c r="O272" s="17">
        <v>32258.485799999999</v>
      </c>
      <c r="P272" s="17">
        <v>0</v>
      </c>
      <c r="Q272" s="17">
        <v>0</v>
      </c>
      <c r="R272" s="17">
        <v>0</v>
      </c>
      <c r="S272" s="17">
        <v>0</v>
      </c>
      <c r="T272" s="17">
        <v>0</v>
      </c>
      <c r="U272" s="17">
        <v>0</v>
      </c>
      <c r="V272" s="17">
        <v>0</v>
      </c>
      <c r="W272" s="17">
        <v>0</v>
      </c>
      <c r="X272" s="17">
        <v>0</v>
      </c>
      <c r="Y272" s="17">
        <v>0</v>
      </c>
      <c r="Z272" s="17">
        <v>0</v>
      </c>
      <c r="AA272" s="17">
        <v>0</v>
      </c>
      <c r="AB272" s="17">
        <v>0</v>
      </c>
      <c r="AC272" s="17">
        <v>0</v>
      </c>
      <c r="AD272" s="17">
        <v>0</v>
      </c>
      <c r="AE272" s="17">
        <v>0</v>
      </c>
      <c r="AF272" s="17">
        <v>0</v>
      </c>
      <c r="AG272" s="17">
        <v>0</v>
      </c>
      <c r="AH272" s="17">
        <v>0</v>
      </c>
      <c r="AI272" s="17">
        <v>0</v>
      </c>
      <c r="AJ272" s="17">
        <v>0</v>
      </c>
      <c r="AK272" s="17">
        <v>0</v>
      </c>
      <c r="AL272" s="17">
        <v>0</v>
      </c>
      <c r="AM272" s="17">
        <v>0</v>
      </c>
      <c r="AN272" s="17">
        <v>0</v>
      </c>
      <c r="AO272" s="17">
        <v>0</v>
      </c>
      <c r="AP272" s="18">
        <f t="shared" si="4"/>
        <v>695085.63320000004</v>
      </c>
    </row>
    <row r="273" spans="1:42" ht="15" customHeight="1" x14ac:dyDescent="0.2">
      <c r="A273" s="16" t="s">
        <v>615</v>
      </c>
      <c r="B273" s="16" t="s">
        <v>616</v>
      </c>
      <c r="C273" s="16" t="s">
        <v>219</v>
      </c>
      <c r="D273" s="16" t="s">
        <v>511</v>
      </c>
      <c r="E273" s="17">
        <v>47460.2212</v>
      </c>
      <c r="F273" s="17">
        <v>43249.499400000001</v>
      </c>
      <c r="G273" s="17">
        <v>39791.0717</v>
      </c>
      <c r="H273" s="17">
        <v>36872.947099999998</v>
      </c>
      <c r="I273" s="17">
        <v>34307.1178</v>
      </c>
      <c r="J273" s="17">
        <v>32004.070299999999</v>
      </c>
      <c r="K273" s="17">
        <v>29918.030599999998</v>
      </c>
      <c r="L273" s="17">
        <v>28015.465899999999</v>
      </c>
      <c r="M273" s="17">
        <v>26270.939900000001</v>
      </c>
      <c r="N273" s="17">
        <v>24664.578099999999</v>
      </c>
      <c r="O273" s="17">
        <v>17517.630499999999</v>
      </c>
      <c r="P273" s="17">
        <v>0</v>
      </c>
      <c r="Q273" s="17">
        <v>0</v>
      </c>
      <c r="R273" s="17">
        <v>0</v>
      </c>
      <c r="S273" s="17">
        <v>0</v>
      </c>
      <c r="T273" s="17">
        <v>0</v>
      </c>
      <c r="U273" s="17">
        <v>0</v>
      </c>
      <c r="V273" s="17">
        <v>0</v>
      </c>
      <c r="W273" s="17">
        <v>0</v>
      </c>
      <c r="X273" s="17">
        <v>0</v>
      </c>
      <c r="Y273" s="17">
        <v>0</v>
      </c>
      <c r="Z273" s="17">
        <v>0</v>
      </c>
      <c r="AA273" s="17">
        <v>0</v>
      </c>
      <c r="AB273" s="17">
        <v>0</v>
      </c>
      <c r="AC273" s="17">
        <v>0</v>
      </c>
      <c r="AD273" s="17">
        <v>0</v>
      </c>
      <c r="AE273" s="17">
        <v>0</v>
      </c>
      <c r="AF273" s="17">
        <v>0</v>
      </c>
      <c r="AG273" s="17">
        <v>0</v>
      </c>
      <c r="AH273" s="17">
        <v>0</v>
      </c>
      <c r="AI273" s="17">
        <v>0</v>
      </c>
      <c r="AJ273" s="17">
        <v>0</v>
      </c>
      <c r="AK273" s="17">
        <v>0</v>
      </c>
      <c r="AL273" s="17">
        <v>0</v>
      </c>
      <c r="AM273" s="17">
        <v>0</v>
      </c>
      <c r="AN273" s="17">
        <v>0</v>
      </c>
      <c r="AO273" s="17">
        <v>0</v>
      </c>
      <c r="AP273" s="18">
        <f t="shared" si="4"/>
        <v>360071.57250000001</v>
      </c>
    </row>
    <row r="274" spans="1:42" ht="15" customHeight="1" x14ac:dyDescent="0.2">
      <c r="A274" s="16" t="s">
        <v>615</v>
      </c>
      <c r="B274" s="16" t="s">
        <v>429</v>
      </c>
      <c r="C274" s="16" t="s">
        <v>179</v>
      </c>
      <c r="D274" s="16" t="s">
        <v>511</v>
      </c>
      <c r="E274" s="17">
        <v>175300.48550000001</v>
      </c>
      <c r="F274" s="17">
        <v>149959.80540000001</v>
      </c>
      <c r="G274" s="17">
        <v>154355.61679999999</v>
      </c>
      <c r="H274" s="17">
        <v>146756.7267</v>
      </c>
      <c r="I274" s="17">
        <v>131025.5159</v>
      </c>
      <c r="J274" s="17">
        <v>118454.3996</v>
      </c>
      <c r="K274" s="17">
        <v>108151.433</v>
      </c>
      <c r="L274" s="17">
        <v>99519.900699999998</v>
      </c>
      <c r="M274" s="17">
        <v>92140.228900000002</v>
      </c>
      <c r="N274" s="17">
        <v>85735.858900000007</v>
      </c>
      <c r="O274" s="17">
        <v>67325.325800000006</v>
      </c>
      <c r="P274" s="17">
        <v>0</v>
      </c>
      <c r="Q274" s="17">
        <v>0</v>
      </c>
      <c r="R274" s="17">
        <v>0</v>
      </c>
      <c r="S274" s="17">
        <v>0</v>
      </c>
      <c r="T274" s="17">
        <v>0</v>
      </c>
      <c r="U274" s="17">
        <v>0</v>
      </c>
      <c r="V274" s="17">
        <v>0</v>
      </c>
      <c r="W274" s="17">
        <v>0</v>
      </c>
      <c r="X274" s="17">
        <v>0</v>
      </c>
      <c r="Y274" s="17">
        <v>0</v>
      </c>
      <c r="Z274" s="17">
        <v>0</v>
      </c>
      <c r="AA274" s="17">
        <v>0</v>
      </c>
      <c r="AB274" s="17">
        <v>0</v>
      </c>
      <c r="AC274" s="17">
        <v>0</v>
      </c>
      <c r="AD274" s="17">
        <v>0</v>
      </c>
      <c r="AE274" s="17">
        <v>0</v>
      </c>
      <c r="AF274" s="17">
        <v>0</v>
      </c>
      <c r="AG274" s="17">
        <v>0</v>
      </c>
      <c r="AH274" s="17">
        <v>0</v>
      </c>
      <c r="AI274" s="17">
        <v>0</v>
      </c>
      <c r="AJ274" s="17">
        <v>0</v>
      </c>
      <c r="AK274" s="17">
        <v>0</v>
      </c>
      <c r="AL274" s="17">
        <v>0</v>
      </c>
      <c r="AM274" s="17">
        <v>0</v>
      </c>
      <c r="AN274" s="17">
        <v>0</v>
      </c>
      <c r="AO274" s="17">
        <v>0</v>
      </c>
      <c r="AP274" s="18">
        <f t="shared" si="4"/>
        <v>1328725.2971999999</v>
      </c>
    </row>
    <row r="275" spans="1:42" ht="15" customHeight="1" x14ac:dyDescent="0.2">
      <c r="A275" s="16" t="s">
        <v>615</v>
      </c>
      <c r="B275" s="16" t="s">
        <v>429</v>
      </c>
      <c r="C275" s="16" t="s">
        <v>429</v>
      </c>
      <c r="D275" s="16" t="s">
        <v>511</v>
      </c>
      <c r="E275" s="17">
        <v>15819.3475</v>
      </c>
      <c r="F275" s="17">
        <v>14667.210999999999</v>
      </c>
      <c r="G275" s="17">
        <v>13671.5638</v>
      </c>
      <c r="H275" s="17">
        <v>12802.5363</v>
      </c>
      <c r="I275" s="17">
        <v>12028.156300000001</v>
      </c>
      <c r="J275" s="17">
        <v>11306.466899999999</v>
      </c>
      <c r="K275" s="17">
        <v>10628.0789</v>
      </c>
      <c r="L275" s="17">
        <v>9990.3942000000006</v>
      </c>
      <c r="M275" s="17">
        <v>9390.9704999999994</v>
      </c>
      <c r="N275" s="17">
        <v>8827.5123000000003</v>
      </c>
      <c r="O275" s="17">
        <v>6972.5420999999997</v>
      </c>
      <c r="P275" s="17">
        <v>0</v>
      </c>
      <c r="Q275" s="17">
        <v>0</v>
      </c>
      <c r="R275" s="17">
        <v>0</v>
      </c>
      <c r="S275" s="17">
        <v>0</v>
      </c>
      <c r="T275" s="17">
        <v>0</v>
      </c>
      <c r="U275" s="17">
        <v>0</v>
      </c>
      <c r="V275" s="17">
        <v>0</v>
      </c>
      <c r="W275" s="17">
        <v>0</v>
      </c>
      <c r="X275" s="17">
        <v>0</v>
      </c>
      <c r="Y275" s="17">
        <v>0</v>
      </c>
      <c r="Z275" s="17">
        <v>0</v>
      </c>
      <c r="AA275" s="17">
        <v>0</v>
      </c>
      <c r="AB275" s="17">
        <v>0</v>
      </c>
      <c r="AC275" s="17">
        <v>0</v>
      </c>
      <c r="AD275" s="17">
        <v>0</v>
      </c>
      <c r="AE275" s="17">
        <v>0</v>
      </c>
      <c r="AF275" s="17">
        <v>0</v>
      </c>
      <c r="AG275" s="17">
        <v>0</v>
      </c>
      <c r="AH275" s="17">
        <v>0</v>
      </c>
      <c r="AI275" s="17">
        <v>0</v>
      </c>
      <c r="AJ275" s="17">
        <v>0</v>
      </c>
      <c r="AK275" s="17">
        <v>0</v>
      </c>
      <c r="AL275" s="17">
        <v>0</v>
      </c>
      <c r="AM275" s="17">
        <v>0</v>
      </c>
      <c r="AN275" s="17">
        <v>0</v>
      </c>
      <c r="AO275" s="17">
        <v>0</v>
      </c>
      <c r="AP275" s="18">
        <f t="shared" si="4"/>
        <v>126104.77979999999</v>
      </c>
    </row>
    <row r="276" spans="1:42" ht="15" customHeight="1" x14ac:dyDescent="0.2">
      <c r="A276" s="16" t="s">
        <v>617</v>
      </c>
      <c r="B276" s="16" t="s">
        <v>618</v>
      </c>
      <c r="C276" s="16" t="s">
        <v>178</v>
      </c>
      <c r="D276" s="16" t="s">
        <v>511</v>
      </c>
      <c r="E276" s="17">
        <v>387328.04619999998</v>
      </c>
      <c r="F276" s="17">
        <v>235438.72289999999</v>
      </c>
      <c r="G276" s="17">
        <v>121977.5252</v>
      </c>
      <c r="H276" s="17">
        <v>13781.936299999999</v>
      </c>
      <c r="I276" s="17">
        <v>282.37470000000002</v>
      </c>
      <c r="J276" s="17">
        <v>0</v>
      </c>
      <c r="K276" s="17">
        <v>0</v>
      </c>
      <c r="L276" s="17">
        <v>0</v>
      </c>
      <c r="M276" s="17">
        <v>0</v>
      </c>
      <c r="N276" s="17">
        <v>0</v>
      </c>
      <c r="O276" s="17">
        <v>0</v>
      </c>
      <c r="P276" s="17">
        <v>0</v>
      </c>
      <c r="Q276" s="17">
        <v>0</v>
      </c>
      <c r="R276" s="17">
        <v>0</v>
      </c>
      <c r="S276" s="17">
        <v>0</v>
      </c>
      <c r="T276" s="17">
        <v>0</v>
      </c>
      <c r="U276" s="17">
        <v>0</v>
      </c>
      <c r="V276" s="17">
        <v>0</v>
      </c>
      <c r="W276" s="17">
        <v>0</v>
      </c>
      <c r="X276" s="17">
        <v>0</v>
      </c>
      <c r="Y276" s="17">
        <v>0</v>
      </c>
      <c r="Z276" s="17">
        <v>0</v>
      </c>
      <c r="AA276" s="17">
        <v>0</v>
      </c>
      <c r="AB276" s="17">
        <v>0</v>
      </c>
      <c r="AC276" s="17">
        <v>0</v>
      </c>
      <c r="AD276" s="17">
        <v>0</v>
      </c>
      <c r="AE276" s="17">
        <v>0</v>
      </c>
      <c r="AF276" s="17">
        <v>0</v>
      </c>
      <c r="AG276" s="17">
        <v>0</v>
      </c>
      <c r="AH276" s="17">
        <v>0</v>
      </c>
      <c r="AI276" s="17">
        <v>0</v>
      </c>
      <c r="AJ276" s="17">
        <v>0</v>
      </c>
      <c r="AK276" s="17">
        <v>0</v>
      </c>
      <c r="AL276" s="17">
        <v>0</v>
      </c>
      <c r="AM276" s="17">
        <v>0</v>
      </c>
      <c r="AN276" s="17">
        <v>0</v>
      </c>
      <c r="AO276" s="17">
        <v>0</v>
      </c>
      <c r="AP276" s="18">
        <f t="shared" si="4"/>
        <v>758808.60529999994</v>
      </c>
    </row>
    <row r="277" spans="1:42" ht="15" customHeight="1" x14ac:dyDescent="0.2">
      <c r="A277" s="16" t="s">
        <v>617</v>
      </c>
      <c r="B277" s="16" t="s">
        <v>618</v>
      </c>
      <c r="C277" s="16" t="s">
        <v>376</v>
      </c>
      <c r="D277" s="16" t="s">
        <v>511</v>
      </c>
      <c r="E277" s="17">
        <v>773030.0821</v>
      </c>
      <c r="F277" s="17">
        <v>163198.07930000001</v>
      </c>
      <c r="G277" s="17">
        <v>76894.969599999997</v>
      </c>
      <c r="H277" s="17">
        <v>11619.857599999999</v>
      </c>
      <c r="I277" s="17">
        <v>0</v>
      </c>
      <c r="J277" s="17">
        <v>0</v>
      </c>
      <c r="K277" s="17">
        <v>0</v>
      </c>
      <c r="L277" s="17">
        <v>0</v>
      </c>
      <c r="M277" s="17">
        <v>0</v>
      </c>
      <c r="N277" s="17">
        <v>0</v>
      </c>
      <c r="O277" s="17">
        <v>0</v>
      </c>
      <c r="P277" s="17">
        <v>0</v>
      </c>
      <c r="Q277" s="17">
        <v>0</v>
      </c>
      <c r="R277" s="17">
        <v>0</v>
      </c>
      <c r="S277" s="17">
        <v>0</v>
      </c>
      <c r="T277" s="17">
        <v>0</v>
      </c>
      <c r="U277" s="17">
        <v>0</v>
      </c>
      <c r="V277" s="17">
        <v>0</v>
      </c>
      <c r="W277" s="17">
        <v>0</v>
      </c>
      <c r="X277" s="17">
        <v>0</v>
      </c>
      <c r="Y277" s="17">
        <v>0</v>
      </c>
      <c r="Z277" s="17">
        <v>0</v>
      </c>
      <c r="AA277" s="17">
        <v>0</v>
      </c>
      <c r="AB277" s="17">
        <v>0</v>
      </c>
      <c r="AC277" s="17">
        <v>0</v>
      </c>
      <c r="AD277" s="17">
        <v>0</v>
      </c>
      <c r="AE277" s="17">
        <v>0</v>
      </c>
      <c r="AF277" s="17">
        <v>0</v>
      </c>
      <c r="AG277" s="17">
        <v>0</v>
      </c>
      <c r="AH277" s="17">
        <v>0</v>
      </c>
      <c r="AI277" s="17">
        <v>0</v>
      </c>
      <c r="AJ277" s="17">
        <v>0</v>
      </c>
      <c r="AK277" s="17">
        <v>0</v>
      </c>
      <c r="AL277" s="17">
        <v>0</v>
      </c>
      <c r="AM277" s="17">
        <v>0</v>
      </c>
      <c r="AN277" s="17">
        <v>0</v>
      </c>
      <c r="AO277" s="17">
        <v>0</v>
      </c>
      <c r="AP277" s="18">
        <f t="shared" si="4"/>
        <v>1024742.9885999999</v>
      </c>
    </row>
    <row r="278" spans="1:42" ht="15" customHeight="1" x14ac:dyDescent="0.2">
      <c r="A278" s="16" t="s">
        <v>619</v>
      </c>
      <c r="B278" s="16" t="s">
        <v>232</v>
      </c>
      <c r="C278" s="16" t="s">
        <v>232</v>
      </c>
      <c r="D278" s="16" t="s">
        <v>511</v>
      </c>
      <c r="E278" s="17">
        <v>21331</v>
      </c>
      <c r="F278" s="17">
        <v>19542</v>
      </c>
      <c r="G278" s="17">
        <v>14606</v>
      </c>
      <c r="H278" s="17">
        <v>20399</v>
      </c>
      <c r="I278" s="17">
        <v>36508</v>
      </c>
      <c r="J278" s="17">
        <v>41026</v>
      </c>
      <c r="K278" s="17">
        <v>34875</v>
      </c>
      <c r="L278" s="17">
        <v>29775</v>
      </c>
      <c r="M278" s="17">
        <v>25487</v>
      </c>
      <c r="N278" s="17">
        <v>21814</v>
      </c>
      <c r="O278" s="17">
        <v>18673</v>
      </c>
      <c r="P278" s="17">
        <v>16056</v>
      </c>
      <c r="Q278" s="17">
        <v>13868</v>
      </c>
      <c r="R278" s="17">
        <v>11980</v>
      </c>
      <c r="S278" s="17">
        <v>10240</v>
      </c>
      <c r="T278" s="17">
        <v>8860</v>
      </c>
      <c r="U278" s="17">
        <v>7694</v>
      </c>
      <c r="V278" s="17">
        <v>6527</v>
      </c>
      <c r="W278" s="17">
        <v>5545</v>
      </c>
      <c r="X278" s="17">
        <v>4969</v>
      </c>
      <c r="Y278" s="17">
        <v>4266</v>
      </c>
      <c r="Z278" s="17">
        <v>3744</v>
      </c>
      <c r="AA278" s="17">
        <v>3242</v>
      </c>
      <c r="AB278" s="17">
        <v>0</v>
      </c>
      <c r="AC278" s="17">
        <v>0</v>
      </c>
      <c r="AD278" s="17">
        <v>0</v>
      </c>
      <c r="AE278" s="17">
        <v>0</v>
      </c>
      <c r="AF278" s="17">
        <v>0</v>
      </c>
      <c r="AG278" s="17">
        <v>0</v>
      </c>
      <c r="AH278" s="17">
        <v>0</v>
      </c>
      <c r="AI278" s="17">
        <v>0</v>
      </c>
      <c r="AJ278" s="17">
        <v>0</v>
      </c>
      <c r="AK278" s="17">
        <v>0</v>
      </c>
      <c r="AL278" s="17">
        <v>0</v>
      </c>
      <c r="AM278" s="17">
        <v>0</v>
      </c>
      <c r="AN278" s="17">
        <v>0</v>
      </c>
      <c r="AO278" s="17">
        <v>0</v>
      </c>
      <c r="AP278" s="18">
        <f t="shared" si="4"/>
        <v>381027</v>
      </c>
    </row>
    <row r="279" spans="1:42" ht="15" customHeight="1" x14ac:dyDescent="0.2">
      <c r="A279" s="16" t="s">
        <v>619</v>
      </c>
      <c r="B279" s="16" t="s">
        <v>235</v>
      </c>
      <c r="C279" s="16" t="s">
        <v>235</v>
      </c>
      <c r="D279" s="16" t="s">
        <v>511</v>
      </c>
      <c r="E279" s="17">
        <v>41666</v>
      </c>
      <c r="F279" s="17">
        <v>33752</v>
      </c>
      <c r="G279" s="17">
        <v>0</v>
      </c>
      <c r="H279" s="17">
        <v>0</v>
      </c>
      <c r="I279" s="17">
        <v>0</v>
      </c>
      <c r="J279" s="17">
        <v>0</v>
      </c>
      <c r="K279" s="17">
        <v>0</v>
      </c>
      <c r="L279" s="17">
        <v>0</v>
      </c>
      <c r="M279" s="17">
        <v>0</v>
      </c>
      <c r="N279" s="17">
        <v>0</v>
      </c>
      <c r="O279" s="17">
        <v>0</v>
      </c>
      <c r="P279" s="17">
        <v>0</v>
      </c>
      <c r="Q279" s="17">
        <v>0</v>
      </c>
      <c r="R279" s="17">
        <v>0</v>
      </c>
      <c r="S279" s="17">
        <v>0</v>
      </c>
      <c r="T279" s="17">
        <v>0</v>
      </c>
      <c r="U279" s="17">
        <v>0</v>
      </c>
      <c r="V279" s="17">
        <v>0</v>
      </c>
      <c r="W279" s="17">
        <v>0</v>
      </c>
      <c r="X279" s="17">
        <v>0</v>
      </c>
      <c r="Y279" s="17">
        <v>0</v>
      </c>
      <c r="Z279" s="17">
        <v>0</v>
      </c>
      <c r="AA279" s="17">
        <v>0</v>
      </c>
      <c r="AB279" s="17">
        <v>0</v>
      </c>
      <c r="AC279" s="17">
        <v>0</v>
      </c>
      <c r="AD279" s="17">
        <v>0</v>
      </c>
      <c r="AE279" s="17">
        <v>0</v>
      </c>
      <c r="AF279" s="17">
        <v>0</v>
      </c>
      <c r="AG279" s="17">
        <v>0</v>
      </c>
      <c r="AH279" s="17">
        <v>0</v>
      </c>
      <c r="AI279" s="17">
        <v>0</v>
      </c>
      <c r="AJ279" s="17">
        <v>0</v>
      </c>
      <c r="AK279" s="17">
        <v>0</v>
      </c>
      <c r="AL279" s="17">
        <v>0</v>
      </c>
      <c r="AM279" s="17">
        <v>0</v>
      </c>
      <c r="AN279" s="17">
        <v>0</v>
      </c>
      <c r="AO279" s="17">
        <v>0</v>
      </c>
      <c r="AP279" s="18">
        <f t="shared" si="4"/>
        <v>75418</v>
      </c>
    </row>
    <row r="280" spans="1:42" ht="15" customHeight="1" x14ac:dyDescent="0.2">
      <c r="A280" s="16" t="s">
        <v>619</v>
      </c>
      <c r="B280" s="16" t="s">
        <v>620</v>
      </c>
      <c r="C280" s="16" t="s">
        <v>254</v>
      </c>
      <c r="D280" s="16" t="s">
        <v>511</v>
      </c>
      <c r="E280" s="17">
        <v>0</v>
      </c>
      <c r="F280" s="17">
        <v>11377</v>
      </c>
      <c r="G280" s="17">
        <v>14525</v>
      </c>
      <c r="H280" s="17">
        <v>10031</v>
      </c>
      <c r="I280" s="17">
        <v>6945</v>
      </c>
      <c r="J280" s="17">
        <v>0</v>
      </c>
      <c r="K280" s="17">
        <v>0</v>
      </c>
      <c r="L280" s="17">
        <v>0</v>
      </c>
      <c r="M280" s="17">
        <v>0</v>
      </c>
      <c r="N280" s="17">
        <v>0</v>
      </c>
      <c r="O280" s="17">
        <v>0</v>
      </c>
      <c r="P280" s="17">
        <v>0</v>
      </c>
      <c r="Q280" s="17">
        <v>0</v>
      </c>
      <c r="R280" s="17">
        <v>0</v>
      </c>
      <c r="S280" s="17">
        <v>0</v>
      </c>
      <c r="T280" s="17">
        <v>0</v>
      </c>
      <c r="U280" s="17">
        <v>0</v>
      </c>
      <c r="V280" s="17">
        <v>0</v>
      </c>
      <c r="W280" s="17">
        <v>0</v>
      </c>
      <c r="X280" s="17">
        <v>0</v>
      </c>
      <c r="Y280" s="17">
        <v>0</v>
      </c>
      <c r="Z280" s="17">
        <v>0</v>
      </c>
      <c r="AA280" s="17">
        <v>0</v>
      </c>
      <c r="AB280" s="17">
        <v>0</v>
      </c>
      <c r="AC280" s="17">
        <v>0</v>
      </c>
      <c r="AD280" s="17">
        <v>0</v>
      </c>
      <c r="AE280" s="17">
        <v>0</v>
      </c>
      <c r="AF280" s="17">
        <v>0</v>
      </c>
      <c r="AG280" s="17">
        <v>0</v>
      </c>
      <c r="AH280" s="17">
        <v>0</v>
      </c>
      <c r="AI280" s="17">
        <v>0</v>
      </c>
      <c r="AJ280" s="17">
        <v>0</v>
      </c>
      <c r="AK280" s="17">
        <v>0</v>
      </c>
      <c r="AL280" s="17">
        <v>0</v>
      </c>
      <c r="AM280" s="17">
        <v>0</v>
      </c>
      <c r="AN280" s="17">
        <v>0</v>
      </c>
      <c r="AO280" s="17">
        <v>0</v>
      </c>
      <c r="AP280" s="18">
        <f t="shared" si="4"/>
        <v>42878</v>
      </c>
    </row>
    <row r="281" spans="1:42" ht="15" customHeight="1" x14ac:dyDescent="0.2">
      <c r="A281" s="16" t="s">
        <v>621</v>
      </c>
      <c r="B281" s="16" t="s">
        <v>622</v>
      </c>
      <c r="C281" s="16" t="s">
        <v>204</v>
      </c>
      <c r="D281" s="16" t="s">
        <v>511</v>
      </c>
      <c r="E281" s="17">
        <v>158200</v>
      </c>
      <c r="F281" s="17">
        <v>188700</v>
      </c>
      <c r="G281" s="17">
        <v>169000</v>
      </c>
      <c r="H281" s="17">
        <v>151400</v>
      </c>
      <c r="I281" s="17">
        <v>135900</v>
      </c>
      <c r="J281" s="17">
        <v>122300</v>
      </c>
      <c r="K281" s="17">
        <v>110300</v>
      </c>
      <c r="L281" s="17">
        <v>99500</v>
      </c>
      <c r="M281" s="17">
        <v>90000</v>
      </c>
      <c r="N281" s="17">
        <v>81600</v>
      </c>
      <c r="O281" s="17">
        <v>71000</v>
      </c>
      <c r="P281" s="17">
        <v>41400</v>
      </c>
      <c r="Q281" s="17">
        <v>14300</v>
      </c>
      <c r="R281" s="17">
        <v>13600</v>
      </c>
      <c r="S281" s="17">
        <v>13000</v>
      </c>
      <c r="T281" s="17">
        <v>12400</v>
      </c>
      <c r="U281" s="17">
        <v>11800</v>
      </c>
      <c r="V281" s="17">
        <v>11300</v>
      </c>
      <c r="W281" s="17">
        <v>10800</v>
      </c>
      <c r="X281" s="17">
        <v>10400</v>
      </c>
      <c r="Y281" s="17">
        <v>10000</v>
      </c>
      <c r="Z281" s="17">
        <v>8700</v>
      </c>
      <c r="AA281" s="17">
        <v>8400</v>
      </c>
      <c r="AB281" s="17">
        <v>8000</v>
      </c>
      <c r="AC281" s="17">
        <v>7700</v>
      </c>
      <c r="AD281" s="17">
        <v>7400</v>
      </c>
      <c r="AE281" s="17">
        <v>7100</v>
      </c>
      <c r="AF281" s="17">
        <v>6800</v>
      </c>
      <c r="AG281" s="17">
        <v>6500</v>
      </c>
      <c r="AH281" s="17">
        <v>6300</v>
      </c>
      <c r="AI281" s="17">
        <v>6000</v>
      </c>
      <c r="AJ281" s="17">
        <v>5700</v>
      </c>
      <c r="AK281" s="17">
        <v>2800</v>
      </c>
      <c r="AL281" s="17">
        <v>0</v>
      </c>
      <c r="AM281" s="17">
        <v>0</v>
      </c>
      <c r="AN281" s="17">
        <v>0</v>
      </c>
      <c r="AO281" s="17">
        <v>0</v>
      </c>
      <c r="AP281" s="18">
        <f t="shared" si="4"/>
        <v>1608300</v>
      </c>
    </row>
    <row r="282" spans="1:42" ht="15" customHeight="1" x14ac:dyDescent="0.2">
      <c r="A282" s="16" t="s">
        <v>621</v>
      </c>
      <c r="B282" s="16" t="s">
        <v>622</v>
      </c>
      <c r="C282" s="16" t="s">
        <v>205</v>
      </c>
      <c r="D282" s="16" t="s">
        <v>511</v>
      </c>
      <c r="E282" s="17">
        <v>67700</v>
      </c>
      <c r="F282" s="17">
        <v>70500</v>
      </c>
      <c r="G282" s="17">
        <v>65800</v>
      </c>
      <c r="H282" s="17">
        <v>61300</v>
      </c>
      <c r="I282" s="17">
        <v>57200</v>
      </c>
      <c r="J282" s="17">
        <v>53300</v>
      </c>
      <c r="K282" s="17">
        <v>49700</v>
      </c>
      <c r="L282" s="17">
        <v>35100</v>
      </c>
      <c r="M282" s="17">
        <v>33200</v>
      </c>
      <c r="N282" s="17">
        <v>31300</v>
      </c>
      <c r="O282" s="17">
        <v>29600</v>
      </c>
      <c r="P282" s="17">
        <v>28000</v>
      </c>
      <c r="Q282" s="17">
        <v>26300</v>
      </c>
      <c r="R282" s="17">
        <v>24900</v>
      </c>
      <c r="S282" s="17">
        <v>23500</v>
      </c>
      <c r="T282" s="17">
        <v>22200</v>
      </c>
      <c r="U282" s="17">
        <v>21000</v>
      </c>
      <c r="V282" s="17">
        <v>19800</v>
      </c>
      <c r="W282" s="17">
        <v>18700</v>
      </c>
      <c r="X282" s="17">
        <v>17700</v>
      </c>
      <c r="Y282" s="17">
        <v>16700</v>
      </c>
      <c r="Z282" s="17">
        <v>15800</v>
      </c>
      <c r="AA282" s="17">
        <v>14900</v>
      </c>
      <c r="AB282" s="17">
        <v>14100</v>
      </c>
      <c r="AC282" s="17">
        <v>13300</v>
      </c>
      <c r="AD282" s="17">
        <v>12600</v>
      </c>
      <c r="AE282" s="17">
        <v>11900</v>
      </c>
      <c r="AF282" s="17">
        <v>11200</v>
      </c>
      <c r="AG282" s="17">
        <v>10600</v>
      </c>
      <c r="AH282" s="17">
        <v>10000</v>
      </c>
      <c r="AI282" s="17">
        <v>9500</v>
      </c>
      <c r="AJ282" s="17">
        <v>9000</v>
      </c>
      <c r="AK282" s="17">
        <v>4300</v>
      </c>
      <c r="AL282" s="17">
        <v>0</v>
      </c>
      <c r="AM282" s="17">
        <v>0</v>
      </c>
      <c r="AN282" s="17">
        <v>0</v>
      </c>
      <c r="AO282" s="17">
        <v>0</v>
      </c>
      <c r="AP282" s="18">
        <f t="shared" si="4"/>
        <v>910700</v>
      </c>
    </row>
    <row r="283" spans="1:42" ht="15" customHeight="1" x14ac:dyDescent="0.2">
      <c r="A283" s="16" t="s">
        <v>621</v>
      </c>
      <c r="B283" s="16" t="s">
        <v>622</v>
      </c>
      <c r="C283" s="16" t="s">
        <v>285</v>
      </c>
      <c r="D283" s="16" t="s">
        <v>511</v>
      </c>
      <c r="E283" s="17">
        <v>367500</v>
      </c>
      <c r="F283" s="17">
        <v>427600</v>
      </c>
      <c r="G283" s="17">
        <v>477100</v>
      </c>
      <c r="H283" s="17">
        <v>528900</v>
      </c>
      <c r="I283" s="17">
        <v>622500</v>
      </c>
      <c r="J283" s="17">
        <v>613700</v>
      </c>
      <c r="K283" s="17">
        <v>553000</v>
      </c>
      <c r="L283" s="17">
        <v>494100</v>
      </c>
      <c r="M283" s="17">
        <v>444600</v>
      </c>
      <c r="N283" s="17">
        <v>402000</v>
      </c>
      <c r="O283" s="17">
        <v>363800</v>
      </c>
      <c r="P283" s="17">
        <v>329500</v>
      </c>
      <c r="Q283" s="17">
        <v>292100</v>
      </c>
      <c r="R283" s="17">
        <v>253800</v>
      </c>
      <c r="S283" s="17">
        <v>225000</v>
      </c>
      <c r="T283" s="17">
        <v>186800</v>
      </c>
      <c r="U283" s="17">
        <v>170100</v>
      </c>
      <c r="V283" s="17">
        <v>156300</v>
      </c>
      <c r="W283" s="17">
        <v>143300</v>
      </c>
      <c r="X283" s="17">
        <v>132900</v>
      </c>
      <c r="Y283" s="17">
        <v>123500</v>
      </c>
      <c r="Z283" s="17">
        <v>113300</v>
      </c>
      <c r="AA283" s="17">
        <v>105200</v>
      </c>
      <c r="AB283" s="17">
        <v>95800</v>
      </c>
      <c r="AC283" s="17">
        <v>88400</v>
      </c>
      <c r="AD283" s="17">
        <v>82500</v>
      </c>
      <c r="AE283" s="17">
        <v>78100</v>
      </c>
      <c r="AF283" s="17">
        <v>69800</v>
      </c>
      <c r="AG283" s="17">
        <v>63500</v>
      </c>
      <c r="AH283" s="17">
        <v>58600</v>
      </c>
      <c r="AI283" s="17">
        <v>52000</v>
      </c>
      <c r="AJ283" s="17">
        <v>46000</v>
      </c>
      <c r="AK283" s="17">
        <v>21200</v>
      </c>
      <c r="AL283" s="17">
        <v>0</v>
      </c>
      <c r="AM283" s="17">
        <v>0</v>
      </c>
      <c r="AN283" s="17">
        <v>0</v>
      </c>
      <c r="AO283" s="17">
        <v>0</v>
      </c>
      <c r="AP283" s="18">
        <f t="shared" si="4"/>
        <v>8182500</v>
      </c>
    </row>
    <row r="284" spans="1:42" ht="15" customHeight="1" x14ac:dyDescent="0.2">
      <c r="A284" s="16" t="s">
        <v>621</v>
      </c>
      <c r="B284" s="16" t="s">
        <v>622</v>
      </c>
      <c r="C284" s="16" t="s">
        <v>342</v>
      </c>
      <c r="D284" s="16" t="s">
        <v>511</v>
      </c>
      <c r="E284" s="17">
        <v>182600</v>
      </c>
      <c r="F284" s="17">
        <v>241100</v>
      </c>
      <c r="G284" s="17">
        <v>304800</v>
      </c>
      <c r="H284" s="17">
        <v>355100</v>
      </c>
      <c r="I284" s="17">
        <v>339700</v>
      </c>
      <c r="J284" s="17">
        <v>308900</v>
      </c>
      <c r="K284" s="17">
        <v>281400</v>
      </c>
      <c r="L284" s="17">
        <v>257000</v>
      </c>
      <c r="M284" s="17">
        <v>235300</v>
      </c>
      <c r="N284" s="17">
        <v>215700</v>
      </c>
      <c r="O284" s="17">
        <v>198200</v>
      </c>
      <c r="P284" s="17">
        <v>182300</v>
      </c>
      <c r="Q284" s="17">
        <v>167200</v>
      </c>
      <c r="R284" s="17">
        <v>153900</v>
      </c>
      <c r="S284" s="17">
        <v>140500</v>
      </c>
      <c r="T284" s="17">
        <v>130300</v>
      </c>
      <c r="U284" s="17">
        <v>121000</v>
      </c>
      <c r="V284" s="17">
        <v>112600</v>
      </c>
      <c r="W284" s="17">
        <v>103800</v>
      </c>
      <c r="X284" s="17">
        <v>94900</v>
      </c>
      <c r="Y284" s="17">
        <v>88700</v>
      </c>
      <c r="Z284" s="17">
        <v>82300</v>
      </c>
      <c r="AA284" s="17">
        <v>75800</v>
      </c>
      <c r="AB284" s="17">
        <v>70200</v>
      </c>
      <c r="AC284" s="17">
        <v>64300</v>
      </c>
      <c r="AD284" s="17">
        <v>56600</v>
      </c>
      <c r="AE284" s="17">
        <v>53000</v>
      </c>
      <c r="AF284" s="17">
        <v>50100</v>
      </c>
      <c r="AG284" s="17">
        <v>46500</v>
      </c>
      <c r="AH284" s="17">
        <v>43400</v>
      </c>
      <c r="AI284" s="17">
        <v>41400</v>
      </c>
      <c r="AJ284" s="17">
        <v>38800</v>
      </c>
      <c r="AK284" s="17">
        <v>18400</v>
      </c>
      <c r="AL284" s="17">
        <v>0</v>
      </c>
      <c r="AM284" s="17">
        <v>0</v>
      </c>
      <c r="AN284" s="17">
        <v>0</v>
      </c>
      <c r="AO284" s="17">
        <v>0</v>
      </c>
      <c r="AP284" s="18">
        <f t="shared" si="4"/>
        <v>4855800</v>
      </c>
    </row>
    <row r="285" spans="1:42" ht="15" customHeight="1" x14ac:dyDescent="0.2">
      <c r="A285" s="16" t="s">
        <v>621</v>
      </c>
      <c r="B285" s="16" t="s">
        <v>622</v>
      </c>
      <c r="C285" s="16" t="s">
        <v>343</v>
      </c>
      <c r="D285" s="16" t="s">
        <v>511</v>
      </c>
      <c r="E285" s="17">
        <v>2400</v>
      </c>
      <c r="F285" s="17">
        <v>2400</v>
      </c>
      <c r="G285" s="17">
        <v>1800</v>
      </c>
      <c r="H285" s="17">
        <v>1700</v>
      </c>
      <c r="I285" s="17">
        <v>1600</v>
      </c>
      <c r="J285" s="17">
        <v>1500</v>
      </c>
      <c r="K285" s="17">
        <v>1400</v>
      </c>
      <c r="L285" s="17">
        <v>1400</v>
      </c>
      <c r="M285" s="17">
        <v>1300</v>
      </c>
      <c r="N285" s="17">
        <v>1200</v>
      </c>
      <c r="O285" s="17">
        <v>1200</v>
      </c>
      <c r="P285" s="17">
        <v>1100</v>
      </c>
      <c r="Q285" s="17">
        <v>1100</v>
      </c>
      <c r="R285" s="17">
        <v>1000</v>
      </c>
      <c r="S285" s="17">
        <v>1000</v>
      </c>
      <c r="T285" s="17">
        <v>900</v>
      </c>
      <c r="U285" s="17">
        <v>400</v>
      </c>
      <c r="V285" s="17">
        <v>0</v>
      </c>
      <c r="W285" s="17">
        <v>0</v>
      </c>
      <c r="X285" s="17">
        <v>0</v>
      </c>
      <c r="Y285" s="17">
        <v>0</v>
      </c>
      <c r="Z285" s="17">
        <v>0</v>
      </c>
      <c r="AA285" s="17">
        <v>0</v>
      </c>
      <c r="AB285" s="17">
        <v>0</v>
      </c>
      <c r="AC285" s="17">
        <v>0</v>
      </c>
      <c r="AD285" s="17">
        <v>0</v>
      </c>
      <c r="AE285" s="17">
        <v>0</v>
      </c>
      <c r="AF285" s="17">
        <v>0</v>
      </c>
      <c r="AG285" s="17">
        <v>0</v>
      </c>
      <c r="AH285" s="17">
        <v>0</v>
      </c>
      <c r="AI285" s="17">
        <v>0</v>
      </c>
      <c r="AJ285" s="17">
        <v>0</v>
      </c>
      <c r="AK285" s="17">
        <v>0</v>
      </c>
      <c r="AL285" s="17">
        <v>0</v>
      </c>
      <c r="AM285" s="17">
        <v>0</v>
      </c>
      <c r="AN285" s="17">
        <v>0</v>
      </c>
      <c r="AO285" s="17">
        <v>0</v>
      </c>
      <c r="AP285" s="18">
        <f t="shared" si="4"/>
        <v>23400</v>
      </c>
    </row>
    <row r="286" spans="1:42" ht="15" customHeight="1" x14ac:dyDescent="0.2">
      <c r="A286" s="16" t="s">
        <v>623</v>
      </c>
      <c r="B286" s="16" t="s">
        <v>487</v>
      </c>
      <c r="C286" s="16" t="s">
        <v>292</v>
      </c>
      <c r="D286" s="16" t="s">
        <v>511</v>
      </c>
      <c r="E286" s="17">
        <v>9891</v>
      </c>
      <c r="F286" s="17">
        <v>8243</v>
      </c>
      <c r="G286" s="17">
        <v>6890</v>
      </c>
      <c r="H286" s="17">
        <v>5758</v>
      </c>
      <c r="I286" s="17">
        <v>4826</v>
      </c>
      <c r="J286" s="17">
        <v>4024</v>
      </c>
      <c r="K286" s="17">
        <v>3362</v>
      </c>
      <c r="L286" s="17">
        <v>2811</v>
      </c>
      <c r="M286" s="17">
        <v>2355</v>
      </c>
      <c r="N286" s="17">
        <v>1964</v>
      </c>
      <c r="O286" s="17">
        <v>1641</v>
      </c>
      <c r="P286" s="17">
        <v>1372</v>
      </c>
      <c r="Q286" s="17">
        <v>0</v>
      </c>
      <c r="R286" s="17">
        <v>0</v>
      </c>
      <c r="S286" s="17">
        <v>0</v>
      </c>
      <c r="T286" s="17">
        <v>0</v>
      </c>
      <c r="U286" s="17">
        <v>0</v>
      </c>
      <c r="V286" s="17">
        <v>0</v>
      </c>
      <c r="W286" s="17">
        <v>0</v>
      </c>
      <c r="X286" s="17">
        <v>0</v>
      </c>
      <c r="Y286" s="17">
        <v>0</v>
      </c>
      <c r="Z286" s="17">
        <v>0</v>
      </c>
      <c r="AA286" s="17">
        <v>0</v>
      </c>
      <c r="AB286" s="17">
        <v>0</v>
      </c>
      <c r="AC286" s="17">
        <v>0</v>
      </c>
      <c r="AD286" s="17">
        <v>0</v>
      </c>
      <c r="AE286" s="17">
        <v>0</v>
      </c>
      <c r="AF286" s="17">
        <v>0</v>
      </c>
      <c r="AG286" s="17">
        <v>0</v>
      </c>
      <c r="AH286" s="17">
        <v>0</v>
      </c>
      <c r="AI286" s="17">
        <v>0</v>
      </c>
      <c r="AJ286" s="17">
        <v>0</v>
      </c>
      <c r="AK286" s="17">
        <v>0</v>
      </c>
      <c r="AL286" s="17">
        <v>0</v>
      </c>
      <c r="AM286" s="17">
        <v>0</v>
      </c>
      <c r="AN286" s="17">
        <v>0</v>
      </c>
      <c r="AO286" s="17">
        <v>0</v>
      </c>
      <c r="AP286" s="18">
        <f t="shared" si="4"/>
        <v>53137</v>
      </c>
    </row>
    <row r="287" spans="1:42" ht="15" customHeight="1" x14ac:dyDescent="0.2">
      <c r="A287" s="16" t="s">
        <v>624</v>
      </c>
      <c r="B287" s="16" t="s">
        <v>319</v>
      </c>
      <c r="C287" s="16" t="s">
        <v>312</v>
      </c>
      <c r="D287" s="16" t="s">
        <v>511</v>
      </c>
      <c r="E287" s="17">
        <v>22851.997100000001</v>
      </c>
      <c r="F287" s="17">
        <v>40551.4519</v>
      </c>
      <c r="G287" s="17">
        <v>24949.730500000001</v>
      </c>
      <c r="H287" s="17">
        <v>5341.2776000000003</v>
      </c>
      <c r="I287" s="17">
        <v>0</v>
      </c>
      <c r="J287" s="17">
        <v>0</v>
      </c>
      <c r="K287" s="17">
        <v>0</v>
      </c>
      <c r="L287" s="17">
        <v>0</v>
      </c>
      <c r="M287" s="17">
        <v>0</v>
      </c>
      <c r="N287" s="17">
        <v>0</v>
      </c>
      <c r="O287" s="17">
        <v>0</v>
      </c>
      <c r="P287" s="17">
        <v>0</v>
      </c>
      <c r="Q287" s="17">
        <v>0</v>
      </c>
      <c r="R287" s="17">
        <v>0</v>
      </c>
      <c r="S287" s="17">
        <v>0</v>
      </c>
      <c r="T287" s="17">
        <v>0</v>
      </c>
      <c r="U287" s="17">
        <v>0</v>
      </c>
      <c r="V287" s="17">
        <v>0</v>
      </c>
      <c r="W287" s="17">
        <v>0</v>
      </c>
      <c r="X287" s="17">
        <v>0</v>
      </c>
      <c r="Y287" s="17">
        <v>0</v>
      </c>
      <c r="Z287" s="17">
        <v>0</v>
      </c>
      <c r="AA287" s="17">
        <v>0</v>
      </c>
      <c r="AB287" s="17">
        <v>0</v>
      </c>
      <c r="AC287" s="17">
        <v>0</v>
      </c>
      <c r="AD287" s="17">
        <v>0</v>
      </c>
      <c r="AE287" s="17">
        <v>0</v>
      </c>
      <c r="AF287" s="17">
        <v>0</v>
      </c>
      <c r="AG287" s="17">
        <v>0</v>
      </c>
      <c r="AH287" s="17">
        <v>0</v>
      </c>
      <c r="AI287" s="17">
        <v>0</v>
      </c>
      <c r="AJ287" s="17">
        <v>0</v>
      </c>
      <c r="AK287" s="17">
        <v>0</v>
      </c>
      <c r="AL287" s="17">
        <v>0</v>
      </c>
      <c r="AM287" s="17">
        <v>0</v>
      </c>
      <c r="AN287" s="17">
        <v>0</v>
      </c>
      <c r="AO287" s="17">
        <v>0</v>
      </c>
      <c r="AP287" s="18">
        <f t="shared" si="4"/>
        <v>93694.4571</v>
      </c>
    </row>
    <row r="288" spans="1:42" ht="15" customHeight="1" x14ac:dyDescent="0.2">
      <c r="A288" s="16" t="s">
        <v>624</v>
      </c>
      <c r="B288" s="16" t="s">
        <v>319</v>
      </c>
      <c r="C288" s="16" t="s">
        <v>313</v>
      </c>
      <c r="D288" s="16" t="s">
        <v>511</v>
      </c>
      <c r="E288" s="17">
        <v>539376.09030000004</v>
      </c>
      <c r="F288" s="17">
        <v>802432.79579999996</v>
      </c>
      <c r="G288" s="17">
        <v>633649.99109999998</v>
      </c>
      <c r="H288" s="17">
        <v>476103.4952</v>
      </c>
      <c r="I288" s="17">
        <v>383887.93</v>
      </c>
      <c r="J288" s="17">
        <v>274604.59179999999</v>
      </c>
      <c r="K288" s="17">
        <v>211363.3597</v>
      </c>
      <c r="L288" s="17">
        <v>164903.52600000001</v>
      </c>
      <c r="M288" s="17">
        <v>72104.541700000002</v>
      </c>
      <c r="N288" s="17">
        <v>0</v>
      </c>
      <c r="O288" s="17">
        <v>0</v>
      </c>
      <c r="P288" s="17">
        <v>0</v>
      </c>
      <c r="Q288" s="17">
        <v>0</v>
      </c>
      <c r="R288" s="17">
        <v>0</v>
      </c>
      <c r="S288" s="17">
        <v>0</v>
      </c>
      <c r="T288" s="17">
        <v>0</v>
      </c>
      <c r="U288" s="17">
        <v>0</v>
      </c>
      <c r="V288" s="17">
        <v>0</v>
      </c>
      <c r="W288" s="17">
        <v>0</v>
      </c>
      <c r="X288" s="17">
        <v>0</v>
      </c>
      <c r="Y288" s="17">
        <v>0</v>
      </c>
      <c r="Z288" s="17">
        <v>0</v>
      </c>
      <c r="AA288" s="17">
        <v>0</v>
      </c>
      <c r="AB288" s="17">
        <v>0</v>
      </c>
      <c r="AC288" s="17">
        <v>0</v>
      </c>
      <c r="AD288" s="17">
        <v>0</v>
      </c>
      <c r="AE288" s="17">
        <v>0</v>
      </c>
      <c r="AF288" s="17">
        <v>0</v>
      </c>
      <c r="AG288" s="17">
        <v>0</v>
      </c>
      <c r="AH288" s="17">
        <v>0</v>
      </c>
      <c r="AI288" s="17">
        <v>0</v>
      </c>
      <c r="AJ288" s="17">
        <v>0</v>
      </c>
      <c r="AK288" s="17">
        <v>0</v>
      </c>
      <c r="AL288" s="17">
        <v>0</v>
      </c>
      <c r="AM288" s="17">
        <v>0</v>
      </c>
      <c r="AN288" s="17">
        <v>0</v>
      </c>
      <c r="AO288" s="17">
        <v>0</v>
      </c>
      <c r="AP288" s="18">
        <f t="shared" si="4"/>
        <v>3558426.3215999999</v>
      </c>
    </row>
    <row r="289" spans="1:42" ht="15" customHeight="1" x14ac:dyDescent="0.2">
      <c r="A289" s="16" t="s">
        <v>625</v>
      </c>
      <c r="B289" s="16" t="s">
        <v>195</v>
      </c>
      <c r="C289" s="16" t="s">
        <v>131</v>
      </c>
      <c r="D289" s="16" t="s">
        <v>511</v>
      </c>
      <c r="E289" s="17">
        <v>15881.019399999999</v>
      </c>
      <c r="F289" s="17">
        <v>13777.3626</v>
      </c>
      <c r="G289" s="17">
        <v>11987</v>
      </c>
      <c r="H289" s="17">
        <v>10430</v>
      </c>
      <c r="I289" s="17">
        <v>773</v>
      </c>
      <c r="J289" s="17">
        <v>0</v>
      </c>
      <c r="K289" s="17">
        <v>0</v>
      </c>
      <c r="L289" s="17">
        <v>0</v>
      </c>
      <c r="M289" s="17">
        <v>0</v>
      </c>
      <c r="N289" s="17">
        <v>0</v>
      </c>
      <c r="O289" s="17">
        <v>0</v>
      </c>
      <c r="P289" s="17">
        <v>0</v>
      </c>
      <c r="Q289" s="17">
        <v>0</v>
      </c>
      <c r="R289" s="17">
        <v>0</v>
      </c>
      <c r="S289" s="17">
        <v>0</v>
      </c>
      <c r="T289" s="17">
        <v>0</v>
      </c>
      <c r="U289" s="17">
        <v>0</v>
      </c>
      <c r="V289" s="17">
        <v>0</v>
      </c>
      <c r="W289" s="17">
        <v>0</v>
      </c>
      <c r="X289" s="17">
        <v>0</v>
      </c>
      <c r="Y289" s="17">
        <v>0</v>
      </c>
      <c r="Z289" s="17">
        <v>0</v>
      </c>
      <c r="AA289" s="17">
        <v>0</v>
      </c>
      <c r="AB289" s="17">
        <v>0</v>
      </c>
      <c r="AC289" s="17">
        <v>0</v>
      </c>
      <c r="AD289" s="17">
        <v>0</v>
      </c>
      <c r="AE289" s="17">
        <v>0</v>
      </c>
      <c r="AF289" s="17">
        <v>0</v>
      </c>
      <c r="AG289" s="17">
        <v>0</v>
      </c>
      <c r="AH289" s="17">
        <v>0</v>
      </c>
      <c r="AI289" s="17">
        <v>0</v>
      </c>
      <c r="AJ289" s="17">
        <v>0</v>
      </c>
      <c r="AK289" s="17">
        <v>0</v>
      </c>
      <c r="AL289" s="17">
        <v>0</v>
      </c>
      <c r="AM289" s="17">
        <v>0</v>
      </c>
      <c r="AN289" s="17">
        <v>0</v>
      </c>
      <c r="AO289" s="17">
        <v>0</v>
      </c>
      <c r="AP289" s="18">
        <f t="shared" si="4"/>
        <v>52848.381999999998</v>
      </c>
    </row>
    <row r="290" spans="1:42" ht="15" customHeight="1" x14ac:dyDescent="0.2">
      <c r="A290" s="16" t="s">
        <v>625</v>
      </c>
      <c r="B290" s="16" t="s">
        <v>195</v>
      </c>
      <c r="C290" s="16" t="s">
        <v>143</v>
      </c>
      <c r="D290" s="16" t="s">
        <v>511</v>
      </c>
      <c r="E290" s="17">
        <v>27325.918600000001</v>
      </c>
      <c r="F290" s="17">
        <v>29932.003700000001</v>
      </c>
      <c r="G290" s="17">
        <v>19752</v>
      </c>
      <c r="H290" s="17">
        <v>13038</v>
      </c>
      <c r="I290" s="17">
        <v>0</v>
      </c>
      <c r="J290" s="17">
        <v>0</v>
      </c>
      <c r="K290" s="17">
        <v>0</v>
      </c>
      <c r="L290" s="17">
        <v>0</v>
      </c>
      <c r="M290" s="17">
        <v>0</v>
      </c>
      <c r="N290" s="17">
        <v>0</v>
      </c>
      <c r="O290" s="17">
        <v>0</v>
      </c>
      <c r="P290" s="17">
        <v>0</v>
      </c>
      <c r="Q290" s="17">
        <v>0</v>
      </c>
      <c r="R290" s="17">
        <v>0</v>
      </c>
      <c r="S290" s="17">
        <v>0</v>
      </c>
      <c r="T290" s="17">
        <v>0</v>
      </c>
      <c r="U290" s="17">
        <v>0</v>
      </c>
      <c r="V290" s="17">
        <v>0</v>
      </c>
      <c r="W290" s="17">
        <v>0</v>
      </c>
      <c r="X290" s="17">
        <v>0</v>
      </c>
      <c r="Y290" s="17">
        <v>0</v>
      </c>
      <c r="Z290" s="17">
        <v>0</v>
      </c>
      <c r="AA290" s="17">
        <v>0</v>
      </c>
      <c r="AB290" s="17">
        <v>0</v>
      </c>
      <c r="AC290" s="17">
        <v>0</v>
      </c>
      <c r="AD290" s="17">
        <v>0</v>
      </c>
      <c r="AE290" s="17">
        <v>0</v>
      </c>
      <c r="AF290" s="17">
        <v>0</v>
      </c>
      <c r="AG290" s="17">
        <v>0</v>
      </c>
      <c r="AH290" s="17">
        <v>0</v>
      </c>
      <c r="AI290" s="17">
        <v>0</v>
      </c>
      <c r="AJ290" s="17">
        <v>0</v>
      </c>
      <c r="AK290" s="17">
        <v>0</v>
      </c>
      <c r="AL290" s="17">
        <v>0</v>
      </c>
      <c r="AM290" s="17">
        <v>0</v>
      </c>
      <c r="AN290" s="17">
        <v>0</v>
      </c>
      <c r="AO290" s="17">
        <v>0</v>
      </c>
      <c r="AP290" s="18">
        <f t="shared" si="4"/>
        <v>90047.922300000006</v>
      </c>
    </row>
    <row r="291" spans="1:42" ht="15" customHeight="1" x14ac:dyDescent="0.2">
      <c r="A291" s="16" t="s">
        <v>625</v>
      </c>
      <c r="B291" s="16" t="s">
        <v>195</v>
      </c>
      <c r="C291" s="16" t="s">
        <v>195</v>
      </c>
      <c r="D291" s="16" t="s">
        <v>511</v>
      </c>
      <c r="E291" s="17">
        <v>1116408.1094</v>
      </c>
      <c r="F291" s="17">
        <v>855771.70629999996</v>
      </c>
      <c r="G291" s="17">
        <v>647174</v>
      </c>
      <c r="H291" s="17">
        <v>525978</v>
      </c>
      <c r="I291" s="17">
        <v>33385</v>
      </c>
      <c r="J291" s="17">
        <v>0</v>
      </c>
      <c r="K291" s="17">
        <v>0</v>
      </c>
      <c r="L291" s="17">
        <v>0</v>
      </c>
      <c r="M291" s="17">
        <v>0</v>
      </c>
      <c r="N291" s="17">
        <v>0</v>
      </c>
      <c r="O291" s="17">
        <v>0</v>
      </c>
      <c r="P291" s="17">
        <v>0</v>
      </c>
      <c r="Q291" s="17">
        <v>0</v>
      </c>
      <c r="R291" s="17">
        <v>0</v>
      </c>
      <c r="S291" s="17">
        <v>0</v>
      </c>
      <c r="T291" s="17">
        <v>0</v>
      </c>
      <c r="U291" s="17">
        <v>0</v>
      </c>
      <c r="V291" s="17">
        <v>0</v>
      </c>
      <c r="W291" s="17">
        <v>0</v>
      </c>
      <c r="X291" s="17">
        <v>0</v>
      </c>
      <c r="Y291" s="17">
        <v>0</v>
      </c>
      <c r="Z291" s="17">
        <v>0</v>
      </c>
      <c r="AA291" s="17">
        <v>0</v>
      </c>
      <c r="AB291" s="17">
        <v>0</v>
      </c>
      <c r="AC291" s="17">
        <v>0</v>
      </c>
      <c r="AD291" s="17">
        <v>0</v>
      </c>
      <c r="AE291" s="17">
        <v>0</v>
      </c>
      <c r="AF291" s="17">
        <v>0</v>
      </c>
      <c r="AG291" s="17">
        <v>0</v>
      </c>
      <c r="AH291" s="17">
        <v>0</v>
      </c>
      <c r="AI291" s="17">
        <v>0</v>
      </c>
      <c r="AJ291" s="17">
        <v>0</v>
      </c>
      <c r="AK291" s="17">
        <v>0</v>
      </c>
      <c r="AL291" s="17">
        <v>0</v>
      </c>
      <c r="AM291" s="17">
        <v>0</v>
      </c>
      <c r="AN291" s="17">
        <v>0</v>
      </c>
      <c r="AO291" s="17">
        <v>0</v>
      </c>
      <c r="AP291" s="18">
        <f t="shared" si="4"/>
        <v>3178716.8157000002</v>
      </c>
    </row>
    <row r="292" spans="1:42" ht="15" customHeight="1" x14ac:dyDescent="0.2">
      <c r="A292" s="16" t="s">
        <v>625</v>
      </c>
      <c r="B292" s="16" t="s">
        <v>195</v>
      </c>
      <c r="C292" s="16" t="s">
        <v>243</v>
      </c>
      <c r="D292" s="16" t="s">
        <v>511</v>
      </c>
      <c r="E292" s="17">
        <v>9033.7981999999993</v>
      </c>
      <c r="F292" s="17">
        <v>6124.3743000000004</v>
      </c>
      <c r="G292" s="17">
        <v>4166</v>
      </c>
      <c r="H292" s="17">
        <v>0</v>
      </c>
      <c r="I292" s="17">
        <v>0</v>
      </c>
      <c r="J292" s="17">
        <v>0</v>
      </c>
      <c r="K292" s="17">
        <v>0</v>
      </c>
      <c r="L292" s="17">
        <v>0</v>
      </c>
      <c r="M292" s="17">
        <v>0</v>
      </c>
      <c r="N292" s="17">
        <v>0</v>
      </c>
      <c r="O292" s="17">
        <v>0</v>
      </c>
      <c r="P292" s="17">
        <v>0</v>
      </c>
      <c r="Q292" s="17">
        <v>0</v>
      </c>
      <c r="R292" s="17">
        <v>0</v>
      </c>
      <c r="S292" s="17">
        <v>0</v>
      </c>
      <c r="T292" s="17">
        <v>0</v>
      </c>
      <c r="U292" s="17">
        <v>0</v>
      </c>
      <c r="V292" s="17">
        <v>0</v>
      </c>
      <c r="W292" s="17">
        <v>0</v>
      </c>
      <c r="X292" s="17">
        <v>0</v>
      </c>
      <c r="Y292" s="17">
        <v>0</v>
      </c>
      <c r="Z292" s="17">
        <v>0</v>
      </c>
      <c r="AA292" s="17">
        <v>0</v>
      </c>
      <c r="AB292" s="17">
        <v>0</v>
      </c>
      <c r="AC292" s="17">
        <v>0</v>
      </c>
      <c r="AD292" s="17">
        <v>0</v>
      </c>
      <c r="AE292" s="17">
        <v>0</v>
      </c>
      <c r="AF292" s="17">
        <v>0</v>
      </c>
      <c r="AG292" s="17">
        <v>0</v>
      </c>
      <c r="AH292" s="17">
        <v>0</v>
      </c>
      <c r="AI292" s="17">
        <v>0</v>
      </c>
      <c r="AJ292" s="17">
        <v>0</v>
      </c>
      <c r="AK292" s="17">
        <v>0</v>
      </c>
      <c r="AL292" s="17">
        <v>0</v>
      </c>
      <c r="AM292" s="17">
        <v>0</v>
      </c>
      <c r="AN292" s="17">
        <v>0</v>
      </c>
      <c r="AO292" s="17">
        <v>0</v>
      </c>
      <c r="AP292" s="18">
        <f t="shared" si="4"/>
        <v>19324.172500000001</v>
      </c>
    </row>
    <row r="293" spans="1:42" ht="15" customHeight="1" x14ac:dyDescent="0.2">
      <c r="A293" s="16" t="s">
        <v>625</v>
      </c>
      <c r="B293" s="16" t="s">
        <v>195</v>
      </c>
      <c r="C293" s="16" t="s">
        <v>268</v>
      </c>
      <c r="D293" s="16" t="s">
        <v>511</v>
      </c>
      <c r="E293" s="17">
        <v>41471.744599999998</v>
      </c>
      <c r="F293" s="17">
        <v>41794.576300000001</v>
      </c>
      <c r="G293" s="17">
        <v>29140</v>
      </c>
      <c r="H293" s="17">
        <v>23257</v>
      </c>
      <c r="I293" s="17">
        <v>1644</v>
      </c>
      <c r="J293" s="17">
        <v>0</v>
      </c>
      <c r="K293" s="17">
        <v>0</v>
      </c>
      <c r="L293" s="17">
        <v>0</v>
      </c>
      <c r="M293" s="17">
        <v>0</v>
      </c>
      <c r="N293" s="17">
        <v>0</v>
      </c>
      <c r="O293" s="17">
        <v>0</v>
      </c>
      <c r="P293" s="17">
        <v>0</v>
      </c>
      <c r="Q293" s="17">
        <v>0</v>
      </c>
      <c r="R293" s="17">
        <v>0</v>
      </c>
      <c r="S293" s="17">
        <v>0</v>
      </c>
      <c r="T293" s="17">
        <v>0</v>
      </c>
      <c r="U293" s="17">
        <v>0</v>
      </c>
      <c r="V293" s="17">
        <v>0</v>
      </c>
      <c r="W293" s="17">
        <v>0</v>
      </c>
      <c r="X293" s="17">
        <v>0</v>
      </c>
      <c r="Y293" s="17">
        <v>0</v>
      </c>
      <c r="Z293" s="17">
        <v>0</v>
      </c>
      <c r="AA293" s="17">
        <v>0</v>
      </c>
      <c r="AB293" s="17">
        <v>0</v>
      </c>
      <c r="AC293" s="17">
        <v>0</v>
      </c>
      <c r="AD293" s="17">
        <v>0</v>
      </c>
      <c r="AE293" s="17">
        <v>0</v>
      </c>
      <c r="AF293" s="17">
        <v>0</v>
      </c>
      <c r="AG293" s="17">
        <v>0</v>
      </c>
      <c r="AH293" s="17">
        <v>0</v>
      </c>
      <c r="AI293" s="17">
        <v>0</v>
      </c>
      <c r="AJ293" s="17">
        <v>0</v>
      </c>
      <c r="AK293" s="17">
        <v>0</v>
      </c>
      <c r="AL293" s="17">
        <v>0</v>
      </c>
      <c r="AM293" s="17">
        <v>0</v>
      </c>
      <c r="AN293" s="17">
        <v>0</v>
      </c>
      <c r="AO293" s="17">
        <v>0</v>
      </c>
      <c r="AP293" s="18">
        <f t="shared" si="4"/>
        <v>137307.32089999999</v>
      </c>
    </row>
    <row r="294" spans="1:42" ht="15" customHeight="1" x14ac:dyDescent="0.2">
      <c r="A294" s="16" t="s">
        <v>625</v>
      </c>
      <c r="B294" s="16" t="s">
        <v>195</v>
      </c>
      <c r="C294" s="16" t="s">
        <v>302</v>
      </c>
      <c r="D294" s="16" t="s">
        <v>511</v>
      </c>
      <c r="E294" s="17">
        <v>38312.172500000001</v>
      </c>
      <c r="F294" s="17">
        <v>26737.942599999998</v>
      </c>
      <c r="G294" s="17">
        <v>18721</v>
      </c>
      <c r="H294" s="17">
        <v>13108</v>
      </c>
      <c r="I294" s="17">
        <v>781</v>
      </c>
      <c r="J294" s="17">
        <v>0</v>
      </c>
      <c r="K294" s="17">
        <v>0</v>
      </c>
      <c r="L294" s="17">
        <v>0</v>
      </c>
      <c r="M294" s="17">
        <v>0</v>
      </c>
      <c r="N294" s="17">
        <v>0</v>
      </c>
      <c r="O294" s="17">
        <v>0</v>
      </c>
      <c r="P294" s="17">
        <v>0</v>
      </c>
      <c r="Q294" s="17">
        <v>0</v>
      </c>
      <c r="R294" s="17">
        <v>0</v>
      </c>
      <c r="S294" s="17">
        <v>0</v>
      </c>
      <c r="T294" s="17">
        <v>0</v>
      </c>
      <c r="U294" s="17">
        <v>0</v>
      </c>
      <c r="V294" s="17">
        <v>0</v>
      </c>
      <c r="W294" s="17">
        <v>0</v>
      </c>
      <c r="X294" s="17">
        <v>0</v>
      </c>
      <c r="Y294" s="17">
        <v>0</v>
      </c>
      <c r="Z294" s="17">
        <v>0</v>
      </c>
      <c r="AA294" s="17">
        <v>0</v>
      </c>
      <c r="AB294" s="17">
        <v>0</v>
      </c>
      <c r="AC294" s="17">
        <v>0</v>
      </c>
      <c r="AD294" s="17">
        <v>0</v>
      </c>
      <c r="AE294" s="17">
        <v>0</v>
      </c>
      <c r="AF294" s="17">
        <v>0</v>
      </c>
      <c r="AG294" s="17">
        <v>0</v>
      </c>
      <c r="AH294" s="17">
        <v>0</v>
      </c>
      <c r="AI294" s="17">
        <v>0</v>
      </c>
      <c r="AJ294" s="17">
        <v>0</v>
      </c>
      <c r="AK294" s="17">
        <v>0</v>
      </c>
      <c r="AL294" s="17">
        <v>0</v>
      </c>
      <c r="AM294" s="17">
        <v>0</v>
      </c>
      <c r="AN294" s="17">
        <v>0</v>
      </c>
      <c r="AO294" s="17">
        <v>0</v>
      </c>
      <c r="AP294" s="18">
        <f t="shared" si="4"/>
        <v>97660.115099999995</v>
      </c>
    </row>
    <row r="295" spans="1:42" ht="15" customHeight="1" x14ac:dyDescent="0.2">
      <c r="A295" s="16" t="s">
        <v>625</v>
      </c>
      <c r="B295" s="16" t="s">
        <v>626</v>
      </c>
      <c r="C295" s="16" t="s">
        <v>158</v>
      </c>
      <c r="D295" s="16" t="s">
        <v>511</v>
      </c>
      <c r="E295" s="17">
        <v>190120</v>
      </c>
      <c r="F295" s="17">
        <v>188487</v>
      </c>
      <c r="G295" s="17">
        <v>182361</v>
      </c>
      <c r="H295" s="17">
        <v>132635</v>
      </c>
      <c r="I295" s="17">
        <v>104122</v>
      </c>
      <c r="J295" s="17">
        <v>85072</v>
      </c>
      <c r="K295" s="17">
        <v>62017</v>
      </c>
      <c r="L295" s="17">
        <v>0</v>
      </c>
      <c r="M295" s="17">
        <v>0</v>
      </c>
      <c r="N295" s="17">
        <v>0</v>
      </c>
      <c r="O295" s="17">
        <v>0</v>
      </c>
      <c r="P295" s="17">
        <v>0</v>
      </c>
      <c r="Q295" s="17">
        <v>0</v>
      </c>
      <c r="R295" s="17">
        <v>0</v>
      </c>
      <c r="S295" s="17">
        <v>0</v>
      </c>
      <c r="T295" s="17">
        <v>0</v>
      </c>
      <c r="U295" s="17">
        <v>0</v>
      </c>
      <c r="V295" s="17">
        <v>0</v>
      </c>
      <c r="W295" s="17">
        <v>0</v>
      </c>
      <c r="X295" s="17">
        <v>0</v>
      </c>
      <c r="Y295" s="17">
        <v>0</v>
      </c>
      <c r="Z295" s="17">
        <v>0</v>
      </c>
      <c r="AA295" s="17">
        <v>0</v>
      </c>
      <c r="AB295" s="17">
        <v>0</v>
      </c>
      <c r="AC295" s="17">
        <v>0</v>
      </c>
      <c r="AD295" s="17">
        <v>0</v>
      </c>
      <c r="AE295" s="17">
        <v>0</v>
      </c>
      <c r="AF295" s="17">
        <v>0</v>
      </c>
      <c r="AG295" s="17">
        <v>0</v>
      </c>
      <c r="AH295" s="17">
        <v>0</v>
      </c>
      <c r="AI295" s="17">
        <v>0</v>
      </c>
      <c r="AJ295" s="17">
        <v>0</v>
      </c>
      <c r="AK295" s="17">
        <v>0</v>
      </c>
      <c r="AL295" s="17">
        <v>0</v>
      </c>
      <c r="AM295" s="17">
        <v>0</v>
      </c>
      <c r="AN295" s="17">
        <v>0</v>
      </c>
      <c r="AO295" s="17">
        <v>0</v>
      </c>
      <c r="AP295" s="18">
        <f t="shared" si="4"/>
        <v>944814</v>
      </c>
    </row>
    <row r="296" spans="1:42" ht="15" customHeight="1" x14ac:dyDescent="0.2">
      <c r="A296" s="16" t="s">
        <v>625</v>
      </c>
      <c r="B296" s="16" t="s">
        <v>626</v>
      </c>
      <c r="C296" s="16" t="s">
        <v>238</v>
      </c>
      <c r="D296" s="16" t="s">
        <v>511</v>
      </c>
      <c r="E296" s="17">
        <v>81977</v>
      </c>
      <c r="F296" s="17">
        <v>40367</v>
      </c>
      <c r="G296" s="17">
        <v>21534</v>
      </c>
      <c r="H296" s="17">
        <v>0</v>
      </c>
      <c r="I296" s="17">
        <v>0</v>
      </c>
      <c r="J296" s="17">
        <v>0</v>
      </c>
      <c r="K296" s="17">
        <v>0</v>
      </c>
      <c r="L296" s="17">
        <v>0</v>
      </c>
      <c r="M296" s="17">
        <v>0</v>
      </c>
      <c r="N296" s="17">
        <v>0</v>
      </c>
      <c r="O296" s="17">
        <v>0</v>
      </c>
      <c r="P296" s="17">
        <v>0</v>
      </c>
      <c r="Q296" s="17">
        <v>0</v>
      </c>
      <c r="R296" s="17">
        <v>0</v>
      </c>
      <c r="S296" s="17">
        <v>0</v>
      </c>
      <c r="T296" s="17">
        <v>0</v>
      </c>
      <c r="U296" s="17">
        <v>0</v>
      </c>
      <c r="V296" s="17">
        <v>0</v>
      </c>
      <c r="W296" s="17">
        <v>0</v>
      </c>
      <c r="X296" s="17">
        <v>0</v>
      </c>
      <c r="Y296" s="17">
        <v>0</v>
      </c>
      <c r="Z296" s="17">
        <v>0</v>
      </c>
      <c r="AA296" s="17">
        <v>0</v>
      </c>
      <c r="AB296" s="17">
        <v>0</v>
      </c>
      <c r="AC296" s="17">
        <v>0</v>
      </c>
      <c r="AD296" s="17">
        <v>0</v>
      </c>
      <c r="AE296" s="17">
        <v>0</v>
      </c>
      <c r="AF296" s="17">
        <v>0</v>
      </c>
      <c r="AG296" s="17">
        <v>0</v>
      </c>
      <c r="AH296" s="17">
        <v>0</v>
      </c>
      <c r="AI296" s="17">
        <v>0</v>
      </c>
      <c r="AJ296" s="17">
        <v>0</v>
      </c>
      <c r="AK296" s="17">
        <v>0</v>
      </c>
      <c r="AL296" s="17">
        <v>0</v>
      </c>
      <c r="AM296" s="17">
        <v>0</v>
      </c>
      <c r="AN296" s="17">
        <v>0</v>
      </c>
      <c r="AO296" s="17">
        <v>0</v>
      </c>
      <c r="AP296" s="18">
        <f t="shared" si="4"/>
        <v>143878</v>
      </c>
    </row>
    <row r="297" spans="1:42" ht="15" customHeight="1" x14ac:dyDescent="0.2">
      <c r="A297" s="16" t="s">
        <v>625</v>
      </c>
      <c r="B297" s="16" t="s">
        <v>626</v>
      </c>
      <c r="C297" s="16" t="s">
        <v>320</v>
      </c>
      <c r="D297" s="16" t="s">
        <v>511</v>
      </c>
      <c r="E297" s="17">
        <v>155087</v>
      </c>
      <c r="F297" s="17">
        <v>108357</v>
      </c>
      <c r="G297" s="17">
        <v>78668</v>
      </c>
      <c r="H297" s="17">
        <v>53904</v>
      </c>
      <c r="I297" s="17">
        <v>42565</v>
      </c>
      <c r="J297" s="17">
        <v>19968</v>
      </c>
      <c r="K297" s="17">
        <v>4437</v>
      </c>
      <c r="L297" s="17">
        <v>0</v>
      </c>
      <c r="M297" s="17">
        <v>0</v>
      </c>
      <c r="N297" s="17">
        <v>0</v>
      </c>
      <c r="O297" s="17">
        <v>0</v>
      </c>
      <c r="P297" s="17">
        <v>0</v>
      </c>
      <c r="Q297" s="17">
        <v>0</v>
      </c>
      <c r="R297" s="17">
        <v>0</v>
      </c>
      <c r="S297" s="17">
        <v>0</v>
      </c>
      <c r="T297" s="17">
        <v>0</v>
      </c>
      <c r="U297" s="17">
        <v>0</v>
      </c>
      <c r="V297" s="17">
        <v>0</v>
      </c>
      <c r="W297" s="17">
        <v>0</v>
      </c>
      <c r="X297" s="17">
        <v>0</v>
      </c>
      <c r="Y297" s="17">
        <v>0</v>
      </c>
      <c r="Z297" s="17">
        <v>0</v>
      </c>
      <c r="AA297" s="17">
        <v>0</v>
      </c>
      <c r="AB297" s="17">
        <v>0</v>
      </c>
      <c r="AC297" s="17">
        <v>0</v>
      </c>
      <c r="AD297" s="17">
        <v>0</v>
      </c>
      <c r="AE297" s="17">
        <v>0</v>
      </c>
      <c r="AF297" s="17">
        <v>0</v>
      </c>
      <c r="AG297" s="17">
        <v>0</v>
      </c>
      <c r="AH297" s="17">
        <v>0</v>
      </c>
      <c r="AI297" s="17">
        <v>0</v>
      </c>
      <c r="AJ297" s="17">
        <v>0</v>
      </c>
      <c r="AK297" s="17">
        <v>0</v>
      </c>
      <c r="AL297" s="17">
        <v>0</v>
      </c>
      <c r="AM297" s="17">
        <v>0</v>
      </c>
      <c r="AN297" s="17">
        <v>0</v>
      </c>
      <c r="AO297" s="17">
        <v>0</v>
      </c>
      <c r="AP297" s="18">
        <f t="shared" si="4"/>
        <v>462986</v>
      </c>
    </row>
    <row r="298" spans="1:42" ht="15" customHeight="1" x14ac:dyDescent="0.2">
      <c r="A298" s="16" t="s">
        <v>625</v>
      </c>
      <c r="B298" s="16" t="s">
        <v>626</v>
      </c>
      <c r="C298" s="16" t="s">
        <v>373</v>
      </c>
      <c r="D298" s="16" t="s">
        <v>511</v>
      </c>
      <c r="E298" s="17">
        <v>255536</v>
      </c>
      <c r="F298" s="17">
        <v>239841</v>
      </c>
      <c r="G298" s="17">
        <v>180303</v>
      </c>
      <c r="H298" s="17">
        <v>209719</v>
      </c>
      <c r="I298" s="17">
        <v>154856</v>
      </c>
      <c r="J298" s="17">
        <v>89259</v>
      </c>
      <c r="K298" s="17">
        <v>49035</v>
      </c>
      <c r="L298" s="17">
        <v>0</v>
      </c>
      <c r="M298" s="17">
        <v>0</v>
      </c>
      <c r="N298" s="17">
        <v>0</v>
      </c>
      <c r="O298" s="17">
        <v>0</v>
      </c>
      <c r="P298" s="17">
        <v>0</v>
      </c>
      <c r="Q298" s="17">
        <v>0</v>
      </c>
      <c r="R298" s="17">
        <v>0</v>
      </c>
      <c r="S298" s="17">
        <v>0</v>
      </c>
      <c r="T298" s="17">
        <v>0</v>
      </c>
      <c r="U298" s="17">
        <v>0</v>
      </c>
      <c r="V298" s="17">
        <v>0</v>
      </c>
      <c r="W298" s="17">
        <v>0</v>
      </c>
      <c r="X298" s="17">
        <v>0</v>
      </c>
      <c r="Y298" s="17">
        <v>0</v>
      </c>
      <c r="Z298" s="17">
        <v>0</v>
      </c>
      <c r="AA298" s="17">
        <v>0</v>
      </c>
      <c r="AB298" s="17">
        <v>0</v>
      </c>
      <c r="AC298" s="17">
        <v>0</v>
      </c>
      <c r="AD298" s="17">
        <v>0</v>
      </c>
      <c r="AE298" s="17">
        <v>0</v>
      </c>
      <c r="AF298" s="17">
        <v>0</v>
      </c>
      <c r="AG298" s="17">
        <v>0</v>
      </c>
      <c r="AH298" s="17">
        <v>0</v>
      </c>
      <c r="AI298" s="17">
        <v>0</v>
      </c>
      <c r="AJ298" s="17">
        <v>0</v>
      </c>
      <c r="AK298" s="17">
        <v>0</v>
      </c>
      <c r="AL298" s="17">
        <v>0</v>
      </c>
      <c r="AM298" s="17">
        <v>0</v>
      </c>
      <c r="AN298" s="17">
        <v>0</v>
      </c>
      <c r="AO298" s="17">
        <v>0</v>
      </c>
      <c r="AP298" s="18">
        <f t="shared" si="4"/>
        <v>1178549</v>
      </c>
    </row>
    <row r="299" spans="1:42" ht="15" customHeight="1" x14ac:dyDescent="0.2">
      <c r="A299" s="16" t="s">
        <v>625</v>
      </c>
      <c r="B299" s="16" t="s">
        <v>626</v>
      </c>
      <c r="C299" s="16" t="s">
        <v>374</v>
      </c>
      <c r="D299" s="16" t="s">
        <v>511</v>
      </c>
      <c r="E299" s="17">
        <v>4877036.2143999999</v>
      </c>
      <c r="F299" s="17">
        <v>2711192.4462000001</v>
      </c>
      <c r="G299" s="17">
        <v>1664626</v>
      </c>
      <c r="H299" s="17">
        <v>1041581</v>
      </c>
      <c r="I299" s="17">
        <v>792267</v>
      </c>
      <c r="J299" s="17">
        <v>519960</v>
      </c>
      <c r="K299" s="17">
        <v>442401</v>
      </c>
      <c r="L299" s="17">
        <v>0</v>
      </c>
      <c r="M299" s="17">
        <v>0</v>
      </c>
      <c r="N299" s="17">
        <v>0</v>
      </c>
      <c r="O299" s="17">
        <v>0</v>
      </c>
      <c r="P299" s="17">
        <v>0</v>
      </c>
      <c r="Q299" s="17">
        <v>0</v>
      </c>
      <c r="R299" s="17">
        <v>0</v>
      </c>
      <c r="S299" s="17">
        <v>0</v>
      </c>
      <c r="T299" s="17">
        <v>0</v>
      </c>
      <c r="U299" s="17">
        <v>0</v>
      </c>
      <c r="V299" s="17">
        <v>0</v>
      </c>
      <c r="W299" s="17">
        <v>0</v>
      </c>
      <c r="X299" s="17">
        <v>0</v>
      </c>
      <c r="Y299" s="17">
        <v>0</v>
      </c>
      <c r="Z299" s="17">
        <v>0</v>
      </c>
      <c r="AA299" s="17">
        <v>0</v>
      </c>
      <c r="AB299" s="17">
        <v>0</v>
      </c>
      <c r="AC299" s="17">
        <v>0</v>
      </c>
      <c r="AD299" s="17">
        <v>0</v>
      </c>
      <c r="AE299" s="17">
        <v>0</v>
      </c>
      <c r="AF299" s="17">
        <v>0</v>
      </c>
      <c r="AG299" s="17">
        <v>0</v>
      </c>
      <c r="AH299" s="17">
        <v>0</v>
      </c>
      <c r="AI299" s="17">
        <v>0</v>
      </c>
      <c r="AJ299" s="17">
        <v>0</v>
      </c>
      <c r="AK299" s="17">
        <v>0</v>
      </c>
      <c r="AL299" s="17">
        <v>0</v>
      </c>
      <c r="AM299" s="17">
        <v>0</v>
      </c>
      <c r="AN299" s="17">
        <v>0</v>
      </c>
      <c r="AO299" s="17">
        <v>0</v>
      </c>
      <c r="AP299" s="18">
        <f t="shared" si="4"/>
        <v>12049063.660599999</v>
      </c>
    </row>
    <row r="300" spans="1:42" ht="15" customHeight="1" x14ac:dyDescent="0.2">
      <c r="A300" s="16" t="s">
        <v>625</v>
      </c>
      <c r="B300" s="16" t="s">
        <v>626</v>
      </c>
      <c r="C300" s="16" t="s">
        <v>398</v>
      </c>
      <c r="D300" s="16" t="s">
        <v>511</v>
      </c>
      <c r="E300" s="17">
        <v>435723</v>
      </c>
      <c r="F300" s="17">
        <v>338525</v>
      </c>
      <c r="G300" s="17">
        <v>229377</v>
      </c>
      <c r="H300" s="17">
        <v>167003</v>
      </c>
      <c r="I300" s="17">
        <v>141959</v>
      </c>
      <c r="J300" s="17">
        <v>105026</v>
      </c>
      <c r="K300" s="17">
        <v>72643</v>
      </c>
      <c r="L300" s="17">
        <v>0</v>
      </c>
      <c r="M300" s="17">
        <v>0</v>
      </c>
      <c r="N300" s="17">
        <v>0</v>
      </c>
      <c r="O300" s="17">
        <v>0</v>
      </c>
      <c r="P300" s="17">
        <v>0</v>
      </c>
      <c r="Q300" s="17">
        <v>0</v>
      </c>
      <c r="R300" s="17">
        <v>0</v>
      </c>
      <c r="S300" s="17">
        <v>0</v>
      </c>
      <c r="T300" s="17">
        <v>0</v>
      </c>
      <c r="U300" s="17">
        <v>0</v>
      </c>
      <c r="V300" s="17">
        <v>0</v>
      </c>
      <c r="W300" s="17">
        <v>0</v>
      </c>
      <c r="X300" s="17">
        <v>0</v>
      </c>
      <c r="Y300" s="17">
        <v>0</v>
      </c>
      <c r="Z300" s="17">
        <v>0</v>
      </c>
      <c r="AA300" s="17">
        <v>0</v>
      </c>
      <c r="AB300" s="17">
        <v>0</v>
      </c>
      <c r="AC300" s="17">
        <v>0</v>
      </c>
      <c r="AD300" s="17">
        <v>0</v>
      </c>
      <c r="AE300" s="17">
        <v>0</v>
      </c>
      <c r="AF300" s="17">
        <v>0</v>
      </c>
      <c r="AG300" s="17">
        <v>0</v>
      </c>
      <c r="AH300" s="17">
        <v>0</v>
      </c>
      <c r="AI300" s="17">
        <v>0</v>
      </c>
      <c r="AJ300" s="17">
        <v>0</v>
      </c>
      <c r="AK300" s="17">
        <v>0</v>
      </c>
      <c r="AL300" s="17">
        <v>0</v>
      </c>
      <c r="AM300" s="17">
        <v>0</v>
      </c>
      <c r="AN300" s="17">
        <v>0</v>
      </c>
      <c r="AO300" s="17">
        <v>0</v>
      </c>
      <c r="AP300" s="18">
        <f t="shared" si="4"/>
        <v>1490256</v>
      </c>
    </row>
    <row r="301" spans="1:42" ht="15" customHeight="1" x14ac:dyDescent="0.2">
      <c r="A301" s="16" t="s">
        <v>625</v>
      </c>
      <c r="B301" s="16" t="s">
        <v>627</v>
      </c>
      <c r="C301" s="16" t="s">
        <v>164</v>
      </c>
      <c r="D301" s="16" t="s">
        <v>511</v>
      </c>
      <c r="E301" s="17">
        <v>5594067.7238999996</v>
      </c>
      <c r="F301" s="17">
        <v>4552515.0065000001</v>
      </c>
      <c r="G301" s="17">
        <v>3726639</v>
      </c>
      <c r="H301" s="17">
        <v>2997240</v>
      </c>
      <c r="I301" s="17">
        <v>2399224</v>
      </c>
      <c r="J301" s="17">
        <v>1842311</v>
      </c>
      <c r="K301" s="17">
        <v>1372764</v>
      </c>
      <c r="L301" s="17">
        <v>1031354</v>
      </c>
      <c r="M301" s="17">
        <v>814467</v>
      </c>
      <c r="N301" s="17">
        <v>632553</v>
      </c>
      <c r="O301" s="17">
        <v>509482</v>
      </c>
      <c r="P301" s="17">
        <v>0</v>
      </c>
      <c r="Q301" s="17">
        <v>0</v>
      </c>
      <c r="R301" s="17">
        <v>0</v>
      </c>
      <c r="S301" s="17">
        <v>0</v>
      </c>
      <c r="T301" s="17">
        <v>0</v>
      </c>
      <c r="U301" s="17">
        <v>0</v>
      </c>
      <c r="V301" s="17">
        <v>0</v>
      </c>
      <c r="W301" s="17">
        <v>0</v>
      </c>
      <c r="X301" s="17">
        <v>0</v>
      </c>
      <c r="Y301" s="17">
        <v>0</v>
      </c>
      <c r="Z301" s="17">
        <v>0</v>
      </c>
      <c r="AA301" s="17">
        <v>0</v>
      </c>
      <c r="AB301" s="17">
        <v>0</v>
      </c>
      <c r="AC301" s="17">
        <v>0</v>
      </c>
      <c r="AD301" s="17">
        <v>0</v>
      </c>
      <c r="AE301" s="17">
        <v>0</v>
      </c>
      <c r="AF301" s="17">
        <v>0</v>
      </c>
      <c r="AG301" s="17">
        <v>0</v>
      </c>
      <c r="AH301" s="17">
        <v>0</v>
      </c>
      <c r="AI301" s="17">
        <v>0</v>
      </c>
      <c r="AJ301" s="17">
        <v>0</v>
      </c>
      <c r="AK301" s="17">
        <v>0</v>
      </c>
      <c r="AL301" s="17">
        <v>0</v>
      </c>
      <c r="AM301" s="17">
        <v>0</v>
      </c>
      <c r="AN301" s="17">
        <v>0</v>
      </c>
      <c r="AO301" s="17">
        <v>0</v>
      </c>
      <c r="AP301" s="18">
        <f t="shared" si="4"/>
        <v>25472616.7304</v>
      </c>
    </row>
    <row r="302" spans="1:42" ht="15" customHeight="1" x14ac:dyDescent="0.2">
      <c r="A302" s="16" t="s">
        <v>625</v>
      </c>
      <c r="B302" s="16" t="s">
        <v>627</v>
      </c>
      <c r="C302" s="16" t="s">
        <v>167</v>
      </c>
      <c r="D302" s="16" t="s">
        <v>511</v>
      </c>
      <c r="E302" s="17">
        <v>931280.14720000001</v>
      </c>
      <c r="F302" s="17">
        <v>737335.24060000002</v>
      </c>
      <c r="G302" s="17">
        <v>649822</v>
      </c>
      <c r="H302" s="17">
        <v>554054</v>
      </c>
      <c r="I302" s="17">
        <v>437631</v>
      </c>
      <c r="J302" s="17">
        <v>346450</v>
      </c>
      <c r="K302" s="17">
        <v>261438</v>
      </c>
      <c r="L302" s="17">
        <v>193962</v>
      </c>
      <c r="M302" s="17">
        <v>154559</v>
      </c>
      <c r="N302" s="17">
        <v>132612</v>
      </c>
      <c r="O302" s="17">
        <v>108151</v>
      </c>
      <c r="P302" s="17">
        <v>0</v>
      </c>
      <c r="Q302" s="17">
        <v>0</v>
      </c>
      <c r="R302" s="17">
        <v>0</v>
      </c>
      <c r="S302" s="17">
        <v>0</v>
      </c>
      <c r="T302" s="17">
        <v>0</v>
      </c>
      <c r="U302" s="17">
        <v>0</v>
      </c>
      <c r="V302" s="17">
        <v>0</v>
      </c>
      <c r="W302" s="17">
        <v>0</v>
      </c>
      <c r="X302" s="17">
        <v>0</v>
      </c>
      <c r="Y302" s="17">
        <v>0</v>
      </c>
      <c r="Z302" s="17">
        <v>0</v>
      </c>
      <c r="AA302" s="17">
        <v>0</v>
      </c>
      <c r="AB302" s="17">
        <v>0</v>
      </c>
      <c r="AC302" s="17">
        <v>0</v>
      </c>
      <c r="AD302" s="17">
        <v>0</v>
      </c>
      <c r="AE302" s="17">
        <v>0</v>
      </c>
      <c r="AF302" s="17">
        <v>0</v>
      </c>
      <c r="AG302" s="17">
        <v>0</v>
      </c>
      <c r="AH302" s="17">
        <v>0</v>
      </c>
      <c r="AI302" s="17">
        <v>0</v>
      </c>
      <c r="AJ302" s="17">
        <v>0</v>
      </c>
      <c r="AK302" s="17">
        <v>0</v>
      </c>
      <c r="AL302" s="17">
        <v>0</v>
      </c>
      <c r="AM302" s="17">
        <v>0</v>
      </c>
      <c r="AN302" s="17">
        <v>0</v>
      </c>
      <c r="AO302" s="17">
        <v>0</v>
      </c>
      <c r="AP302" s="18">
        <f t="shared" si="4"/>
        <v>4507294.3878000006</v>
      </c>
    </row>
    <row r="303" spans="1:42" ht="15" customHeight="1" x14ac:dyDescent="0.2">
      <c r="A303" s="16" t="s">
        <v>625</v>
      </c>
      <c r="B303" s="16" t="s">
        <v>627</v>
      </c>
      <c r="C303" s="16" t="s">
        <v>369</v>
      </c>
      <c r="D303" s="16" t="s">
        <v>511</v>
      </c>
      <c r="E303" s="17">
        <v>573604.93669999996</v>
      </c>
      <c r="F303" s="17">
        <v>405485.85519999999</v>
      </c>
      <c r="G303" s="17">
        <v>297992</v>
      </c>
      <c r="H303" s="17">
        <v>216376</v>
      </c>
      <c r="I303" s="17">
        <v>143687</v>
      </c>
      <c r="J303" s="17">
        <v>101071</v>
      </c>
      <c r="K303" s="17">
        <v>71368</v>
      </c>
      <c r="L303" s="17">
        <v>51262</v>
      </c>
      <c r="M303" s="17">
        <v>40764</v>
      </c>
      <c r="N303" s="17">
        <v>0</v>
      </c>
      <c r="O303" s="17">
        <v>0</v>
      </c>
      <c r="P303" s="17">
        <v>0</v>
      </c>
      <c r="Q303" s="17">
        <v>0</v>
      </c>
      <c r="R303" s="17">
        <v>0</v>
      </c>
      <c r="S303" s="17">
        <v>0</v>
      </c>
      <c r="T303" s="17">
        <v>0</v>
      </c>
      <c r="U303" s="17">
        <v>0</v>
      </c>
      <c r="V303" s="17">
        <v>0</v>
      </c>
      <c r="W303" s="17">
        <v>0</v>
      </c>
      <c r="X303" s="17">
        <v>0</v>
      </c>
      <c r="Y303" s="17">
        <v>0</v>
      </c>
      <c r="Z303" s="17">
        <v>0</v>
      </c>
      <c r="AA303" s="17">
        <v>0</v>
      </c>
      <c r="AB303" s="17">
        <v>0</v>
      </c>
      <c r="AC303" s="17">
        <v>0</v>
      </c>
      <c r="AD303" s="17">
        <v>0</v>
      </c>
      <c r="AE303" s="17">
        <v>0</v>
      </c>
      <c r="AF303" s="17">
        <v>0</v>
      </c>
      <c r="AG303" s="17">
        <v>0</v>
      </c>
      <c r="AH303" s="17">
        <v>0</v>
      </c>
      <c r="AI303" s="17">
        <v>0</v>
      </c>
      <c r="AJ303" s="17">
        <v>0</v>
      </c>
      <c r="AK303" s="17">
        <v>0</v>
      </c>
      <c r="AL303" s="17">
        <v>0</v>
      </c>
      <c r="AM303" s="17">
        <v>0</v>
      </c>
      <c r="AN303" s="17">
        <v>0</v>
      </c>
      <c r="AO303" s="17">
        <v>0</v>
      </c>
      <c r="AP303" s="18">
        <f t="shared" si="4"/>
        <v>1901610.7919000001</v>
      </c>
    </row>
    <row r="304" spans="1:42" ht="15" customHeight="1" x14ac:dyDescent="0.2">
      <c r="A304" s="16" t="s">
        <v>625</v>
      </c>
      <c r="B304" s="16" t="s">
        <v>627</v>
      </c>
      <c r="C304" s="16" t="s">
        <v>370</v>
      </c>
      <c r="D304" s="16" t="s">
        <v>511</v>
      </c>
      <c r="E304" s="17">
        <v>12797.3986</v>
      </c>
      <c r="F304" s="17">
        <v>11155.2057</v>
      </c>
      <c r="G304" s="17">
        <v>9752</v>
      </c>
      <c r="H304" s="17">
        <v>8526</v>
      </c>
      <c r="I304" s="17">
        <v>7472</v>
      </c>
      <c r="J304" s="17">
        <v>6514</v>
      </c>
      <c r="K304" s="17">
        <v>0</v>
      </c>
      <c r="L304" s="17">
        <v>0</v>
      </c>
      <c r="M304" s="17">
        <v>0</v>
      </c>
      <c r="N304" s="17">
        <v>0</v>
      </c>
      <c r="O304" s="17">
        <v>0</v>
      </c>
      <c r="P304" s="17">
        <v>0</v>
      </c>
      <c r="Q304" s="17">
        <v>0</v>
      </c>
      <c r="R304" s="17">
        <v>0</v>
      </c>
      <c r="S304" s="17">
        <v>0</v>
      </c>
      <c r="T304" s="17">
        <v>0</v>
      </c>
      <c r="U304" s="17">
        <v>0</v>
      </c>
      <c r="V304" s="17">
        <v>0</v>
      </c>
      <c r="W304" s="17">
        <v>0</v>
      </c>
      <c r="X304" s="17">
        <v>0</v>
      </c>
      <c r="Y304" s="17">
        <v>0</v>
      </c>
      <c r="Z304" s="17">
        <v>0</v>
      </c>
      <c r="AA304" s="17">
        <v>0</v>
      </c>
      <c r="AB304" s="17">
        <v>0</v>
      </c>
      <c r="AC304" s="17">
        <v>0</v>
      </c>
      <c r="AD304" s="17">
        <v>0</v>
      </c>
      <c r="AE304" s="17">
        <v>0</v>
      </c>
      <c r="AF304" s="17">
        <v>0</v>
      </c>
      <c r="AG304" s="17">
        <v>0</v>
      </c>
      <c r="AH304" s="17">
        <v>0</v>
      </c>
      <c r="AI304" s="17">
        <v>0</v>
      </c>
      <c r="AJ304" s="17">
        <v>0</v>
      </c>
      <c r="AK304" s="17">
        <v>0</v>
      </c>
      <c r="AL304" s="17">
        <v>0</v>
      </c>
      <c r="AM304" s="17">
        <v>0</v>
      </c>
      <c r="AN304" s="17">
        <v>0</v>
      </c>
      <c r="AO304" s="17">
        <v>0</v>
      </c>
      <c r="AP304" s="18">
        <f t="shared" si="4"/>
        <v>56216.604299999999</v>
      </c>
    </row>
    <row r="305" spans="1:42" ht="15" customHeight="1" x14ac:dyDescent="0.2">
      <c r="A305" s="16" t="s">
        <v>625</v>
      </c>
      <c r="B305" s="16" t="s">
        <v>628</v>
      </c>
      <c r="C305" s="16" t="s">
        <v>165</v>
      </c>
      <c r="D305" s="16" t="s">
        <v>511</v>
      </c>
      <c r="E305" s="17">
        <v>450794.29859999998</v>
      </c>
      <c r="F305" s="17">
        <v>304016.93219999998</v>
      </c>
      <c r="G305" s="17">
        <v>188721</v>
      </c>
      <c r="H305" s="17">
        <v>157595</v>
      </c>
      <c r="I305" s="17">
        <v>160719</v>
      </c>
      <c r="J305" s="17">
        <v>119083</v>
      </c>
      <c r="K305" s="17">
        <v>108087</v>
      </c>
      <c r="L305" s="17">
        <v>71730</v>
      </c>
      <c r="M305" s="17">
        <v>52764</v>
      </c>
      <c r="N305" s="17">
        <v>42024</v>
      </c>
      <c r="O305" s="17">
        <v>35485</v>
      </c>
      <c r="P305" s="17">
        <v>25785</v>
      </c>
      <c r="Q305" s="17">
        <v>0</v>
      </c>
      <c r="R305" s="17">
        <v>0</v>
      </c>
      <c r="S305" s="17">
        <v>0</v>
      </c>
      <c r="T305" s="17">
        <v>0</v>
      </c>
      <c r="U305" s="17">
        <v>0</v>
      </c>
      <c r="V305" s="17">
        <v>0</v>
      </c>
      <c r="W305" s="17">
        <v>0</v>
      </c>
      <c r="X305" s="17">
        <v>0</v>
      </c>
      <c r="Y305" s="17">
        <v>0</v>
      </c>
      <c r="Z305" s="17">
        <v>0</v>
      </c>
      <c r="AA305" s="17">
        <v>0</v>
      </c>
      <c r="AB305" s="17">
        <v>0</v>
      </c>
      <c r="AC305" s="17">
        <v>0</v>
      </c>
      <c r="AD305" s="17">
        <v>0</v>
      </c>
      <c r="AE305" s="17">
        <v>0</v>
      </c>
      <c r="AF305" s="17">
        <v>0</v>
      </c>
      <c r="AG305" s="17">
        <v>0</v>
      </c>
      <c r="AH305" s="17">
        <v>0</v>
      </c>
      <c r="AI305" s="17">
        <v>0</v>
      </c>
      <c r="AJ305" s="17">
        <v>0</v>
      </c>
      <c r="AK305" s="17">
        <v>0</v>
      </c>
      <c r="AL305" s="17">
        <v>0</v>
      </c>
      <c r="AM305" s="17">
        <v>0</v>
      </c>
      <c r="AN305" s="17">
        <v>0</v>
      </c>
      <c r="AO305" s="17">
        <v>0</v>
      </c>
      <c r="AP305" s="18">
        <f t="shared" si="4"/>
        <v>1716804.2308</v>
      </c>
    </row>
    <row r="306" spans="1:42" ht="15" customHeight="1" x14ac:dyDescent="0.2">
      <c r="A306" s="16" t="s">
        <v>625</v>
      </c>
      <c r="B306" s="16" t="s">
        <v>628</v>
      </c>
      <c r="C306" s="16" t="s">
        <v>175</v>
      </c>
      <c r="D306" s="16" t="s">
        <v>511</v>
      </c>
      <c r="E306" s="17">
        <v>1033895</v>
      </c>
      <c r="F306" s="17">
        <v>836313</v>
      </c>
      <c r="G306" s="17">
        <v>632429</v>
      </c>
      <c r="H306" s="17">
        <v>448807</v>
      </c>
      <c r="I306" s="17">
        <v>339706</v>
      </c>
      <c r="J306" s="17">
        <v>285254</v>
      </c>
      <c r="K306" s="17">
        <v>226667</v>
      </c>
      <c r="L306" s="17">
        <v>183802</v>
      </c>
      <c r="M306" s="17">
        <v>149299</v>
      </c>
      <c r="N306" s="17">
        <v>120157</v>
      </c>
      <c r="O306" s="17">
        <v>98001</v>
      </c>
      <c r="P306" s="17">
        <v>78160</v>
      </c>
      <c r="Q306" s="17">
        <v>61819</v>
      </c>
      <c r="R306" s="17">
        <v>44923</v>
      </c>
      <c r="S306" s="17">
        <v>0</v>
      </c>
      <c r="T306" s="17">
        <v>0</v>
      </c>
      <c r="U306" s="17">
        <v>0</v>
      </c>
      <c r="V306" s="17">
        <v>0</v>
      </c>
      <c r="W306" s="17">
        <v>0</v>
      </c>
      <c r="X306" s="17">
        <v>0</v>
      </c>
      <c r="Y306" s="17">
        <v>0</v>
      </c>
      <c r="Z306" s="17">
        <v>0</v>
      </c>
      <c r="AA306" s="17">
        <v>0</v>
      </c>
      <c r="AB306" s="17">
        <v>0</v>
      </c>
      <c r="AC306" s="17">
        <v>0</v>
      </c>
      <c r="AD306" s="17">
        <v>0</v>
      </c>
      <c r="AE306" s="17">
        <v>0</v>
      </c>
      <c r="AF306" s="17">
        <v>0</v>
      </c>
      <c r="AG306" s="17">
        <v>0</v>
      </c>
      <c r="AH306" s="17">
        <v>0</v>
      </c>
      <c r="AI306" s="17">
        <v>0</v>
      </c>
      <c r="AJ306" s="17">
        <v>0</v>
      </c>
      <c r="AK306" s="17">
        <v>0</v>
      </c>
      <c r="AL306" s="17">
        <v>0</v>
      </c>
      <c r="AM306" s="17">
        <v>0</v>
      </c>
      <c r="AN306" s="17">
        <v>0</v>
      </c>
      <c r="AO306" s="17">
        <v>0</v>
      </c>
      <c r="AP306" s="18">
        <f t="shared" si="4"/>
        <v>4539232</v>
      </c>
    </row>
    <row r="307" spans="1:42" ht="15" customHeight="1" x14ac:dyDescent="0.2">
      <c r="A307" s="16" t="s">
        <v>629</v>
      </c>
      <c r="B307" s="16" t="s">
        <v>630</v>
      </c>
      <c r="C307" s="16" t="s">
        <v>328</v>
      </c>
      <c r="D307" s="16" t="s">
        <v>511</v>
      </c>
      <c r="E307" s="17">
        <v>50856.800000000003</v>
      </c>
      <c r="F307" s="17">
        <v>64004.3</v>
      </c>
      <c r="G307" s="17">
        <v>72381.263000000006</v>
      </c>
      <c r="H307" s="17">
        <v>83512.603900000002</v>
      </c>
      <c r="I307" s="17">
        <v>68785.039900000003</v>
      </c>
      <c r="J307" s="17">
        <v>60169.245799999997</v>
      </c>
      <c r="K307" s="17">
        <v>53636.224399999999</v>
      </c>
      <c r="L307" s="17">
        <v>48408.256300000001</v>
      </c>
      <c r="M307" s="17">
        <v>44249.240899999997</v>
      </c>
      <c r="N307" s="17">
        <v>36958.823700000001</v>
      </c>
      <c r="O307" s="17">
        <v>27238.814699999999</v>
      </c>
      <c r="P307" s="17">
        <v>25190.765500000001</v>
      </c>
      <c r="Q307" s="17">
        <v>18737.976900000001</v>
      </c>
      <c r="R307" s="17">
        <v>11653.440199999999</v>
      </c>
      <c r="S307" s="17">
        <v>6072.4512000000004</v>
      </c>
      <c r="T307" s="17">
        <v>0</v>
      </c>
      <c r="U307" s="17">
        <v>0</v>
      </c>
      <c r="V307" s="17">
        <v>0</v>
      </c>
      <c r="W307" s="17">
        <v>0</v>
      </c>
      <c r="X307" s="17">
        <v>0</v>
      </c>
      <c r="Y307" s="17">
        <v>0</v>
      </c>
      <c r="Z307" s="17">
        <v>0</v>
      </c>
      <c r="AA307" s="17">
        <v>0</v>
      </c>
      <c r="AB307" s="17">
        <v>0</v>
      </c>
      <c r="AC307" s="17">
        <v>0</v>
      </c>
      <c r="AD307" s="17">
        <v>0</v>
      </c>
      <c r="AE307" s="17">
        <v>0</v>
      </c>
      <c r="AF307" s="17">
        <v>0</v>
      </c>
      <c r="AG307" s="17">
        <v>0</v>
      </c>
      <c r="AH307" s="17">
        <v>0</v>
      </c>
      <c r="AI307" s="17">
        <v>0</v>
      </c>
      <c r="AJ307" s="17">
        <v>0</v>
      </c>
      <c r="AK307" s="17">
        <v>0</v>
      </c>
      <c r="AL307" s="17">
        <v>0</v>
      </c>
      <c r="AM307" s="17">
        <v>0</v>
      </c>
      <c r="AN307" s="17">
        <v>0</v>
      </c>
      <c r="AO307" s="17">
        <v>0</v>
      </c>
      <c r="AP307" s="18">
        <f t="shared" si="4"/>
        <v>671855.24639999983</v>
      </c>
    </row>
    <row r="308" spans="1:42" ht="15" customHeight="1" x14ac:dyDescent="0.2">
      <c r="A308" s="16" t="s">
        <v>631</v>
      </c>
      <c r="B308" s="16" t="s">
        <v>632</v>
      </c>
      <c r="C308" s="16" t="s">
        <v>283</v>
      </c>
      <c r="D308" s="16" t="s">
        <v>511</v>
      </c>
      <c r="E308" s="17">
        <v>0</v>
      </c>
      <c r="F308" s="17">
        <v>0</v>
      </c>
      <c r="G308" s="17">
        <v>22026.471099999999</v>
      </c>
      <c r="H308" s="17">
        <v>40423.424700000003</v>
      </c>
      <c r="I308" s="17">
        <v>36836.648999999998</v>
      </c>
      <c r="J308" s="17">
        <v>92847.611900000004</v>
      </c>
      <c r="K308" s="17">
        <v>77536.073900000003</v>
      </c>
      <c r="L308" s="17">
        <v>64986.644899999999</v>
      </c>
      <c r="M308" s="17">
        <v>55915.366999999998</v>
      </c>
      <c r="N308" s="17">
        <v>49216.824099999998</v>
      </c>
      <c r="O308" s="17">
        <v>44265.815799999997</v>
      </c>
      <c r="P308" s="17">
        <v>40354.918599999997</v>
      </c>
      <c r="Q308" s="17">
        <v>37261.870199999998</v>
      </c>
      <c r="R308" s="17">
        <v>34481.001499999998</v>
      </c>
      <c r="S308" s="17">
        <v>32099.289199999999</v>
      </c>
      <c r="T308" s="17">
        <v>0</v>
      </c>
      <c r="U308" s="17">
        <v>0</v>
      </c>
      <c r="V308" s="17">
        <v>0</v>
      </c>
      <c r="W308" s="17">
        <v>0</v>
      </c>
      <c r="X308" s="17">
        <v>0</v>
      </c>
      <c r="Y308" s="17">
        <v>0</v>
      </c>
      <c r="Z308" s="17">
        <v>0</v>
      </c>
      <c r="AA308" s="17">
        <v>0</v>
      </c>
      <c r="AB308" s="17">
        <v>0</v>
      </c>
      <c r="AC308" s="17">
        <v>0</v>
      </c>
      <c r="AD308" s="17">
        <v>0</v>
      </c>
      <c r="AE308" s="17">
        <v>0</v>
      </c>
      <c r="AF308" s="17">
        <v>0</v>
      </c>
      <c r="AG308" s="17">
        <v>0</v>
      </c>
      <c r="AH308" s="17">
        <v>0</v>
      </c>
      <c r="AI308" s="17">
        <v>0</v>
      </c>
      <c r="AJ308" s="17">
        <v>0</v>
      </c>
      <c r="AK308" s="17">
        <v>0</v>
      </c>
      <c r="AL308" s="17">
        <v>0</v>
      </c>
      <c r="AM308" s="17">
        <v>0</v>
      </c>
      <c r="AN308" s="17">
        <v>0</v>
      </c>
      <c r="AO308" s="17">
        <v>0</v>
      </c>
      <c r="AP308" s="18">
        <f t="shared" si="4"/>
        <v>628251.96189999999</v>
      </c>
    </row>
    <row r="309" spans="1:42" ht="15" customHeight="1" x14ac:dyDescent="0.2">
      <c r="A309" s="16" t="s">
        <v>631</v>
      </c>
      <c r="B309" s="16" t="s">
        <v>632</v>
      </c>
      <c r="C309" s="16" t="s">
        <v>348</v>
      </c>
      <c r="D309" s="16" t="s">
        <v>511</v>
      </c>
      <c r="E309" s="17">
        <v>1993525.6244999999</v>
      </c>
      <c r="F309" s="17">
        <v>1787772.2385</v>
      </c>
      <c r="G309" s="17">
        <v>1313411.94</v>
      </c>
      <c r="H309" s="17">
        <v>1093590.7757999999</v>
      </c>
      <c r="I309" s="17">
        <v>943708.16949999996</v>
      </c>
      <c r="J309" s="17">
        <v>831459.57149999996</v>
      </c>
      <c r="K309" s="17">
        <v>743955.46790000005</v>
      </c>
      <c r="L309" s="17">
        <v>714506.27540000004</v>
      </c>
      <c r="M309" s="17">
        <v>682032.77469999995</v>
      </c>
      <c r="N309" s="17">
        <v>592577.54429999995</v>
      </c>
      <c r="O309" s="17">
        <v>604193.52040000004</v>
      </c>
      <c r="P309" s="17">
        <v>679735.16280000005</v>
      </c>
      <c r="Q309" s="17">
        <v>602549.16720000003</v>
      </c>
      <c r="R309" s="17">
        <v>589092.22270000004</v>
      </c>
      <c r="S309" s="17">
        <v>0</v>
      </c>
      <c r="T309" s="17">
        <v>0</v>
      </c>
      <c r="U309" s="17">
        <v>0</v>
      </c>
      <c r="V309" s="17">
        <v>0</v>
      </c>
      <c r="W309" s="17">
        <v>0</v>
      </c>
      <c r="X309" s="17">
        <v>0</v>
      </c>
      <c r="Y309" s="17">
        <v>0</v>
      </c>
      <c r="Z309" s="17">
        <v>0</v>
      </c>
      <c r="AA309" s="17">
        <v>0</v>
      </c>
      <c r="AB309" s="17">
        <v>0</v>
      </c>
      <c r="AC309" s="17">
        <v>0</v>
      </c>
      <c r="AD309" s="17">
        <v>0</v>
      </c>
      <c r="AE309" s="17">
        <v>0</v>
      </c>
      <c r="AF309" s="17">
        <v>0</v>
      </c>
      <c r="AG309" s="17">
        <v>0</v>
      </c>
      <c r="AH309" s="17">
        <v>0</v>
      </c>
      <c r="AI309" s="17">
        <v>0</v>
      </c>
      <c r="AJ309" s="17">
        <v>0</v>
      </c>
      <c r="AK309" s="17">
        <v>0</v>
      </c>
      <c r="AL309" s="17">
        <v>0</v>
      </c>
      <c r="AM309" s="17">
        <v>0</v>
      </c>
      <c r="AN309" s="17">
        <v>0</v>
      </c>
      <c r="AO309" s="17">
        <v>0</v>
      </c>
      <c r="AP309" s="18">
        <f t="shared" si="4"/>
        <v>13172110.455199998</v>
      </c>
    </row>
    <row r="310" spans="1:42" ht="15" customHeight="1" x14ac:dyDescent="0.2">
      <c r="A310" s="16" t="s">
        <v>631</v>
      </c>
      <c r="B310" s="16" t="s">
        <v>632</v>
      </c>
      <c r="C310" s="16" t="s">
        <v>349</v>
      </c>
      <c r="D310" s="16" t="s">
        <v>511</v>
      </c>
      <c r="E310" s="17">
        <v>1677404.3514</v>
      </c>
      <c r="F310" s="17">
        <v>931631.54920000001</v>
      </c>
      <c r="G310" s="17">
        <v>637318.37569999998</v>
      </c>
      <c r="H310" s="17">
        <v>489776.09879999998</v>
      </c>
      <c r="I310" s="17">
        <v>397488.4423</v>
      </c>
      <c r="J310" s="17">
        <v>305888.30479999998</v>
      </c>
      <c r="K310" s="17">
        <v>261510.9241</v>
      </c>
      <c r="L310" s="17">
        <v>221800.5747</v>
      </c>
      <c r="M310" s="17">
        <v>235812.87270000001</v>
      </c>
      <c r="N310" s="17">
        <v>242637.5668</v>
      </c>
      <c r="O310" s="17">
        <v>201018.58720000001</v>
      </c>
      <c r="P310" s="17">
        <v>0</v>
      </c>
      <c r="Q310" s="17">
        <v>0</v>
      </c>
      <c r="R310" s="17">
        <v>0</v>
      </c>
      <c r="S310" s="17">
        <v>0</v>
      </c>
      <c r="T310" s="17">
        <v>0</v>
      </c>
      <c r="U310" s="17">
        <v>0</v>
      </c>
      <c r="V310" s="17">
        <v>0</v>
      </c>
      <c r="W310" s="17">
        <v>0</v>
      </c>
      <c r="X310" s="17">
        <v>0</v>
      </c>
      <c r="Y310" s="17">
        <v>0</v>
      </c>
      <c r="Z310" s="17">
        <v>0</v>
      </c>
      <c r="AA310" s="17">
        <v>0</v>
      </c>
      <c r="AB310" s="17">
        <v>0</v>
      </c>
      <c r="AC310" s="17">
        <v>0</v>
      </c>
      <c r="AD310" s="17">
        <v>0</v>
      </c>
      <c r="AE310" s="17">
        <v>0</v>
      </c>
      <c r="AF310" s="17">
        <v>0</v>
      </c>
      <c r="AG310" s="17">
        <v>0</v>
      </c>
      <c r="AH310" s="17">
        <v>0</v>
      </c>
      <c r="AI310" s="17">
        <v>0</v>
      </c>
      <c r="AJ310" s="17">
        <v>0</v>
      </c>
      <c r="AK310" s="17">
        <v>0</v>
      </c>
      <c r="AL310" s="17">
        <v>0</v>
      </c>
      <c r="AM310" s="17">
        <v>0</v>
      </c>
      <c r="AN310" s="17">
        <v>0</v>
      </c>
      <c r="AO310" s="17">
        <v>0</v>
      </c>
      <c r="AP310" s="18">
        <f t="shared" si="4"/>
        <v>5602287.6477000006</v>
      </c>
    </row>
    <row r="311" spans="1:42" ht="15" customHeight="1" x14ac:dyDescent="0.2">
      <c r="A311" s="16" t="s">
        <v>633</v>
      </c>
      <c r="B311" s="16" t="s">
        <v>634</v>
      </c>
      <c r="C311" s="16" t="s">
        <v>128</v>
      </c>
      <c r="D311" s="16" t="s">
        <v>511</v>
      </c>
      <c r="E311" s="17">
        <v>30023.052100000001</v>
      </c>
      <c r="F311" s="17">
        <v>61251.929900000003</v>
      </c>
      <c r="G311" s="17">
        <v>75628.715200000006</v>
      </c>
      <c r="H311" s="17">
        <v>56402.684699999998</v>
      </c>
      <c r="I311" s="17">
        <v>43978.582499999997</v>
      </c>
      <c r="J311" s="17">
        <v>35186.907599999999</v>
      </c>
      <c r="K311" s="17">
        <v>28925.4722</v>
      </c>
      <c r="L311" s="17">
        <v>24237.340100000001</v>
      </c>
      <c r="M311" s="17">
        <v>20680.259099999999</v>
      </c>
      <c r="N311" s="17">
        <v>0</v>
      </c>
      <c r="O311" s="17">
        <v>0</v>
      </c>
      <c r="P311" s="17">
        <v>0</v>
      </c>
      <c r="Q311" s="17">
        <v>0</v>
      </c>
      <c r="R311" s="17">
        <v>0</v>
      </c>
      <c r="S311" s="17">
        <v>0</v>
      </c>
      <c r="T311" s="17">
        <v>0</v>
      </c>
      <c r="U311" s="17">
        <v>0</v>
      </c>
      <c r="V311" s="17">
        <v>0</v>
      </c>
      <c r="W311" s="17">
        <v>0</v>
      </c>
      <c r="X311" s="17">
        <v>0</v>
      </c>
      <c r="Y311" s="17">
        <v>0</v>
      </c>
      <c r="Z311" s="17">
        <v>0</v>
      </c>
      <c r="AA311" s="17">
        <v>0</v>
      </c>
      <c r="AB311" s="17">
        <v>0</v>
      </c>
      <c r="AC311" s="17">
        <v>0</v>
      </c>
      <c r="AD311" s="17">
        <v>0</v>
      </c>
      <c r="AE311" s="17">
        <v>0</v>
      </c>
      <c r="AF311" s="17">
        <v>0</v>
      </c>
      <c r="AG311" s="17">
        <v>0</v>
      </c>
      <c r="AH311" s="17">
        <v>0</v>
      </c>
      <c r="AI311" s="17">
        <v>0</v>
      </c>
      <c r="AJ311" s="17">
        <v>0</v>
      </c>
      <c r="AK311" s="17">
        <v>0</v>
      </c>
      <c r="AL311" s="17">
        <v>0</v>
      </c>
      <c r="AM311" s="17">
        <v>0</v>
      </c>
      <c r="AN311" s="17">
        <v>0</v>
      </c>
      <c r="AO311" s="17">
        <v>0</v>
      </c>
      <c r="AP311" s="18">
        <f t="shared" si="4"/>
        <v>376314.94339999999</v>
      </c>
    </row>
    <row r="312" spans="1:42" ht="15" customHeight="1" x14ac:dyDescent="0.2">
      <c r="A312" s="16" t="s">
        <v>635</v>
      </c>
      <c r="B312" s="16" t="s">
        <v>417</v>
      </c>
      <c r="C312" s="16" t="s">
        <v>417</v>
      </c>
      <c r="D312" s="16" t="s">
        <v>511</v>
      </c>
      <c r="E312" s="17">
        <v>36170</v>
      </c>
      <c r="F312" s="17">
        <v>61140</v>
      </c>
      <c r="G312" s="17">
        <v>55719</v>
      </c>
      <c r="H312" s="17">
        <v>78349</v>
      </c>
      <c r="I312" s="17">
        <v>67755</v>
      </c>
      <c r="J312" s="17">
        <v>58994</v>
      </c>
      <c r="K312" s="17">
        <v>52078</v>
      </c>
      <c r="L312" s="17">
        <v>46411</v>
      </c>
      <c r="M312" s="17">
        <v>41827</v>
      </c>
      <c r="N312" s="17">
        <v>37762</v>
      </c>
      <c r="O312" s="17">
        <v>34414</v>
      </c>
      <c r="P312" s="17">
        <v>0</v>
      </c>
      <c r="Q312" s="17">
        <v>0</v>
      </c>
      <c r="R312" s="17">
        <v>0</v>
      </c>
      <c r="S312" s="17">
        <v>0</v>
      </c>
      <c r="T312" s="17">
        <v>0</v>
      </c>
      <c r="U312" s="17">
        <v>0</v>
      </c>
      <c r="V312" s="17">
        <v>0</v>
      </c>
      <c r="W312" s="17">
        <v>0</v>
      </c>
      <c r="X312" s="17">
        <v>0</v>
      </c>
      <c r="Y312" s="17">
        <v>0</v>
      </c>
      <c r="Z312" s="17">
        <v>0</v>
      </c>
      <c r="AA312" s="17">
        <v>0</v>
      </c>
      <c r="AB312" s="17">
        <v>0</v>
      </c>
      <c r="AC312" s="17">
        <v>0</v>
      </c>
      <c r="AD312" s="17">
        <v>0</v>
      </c>
      <c r="AE312" s="17">
        <v>0</v>
      </c>
      <c r="AF312" s="17">
        <v>0</v>
      </c>
      <c r="AG312" s="17">
        <v>0</v>
      </c>
      <c r="AH312" s="17">
        <v>0</v>
      </c>
      <c r="AI312" s="17">
        <v>0</v>
      </c>
      <c r="AJ312" s="17">
        <v>0</v>
      </c>
      <c r="AK312" s="17">
        <v>0</v>
      </c>
      <c r="AL312" s="17">
        <v>0</v>
      </c>
      <c r="AM312" s="17">
        <v>0</v>
      </c>
      <c r="AN312" s="17">
        <v>0</v>
      </c>
      <c r="AO312" s="17">
        <v>0</v>
      </c>
      <c r="AP312" s="18">
        <f t="shared" si="4"/>
        <v>570619</v>
      </c>
    </row>
    <row r="313" spans="1:42" ht="15" customHeight="1" x14ac:dyDescent="0.2">
      <c r="A313" s="16" t="s">
        <v>636</v>
      </c>
      <c r="B313" s="16" t="s">
        <v>637</v>
      </c>
      <c r="C313" s="16" t="s">
        <v>145</v>
      </c>
      <c r="D313" s="16" t="s">
        <v>511</v>
      </c>
      <c r="E313" s="17">
        <v>94193</v>
      </c>
      <c r="F313" s="17">
        <v>470328</v>
      </c>
      <c r="G313" s="17">
        <v>607650</v>
      </c>
      <c r="H313" s="17">
        <v>493834</v>
      </c>
      <c r="I313" s="17">
        <v>194856</v>
      </c>
      <c r="J313" s="17">
        <v>9568</v>
      </c>
      <c r="K313" s="17">
        <v>4616</v>
      </c>
      <c r="L313" s="17">
        <v>2127</v>
      </c>
      <c r="M313" s="17">
        <v>0</v>
      </c>
      <c r="N313" s="17">
        <v>0</v>
      </c>
      <c r="O313" s="17">
        <v>0</v>
      </c>
      <c r="P313" s="17">
        <v>0</v>
      </c>
      <c r="Q313" s="17">
        <v>0</v>
      </c>
      <c r="R313" s="17">
        <v>0</v>
      </c>
      <c r="S313" s="17">
        <v>0</v>
      </c>
      <c r="T313" s="17">
        <v>0</v>
      </c>
      <c r="U313" s="17">
        <v>0</v>
      </c>
      <c r="V313" s="17">
        <v>0</v>
      </c>
      <c r="W313" s="17">
        <v>0</v>
      </c>
      <c r="X313" s="17">
        <v>0</v>
      </c>
      <c r="Y313" s="17">
        <v>0</v>
      </c>
      <c r="Z313" s="17">
        <v>0</v>
      </c>
      <c r="AA313" s="17">
        <v>0</v>
      </c>
      <c r="AB313" s="17">
        <v>0</v>
      </c>
      <c r="AC313" s="17">
        <v>0</v>
      </c>
      <c r="AD313" s="17">
        <v>0</v>
      </c>
      <c r="AE313" s="17">
        <v>0</v>
      </c>
      <c r="AF313" s="17">
        <v>0</v>
      </c>
      <c r="AG313" s="17">
        <v>0</v>
      </c>
      <c r="AH313" s="17">
        <v>0</v>
      </c>
      <c r="AI313" s="17">
        <v>0</v>
      </c>
      <c r="AJ313" s="17">
        <v>0</v>
      </c>
      <c r="AK313" s="17">
        <v>0</v>
      </c>
      <c r="AL313" s="17">
        <v>0</v>
      </c>
      <c r="AM313" s="17">
        <v>0</v>
      </c>
      <c r="AN313" s="17">
        <v>0</v>
      </c>
      <c r="AO313" s="17">
        <v>0</v>
      </c>
      <c r="AP313" s="18">
        <f t="shared" si="4"/>
        <v>1877172</v>
      </c>
    </row>
    <row r="314" spans="1:42" ht="15" customHeight="1" x14ac:dyDescent="0.2">
      <c r="A314" s="16" t="s">
        <v>636</v>
      </c>
      <c r="B314" s="16" t="s">
        <v>637</v>
      </c>
      <c r="C314" s="16" t="s">
        <v>213</v>
      </c>
      <c r="D314" s="16" t="s">
        <v>511</v>
      </c>
      <c r="E314" s="17">
        <v>101617</v>
      </c>
      <c r="F314" s="17">
        <v>492206</v>
      </c>
      <c r="G314" s="17">
        <v>596515</v>
      </c>
      <c r="H314" s="17">
        <v>448667</v>
      </c>
      <c r="I314" s="17">
        <v>196568</v>
      </c>
      <c r="J314" s="17">
        <v>126316</v>
      </c>
      <c r="K314" s="17">
        <v>90739</v>
      </c>
      <c r="L314" s="17">
        <v>65725</v>
      </c>
      <c r="M314" s="17">
        <v>32784</v>
      </c>
      <c r="N314" s="17">
        <v>11986</v>
      </c>
      <c r="O314" s="17">
        <v>10239</v>
      </c>
      <c r="P314" s="17">
        <v>8812</v>
      </c>
      <c r="Q314" s="17">
        <v>7637</v>
      </c>
      <c r="R314" s="17">
        <v>1173</v>
      </c>
      <c r="S314" s="17">
        <v>0</v>
      </c>
      <c r="T314" s="17">
        <v>0</v>
      </c>
      <c r="U314" s="17">
        <v>0</v>
      </c>
      <c r="V314" s="17">
        <v>0</v>
      </c>
      <c r="W314" s="17">
        <v>0</v>
      </c>
      <c r="X314" s="17">
        <v>0</v>
      </c>
      <c r="Y314" s="17">
        <v>0</v>
      </c>
      <c r="Z314" s="17">
        <v>0</v>
      </c>
      <c r="AA314" s="17">
        <v>0</v>
      </c>
      <c r="AB314" s="17">
        <v>0</v>
      </c>
      <c r="AC314" s="17">
        <v>0</v>
      </c>
      <c r="AD314" s="17">
        <v>0</v>
      </c>
      <c r="AE314" s="17">
        <v>0</v>
      </c>
      <c r="AF314" s="17">
        <v>0</v>
      </c>
      <c r="AG314" s="17">
        <v>0</v>
      </c>
      <c r="AH314" s="17">
        <v>0</v>
      </c>
      <c r="AI314" s="17">
        <v>0</v>
      </c>
      <c r="AJ314" s="17">
        <v>0</v>
      </c>
      <c r="AK314" s="17">
        <v>0</v>
      </c>
      <c r="AL314" s="17">
        <v>0</v>
      </c>
      <c r="AM314" s="17">
        <v>0</v>
      </c>
      <c r="AN314" s="17">
        <v>0</v>
      </c>
      <c r="AO314" s="17">
        <v>0</v>
      </c>
      <c r="AP314" s="18">
        <f t="shared" si="4"/>
        <v>2190984</v>
      </c>
    </row>
    <row r="315" spans="1:42" ht="15" customHeight="1" x14ac:dyDescent="0.2">
      <c r="A315" s="16" t="s">
        <v>638</v>
      </c>
      <c r="B315" s="16" t="s">
        <v>639</v>
      </c>
      <c r="C315" s="16" t="s">
        <v>123</v>
      </c>
      <c r="D315" s="16" t="s">
        <v>511</v>
      </c>
      <c r="E315" s="17">
        <v>1104671.3296999999</v>
      </c>
      <c r="F315" s="17">
        <v>846958.78399999999</v>
      </c>
      <c r="G315" s="17">
        <v>664489.12529999996</v>
      </c>
      <c r="H315" s="17">
        <v>528127.58200000005</v>
      </c>
      <c r="I315" s="17">
        <v>482756.94809999998</v>
      </c>
      <c r="J315" s="17">
        <v>361562.50689999998</v>
      </c>
      <c r="K315" s="17">
        <v>284585.7598</v>
      </c>
      <c r="L315" s="17">
        <v>191036.81460000001</v>
      </c>
      <c r="M315" s="17">
        <v>141642.07500000001</v>
      </c>
      <c r="N315" s="17">
        <v>107187.6329</v>
      </c>
      <c r="O315" s="17">
        <v>25599.4817</v>
      </c>
      <c r="P315" s="17">
        <v>0</v>
      </c>
      <c r="Q315" s="17">
        <v>0</v>
      </c>
      <c r="R315" s="17">
        <v>0</v>
      </c>
      <c r="S315" s="17">
        <v>0</v>
      </c>
      <c r="T315" s="17">
        <v>0</v>
      </c>
      <c r="U315" s="17">
        <v>0</v>
      </c>
      <c r="V315" s="17">
        <v>0</v>
      </c>
      <c r="W315" s="17">
        <v>0</v>
      </c>
      <c r="X315" s="17">
        <v>0</v>
      </c>
      <c r="Y315" s="17">
        <v>0</v>
      </c>
      <c r="Z315" s="17">
        <v>0</v>
      </c>
      <c r="AA315" s="17">
        <v>0</v>
      </c>
      <c r="AB315" s="17">
        <v>0</v>
      </c>
      <c r="AC315" s="17">
        <v>0</v>
      </c>
      <c r="AD315" s="17">
        <v>0</v>
      </c>
      <c r="AE315" s="17">
        <v>0</v>
      </c>
      <c r="AF315" s="17">
        <v>0</v>
      </c>
      <c r="AG315" s="17">
        <v>0</v>
      </c>
      <c r="AH315" s="17">
        <v>0</v>
      </c>
      <c r="AI315" s="17">
        <v>0</v>
      </c>
      <c r="AJ315" s="17">
        <v>0</v>
      </c>
      <c r="AK315" s="17">
        <v>0</v>
      </c>
      <c r="AL315" s="17">
        <v>0</v>
      </c>
      <c r="AM315" s="17">
        <v>0</v>
      </c>
      <c r="AN315" s="17">
        <v>0</v>
      </c>
      <c r="AO315" s="17">
        <v>0</v>
      </c>
      <c r="AP315" s="18">
        <f t="shared" si="4"/>
        <v>4738618.04</v>
      </c>
    </row>
    <row r="316" spans="1:42" ht="15" customHeight="1" x14ac:dyDescent="0.2">
      <c r="A316" s="16" t="s">
        <v>638</v>
      </c>
      <c r="B316" s="16" t="s">
        <v>639</v>
      </c>
      <c r="C316" s="16" t="s">
        <v>139</v>
      </c>
      <c r="D316" s="16" t="s">
        <v>511</v>
      </c>
      <c r="E316" s="17">
        <v>2952640.3695</v>
      </c>
      <c r="F316" s="17">
        <v>2141992.1883</v>
      </c>
      <c r="G316" s="17">
        <v>1647836.5571000001</v>
      </c>
      <c r="H316" s="17">
        <v>1317139.4482</v>
      </c>
      <c r="I316" s="17">
        <v>1066438.7120000001</v>
      </c>
      <c r="J316" s="17">
        <v>848856.35690000001</v>
      </c>
      <c r="K316" s="17">
        <v>672778.31640000001</v>
      </c>
      <c r="L316" s="17">
        <v>537262.83019999997</v>
      </c>
      <c r="M316" s="17">
        <v>445808.99249999999</v>
      </c>
      <c r="N316" s="17">
        <v>363984.76640000002</v>
      </c>
      <c r="O316" s="17">
        <v>276829.6176</v>
      </c>
      <c r="P316" s="17">
        <v>202408.87729999999</v>
      </c>
      <c r="Q316" s="17">
        <v>138560.11610000001</v>
      </c>
      <c r="R316" s="17">
        <v>102873.6992</v>
      </c>
      <c r="S316" s="17">
        <v>81099.082999999999</v>
      </c>
      <c r="T316" s="17">
        <v>0</v>
      </c>
      <c r="U316" s="17">
        <v>0</v>
      </c>
      <c r="V316" s="17">
        <v>0</v>
      </c>
      <c r="W316" s="17">
        <v>0</v>
      </c>
      <c r="X316" s="17">
        <v>0</v>
      </c>
      <c r="Y316" s="17">
        <v>0</v>
      </c>
      <c r="Z316" s="17">
        <v>0</v>
      </c>
      <c r="AA316" s="17">
        <v>0</v>
      </c>
      <c r="AB316" s="17">
        <v>0</v>
      </c>
      <c r="AC316" s="17">
        <v>0</v>
      </c>
      <c r="AD316" s="17">
        <v>0</v>
      </c>
      <c r="AE316" s="17">
        <v>0</v>
      </c>
      <c r="AF316" s="17">
        <v>0</v>
      </c>
      <c r="AG316" s="17">
        <v>0</v>
      </c>
      <c r="AH316" s="17">
        <v>0</v>
      </c>
      <c r="AI316" s="17">
        <v>0</v>
      </c>
      <c r="AJ316" s="17">
        <v>0</v>
      </c>
      <c r="AK316" s="17">
        <v>0</v>
      </c>
      <c r="AL316" s="17">
        <v>0</v>
      </c>
      <c r="AM316" s="17">
        <v>0</v>
      </c>
      <c r="AN316" s="17">
        <v>0</v>
      </c>
      <c r="AO316" s="17">
        <v>0</v>
      </c>
      <c r="AP316" s="18">
        <f t="shared" si="4"/>
        <v>12796509.9307</v>
      </c>
    </row>
    <row r="317" spans="1:42" ht="15" customHeight="1" x14ac:dyDescent="0.2">
      <c r="A317" s="16" t="s">
        <v>638</v>
      </c>
      <c r="B317" s="16" t="s">
        <v>639</v>
      </c>
      <c r="C317" s="16" t="s">
        <v>274</v>
      </c>
      <c r="D317" s="16" t="s">
        <v>511</v>
      </c>
      <c r="E317" s="17">
        <v>452302.4326</v>
      </c>
      <c r="F317" s="17">
        <v>307935.05820000003</v>
      </c>
      <c r="G317" s="17">
        <v>219988.8449</v>
      </c>
      <c r="H317" s="17">
        <v>169831.75080000001</v>
      </c>
      <c r="I317" s="17">
        <v>131923.10800000001</v>
      </c>
      <c r="J317" s="17">
        <v>71295.703599999993</v>
      </c>
      <c r="K317" s="17">
        <v>51260.666400000002</v>
      </c>
      <c r="L317" s="17">
        <v>44019.930399999997</v>
      </c>
      <c r="M317" s="17">
        <v>33912.169600000001</v>
      </c>
      <c r="N317" s="17">
        <v>0</v>
      </c>
      <c r="O317" s="17">
        <v>0</v>
      </c>
      <c r="P317" s="17">
        <v>0</v>
      </c>
      <c r="Q317" s="17">
        <v>0</v>
      </c>
      <c r="R317" s="17">
        <v>0</v>
      </c>
      <c r="S317" s="17">
        <v>0</v>
      </c>
      <c r="T317" s="17">
        <v>0</v>
      </c>
      <c r="U317" s="17">
        <v>0</v>
      </c>
      <c r="V317" s="17">
        <v>0</v>
      </c>
      <c r="W317" s="17">
        <v>0</v>
      </c>
      <c r="X317" s="17">
        <v>0</v>
      </c>
      <c r="Y317" s="17">
        <v>0</v>
      </c>
      <c r="Z317" s="17">
        <v>0</v>
      </c>
      <c r="AA317" s="17">
        <v>0</v>
      </c>
      <c r="AB317" s="17">
        <v>0</v>
      </c>
      <c r="AC317" s="17">
        <v>0</v>
      </c>
      <c r="AD317" s="17">
        <v>0</v>
      </c>
      <c r="AE317" s="17">
        <v>0</v>
      </c>
      <c r="AF317" s="17">
        <v>0</v>
      </c>
      <c r="AG317" s="17">
        <v>0</v>
      </c>
      <c r="AH317" s="17">
        <v>0</v>
      </c>
      <c r="AI317" s="17">
        <v>0</v>
      </c>
      <c r="AJ317" s="17">
        <v>0</v>
      </c>
      <c r="AK317" s="17">
        <v>0</v>
      </c>
      <c r="AL317" s="17">
        <v>0</v>
      </c>
      <c r="AM317" s="17">
        <v>0</v>
      </c>
      <c r="AN317" s="17">
        <v>0</v>
      </c>
      <c r="AO317" s="17">
        <v>0</v>
      </c>
      <c r="AP317" s="18">
        <f t="shared" si="4"/>
        <v>1482469.6644999997</v>
      </c>
    </row>
    <row r="318" spans="1:42" ht="15" customHeight="1" x14ac:dyDescent="0.2">
      <c r="A318" s="16" t="s">
        <v>638</v>
      </c>
      <c r="B318" s="16" t="s">
        <v>640</v>
      </c>
      <c r="C318" s="16" t="s">
        <v>137</v>
      </c>
      <c r="D318" s="16" t="s">
        <v>511</v>
      </c>
      <c r="E318" s="17">
        <v>151431.29209999999</v>
      </c>
      <c r="F318" s="17">
        <v>196035.55069999999</v>
      </c>
      <c r="G318" s="17">
        <v>159698.05110000001</v>
      </c>
      <c r="H318" s="17">
        <v>90223.592399999994</v>
      </c>
      <c r="I318" s="17">
        <v>66702.089300000007</v>
      </c>
      <c r="J318" s="17">
        <v>37723.049599999998</v>
      </c>
      <c r="K318" s="17">
        <v>12761.552299999999</v>
      </c>
      <c r="L318" s="17">
        <v>0</v>
      </c>
      <c r="M318" s="17">
        <v>0</v>
      </c>
      <c r="N318" s="17">
        <v>0</v>
      </c>
      <c r="O318" s="17">
        <v>0</v>
      </c>
      <c r="P318" s="17">
        <v>0</v>
      </c>
      <c r="Q318" s="17">
        <v>0</v>
      </c>
      <c r="R318" s="17">
        <v>0</v>
      </c>
      <c r="S318" s="17">
        <v>0</v>
      </c>
      <c r="T318" s="17">
        <v>0</v>
      </c>
      <c r="U318" s="17">
        <v>0</v>
      </c>
      <c r="V318" s="17">
        <v>0</v>
      </c>
      <c r="W318" s="17">
        <v>0</v>
      </c>
      <c r="X318" s="17">
        <v>0</v>
      </c>
      <c r="Y318" s="17">
        <v>0</v>
      </c>
      <c r="Z318" s="17">
        <v>0</v>
      </c>
      <c r="AA318" s="17">
        <v>0</v>
      </c>
      <c r="AB318" s="17">
        <v>0</v>
      </c>
      <c r="AC318" s="17">
        <v>0</v>
      </c>
      <c r="AD318" s="17">
        <v>0</v>
      </c>
      <c r="AE318" s="17">
        <v>0</v>
      </c>
      <c r="AF318" s="17">
        <v>0</v>
      </c>
      <c r="AG318" s="17">
        <v>0</v>
      </c>
      <c r="AH318" s="17">
        <v>0</v>
      </c>
      <c r="AI318" s="17">
        <v>0</v>
      </c>
      <c r="AJ318" s="17">
        <v>0</v>
      </c>
      <c r="AK318" s="17">
        <v>0</v>
      </c>
      <c r="AL318" s="17">
        <v>0</v>
      </c>
      <c r="AM318" s="17">
        <v>0</v>
      </c>
      <c r="AN318" s="17">
        <v>0</v>
      </c>
      <c r="AO318" s="17">
        <v>0</v>
      </c>
      <c r="AP318" s="18">
        <f t="shared" si="4"/>
        <v>714575.17749999999</v>
      </c>
    </row>
    <row r="319" spans="1:42" ht="15" customHeight="1" x14ac:dyDescent="0.2">
      <c r="A319" s="16" t="s">
        <v>638</v>
      </c>
      <c r="B319" s="16" t="s">
        <v>640</v>
      </c>
      <c r="C319" s="16" t="s">
        <v>154</v>
      </c>
      <c r="D319" s="16" t="s">
        <v>511</v>
      </c>
      <c r="E319" s="17">
        <v>0</v>
      </c>
      <c r="F319" s="17">
        <v>76326.896599999993</v>
      </c>
      <c r="G319" s="17">
        <v>0</v>
      </c>
      <c r="H319" s="17">
        <v>0</v>
      </c>
      <c r="I319" s="17">
        <v>0</v>
      </c>
      <c r="J319" s="17">
        <v>0</v>
      </c>
      <c r="K319" s="17">
        <v>0</v>
      </c>
      <c r="L319" s="17">
        <v>0</v>
      </c>
      <c r="M319" s="17">
        <v>0</v>
      </c>
      <c r="N319" s="17">
        <v>0</v>
      </c>
      <c r="O319" s="17">
        <v>0</v>
      </c>
      <c r="P319" s="17">
        <v>0</v>
      </c>
      <c r="Q319" s="17">
        <v>0</v>
      </c>
      <c r="R319" s="17">
        <v>0</v>
      </c>
      <c r="S319" s="17">
        <v>0</v>
      </c>
      <c r="T319" s="17">
        <v>0</v>
      </c>
      <c r="U319" s="17">
        <v>0</v>
      </c>
      <c r="V319" s="17">
        <v>0</v>
      </c>
      <c r="W319" s="17">
        <v>0</v>
      </c>
      <c r="X319" s="17">
        <v>0</v>
      </c>
      <c r="Y319" s="17">
        <v>0</v>
      </c>
      <c r="Z319" s="17">
        <v>0</v>
      </c>
      <c r="AA319" s="17">
        <v>0</v>
      </c>
      <c r="AB319" s="17">
        <v>0</v>
      </c>
      <c r="AC319" s="17">
        <v>0</v>
      </c>
      <c r="AD319" s="17">
        <v>0</v>
      </c>
      <c r="AE319" s="17">
        <v>0</v>
      </c>
      <c r="AF319" s="17">
        <v>0</v>
      </c>
      <c r="AG319" s="17">
        <v>0</v>
      </c>
      <c r="AH319" s="17">
        <v>0</v>
      </c>
      <c r="AI319" s="17">
        <v>0</v>
      </c>
      <c r="AJ319" s="17">
        <v>0</v>
      </c>
      <c r="AK319" s="17">
        <v>0</v>
      </c>
      <c r="AL319" s="17">
        <v>0</v>
      </c>
      <c r="AM319" s="17">
        <v>0</v>
      </c>
      <c r="AN319" s="17">
        <v>0</v>
      </c>
      <c r="AO319" s="17">
        <v>0</v>
      </c>
      <c r="AP319" s="18">
        <f t="shared" si="4"/>
        <v>76326.896599999993</v>
      </c>
    </row>
    <row r="320" spans="1:42" ht="15" customHeight="1" x14ac:dyDescent="0.2">
      <c r="A320" s="16" t="s">
        <v>638</v>
      </c>
      <c r="B320" s="16" t="s">
        <v>640</v>
      </c>
      <c r="C320" s="16" t="s">
        <v>176</v>
      </c>
      <c r="D320" s="16" t="s">
        <v>511</v>
      </c>
      <c r="E320" s="17">
        <v>29098.5452</v>
      </c>
      <c r="F320" s="17">
        <v>24625.738099999999</v>
      </c>
      <c r="G320" s="17">
        <v>9101.5043000000005</v>
      </c>
      <c r="H320" s="17">
        <v>0</v>
      </c>
      <c r="I320" s="17">
        <v>0</v>
      </c>
      <c r="J320" s="17">
        <v>0</v>
      </c>
      <c r="K320" s="17">
        <v>0</v>
      </c>
      <c r="L320" s="17">
        <v>0</v>
      </c>
      <c r="M320" s="17">
        <v>0</v>
      </c>
      <c r="N320" s="17">
        <v>0</v>
      </c>
      <c r="O320" s="17">
        <v>0</v>
      </c>
      <c r="P320" s="17">
        <v>0</v>
      </c>
      <c r="Q320" s="17">
        <v>0</v>
      </c>
      <c r="R320" s="17">
        <v>0</v>
      </c>
      <c r="S320" s="17">
        <v>0</v>
      </c>
      <c r="T320" s="17">
        <v>0</v>
      </c>
      <c r="U320" s="17">
        <v>0</v>
      </c>
      <c r="V320" s="17">
        <v>0</v>
      </c>
      <c r="W320" s="17">
        <v>0</v>
      </c>
      <c r="X320" s="17">
        <v>0</v>
      </c>
      <c r="Y320" s="17">
        <v>0</v>
      </c>
      <c r="Z320" s="17">
        <v>0</v>
      </c>
      <c r="AA320" s="17">
        <v>0</v>
      </c>
      <c r="AB320" s="17">
        <v>0</v>
      </c>
      <c r="AC320" s="17">
        <v>0</v>
      </c>
      <c r="AD320" s="17">
        <v>0</v>
      </c>
      <c r="AE320" s="17">
        <v>0</v>
      </c>
      <c r="AF320" s="17">
        <v>0</v>
      </c>
      <c r="AG320" s="17">
        <v>0</v>
      </c>
      <c r="AH320" s="17">
        <v>0</v>
      </c>
      <c r="AI320" s="17">
        <v>0</v>
      </c>
      <c r="AJ320" s="17">
        <v>0</v>
      </c>
      <c r="AK320" s="17">
        <v>0</v>
      </c>
      <c r="AL320" s="17">
        <v>0</v>
      </c>
      <c r="AM320" s="17">
        <v>0</v>
      </c>
      <c r="AN320" s="17">
        <v>0</v>
      </c>
      <c r="AO320" s="17">
        <v>0</v>
      </c>
      <c r="AP320" s="18">
        <f t="shared" si="4"/>
        <v>62825.787599999996</v>
      </c>
    </row>
    <row r="321" spans="1:42" ht="15" customHeight="1" x14ac:dyDescent="0.2">
      <c r="A321" s="16" t="s">
        <v>638</v>
      </c>
      <c r="B321" s="16" t="s">
        <v>640</v>
      </c>
      <c r="C321" s="16" t="s">
        <v>273</v>
      </c>
      <c r="D321" s="16" t="s">
        <v>511</v>
      </c>
      <c r="E321" s="17">
        <v>120839.7066</v>
      </c>
      <c r="F321" s="17">
        <v>58676.010799999996</v>
      </c>
      <c r="G321" s="17">
        <v>0</v>
      </c>
      <c r="H321" s="17">
        <v>0</v>
      </c>
      <c r="I321" s="17">
        <v>0</v>
      </c>
      <c r="J321" s="17">
        <v>0</v>
      </c>
      <c r="K321" s="17">
        <v>0</v>
      </c>
      <c r="L321" s="17">
        <v>0</v>
      </c>
      <c r="M321" s="17">
        <v>0</v>
      </c>
      <c r="N321" s="17">
        <v>0</v>
      </c>
      <c r="O321" s="17">
        <v>0</v>
      </c>
      <c r="P321" s="17">
        <v>0</v>
      </c>
      <c r="Q321" s="17">
        <v>0</v>
      </c>
      <c r="R321" s="17">
        <v>0</v>
      </c>
      <c r="S321" s="17">
        <v>0</v>
      </c>
      <c r="T321" s="17">
        <v>0</v>
      </c>
      <c r="U321" s="17">
        <v>0</v>
      </c>
      <c r="V321" s="17">
        <v>0</v>
      </c>
      <c r="W321" s="17">
        <v>0</v>
      </c>
      <c r="X321" s="17">
        <v>0</v>
      </c>
      <c r="Y321" s="17">
        <v>0</v>
      </c>
      <c r="Z321" s="17">
        <v>0</v>
      </c>
      <c r="AA321" s="17">
        <v>0</v>
      </c>
      <c r="AB321" s="17">
        <v>0</v>
      </c>
      <c r="AC321" s="17">
        <v>0</v>
      </c>
      <c r="AD321" s="17">
        <v>0</v>
      </c>
      <c r="AE321" s="17">
        <v>0</v>
      </c>
      <c r="AF321" s="17">
        <v>0</v>
      </c>
      <c r="AG321" s="17">
        <v>0</v>
      </c>
      <c r="AH321" s="17">
        <v>0</v>
      </c>
      <c r="AI321" s="17">
        <v>0</v>
      </c>
      <c r="AJ321" s="17">
        <v>0</v>
      </c>
      <c r="AK321" s="17">
        <v>0</v>
      </c>
      <c r="AL321" s="17">
        <v>0</v>
      </c>
      <c r="AM321" s="17">
        <v>0</v>
      </c>
      <c r="AN321" s="17">
        <v>0</v>
      </c>
      <c r="AO321" s="17">
        <v>0</v>
      </c>
      <c r="AP321" s="18">
        <f t="shared" si="4"/>
        <v>179515.71739999999</v>
      </c>
    </row>
    <row r="322" spans="1:42" ht="19.5" customHeight="1" x14ac:dyDescent="0.2">
      <c r="AP322" s="19">
        <f>SUM(AP2:AP321)</f>
        <v>1967794235.5426006</v>
      </c>
    </row>
    <row r="326" spans="1:42" ht="15" customHeight="1" x14ac:dyDescent="0.2">
      <c r="AP326" s="19"/>
    </row>
  </sheetData>
  <autoFilter ref="A1:AP322" xr:uid="{00000000-0009-0000-0000-000001000000}"/>
  <pageMargins left="0.78749999999999998" right="0.78749999999999998" top="0.78749999999999998" bottom="1.23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277"/>
  <sheetViews>
    <sheetView showGridLines="0" zoomScaleNormal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AP3" sqref="AP3"/>
    </sheetView>
  </sheetViews>
  <sheetFormatPr baseColWidth="10" defaultColWidth="11.5" defaultRowHeight="15" x14ac:dyDescent="0.2"/>
  <cols>
    <col min="1" max="1" width="39.83203125" style="13" customWidth="1"/>
    <col min="2" max="2" width="27.1640625" style="13" customWidth="1"/>
    <col min="3" max="3" width="28.6640625" style="13" customWidth="1"/>
    <col min="4" max="4" width="14.33203125" style="13" customWidth="1"/>
    <col min="5" max="42" width="13.5" style="13" customWidth="1"/>
    <col min="43" max="43" width="9" style="13" hidden="1" customWidth="1"/>
    <col min="44" max="16384" width="11.5" style="13"/>
  </cols>
  <sheetData>
    <row r="1" spans="1:42" ht="15" customHeight="1" x14ac:dyDescent="0.2">
      <c r="A1" s="14" t="s">
        <v>506</v>
      </c>
      <c r="B1" s="15" t="s">
        <v>507</v>
      </c>
      <c r="C1" s="15" t="s">
        <v>0</v>
      </c>
      <c r="D1" s="15" t="s">
        <v>508</v>
      </c>
      <c r="E1" s="15">
        <v>2024</v>
      </c>
      <c r="F1" s="15">
        <v>2025</v>
      </c>
      <c r="G1" s="15">
        <v>2026</v>
      </c>
      <c r="H1" s="15">
        <v>2027</v>
      </c>
      <c r="I1" s="15">
        <v>2028</v>
      </c>
      <c r="J1" s="15">
        <v>2029</v>
      </c>
      <c r="K1" s="15">
        <v>2030</v>
      </c>
      <c r="L1" s="15">
        <v>2031</v>
      </c>
      <c r="M1" s="15">
        <v>2032</v>
      </c>
      <c r="N1" s="15">
        <v>2033</v>
      </c>
      <c r="O1" s="15">
        <v>2034</v>
      </c>
      <c r="P1" s="15">
        <v>2035</v>
      </c>
      <c r="Q1" s="15">
        <v>2036</v>
      </c>
      <c r="R1" s="15">
        <v>2037</v>
      </c>
      <c r="S1" s="15">
        <v>2038</v>
      </c>
      <c r="T1" s="15">
        <v>2039</v>
      </c>
      <c r="U1" s="15">
        <v>2040</v>
      </c>
      <c r="V1" s="15">
        <v>2041</v>
      </c>
      <c r="W1" s="15">
        <v>2042</v>
      </c>
      <c r="X1" s="15">
        <v>2043</v>
      </c>
      <c r="Y1" s="15">
        <v>2044</v>
      </c>
      <c r="Z1" s="15">
        <v>2045</v>
      </c>
      <c r="AA1" s="15">
        <v>2046</v>
      </c>
      <c r="AB1" s="15">
        <v>2047</v>
      </c>
      <c r="AC1" s="15">
        <v>2048</v>
      </c>
      <c r="AD1" s="15">
        <v>2049</v>
      </c>
      <c r="AE1" s="15">
        <v>2050</v>
      </c>
      <c r="AF1" s="15">
        <v>2051</v>
      </c>
      <c r="AG1" s="15">
        <v>2052</v>
      </c>
      <c r="AH1" s="15">
        <v>2053</v>
      </c>
      <c r="AI1" s="15">
        <v>2054</v>
      </c>
      <c r="AJ1" s="15">
        <v>2055</v>
      </c>
      <c r="AK1" s="15">
        <v>2056</v>
      </c>
      <c r="AL1" s="15">
        <v>2057</v>
      </c>
      <c r="AM1" s="15">
        <v>2058</v>
      </c>
      <c r="AN1" s="15">
        <v>2059</v>
      </c>
      <c r="AO1" s="15">
        <v>2060</v>
      </c>
      <c r="AP1" s="15" t="s">
        <v>509</v>
      </c>
    </row>
    <row r="2" spans="1:42" ht="15" customHeight="1" x14ac:dyDescent="0.2">
      <c r="A2" s="16" t="s">
        <v>510</v>
      </c>
      <c r="B2" s="16" t="s">
        <v>355</v>
      </c>
      <c r="C2" s="16" t="s">
        <v>355</v>
      </c>
      <c r="D2" s="16" t="s">
        <v>641</v>
      </c>
      <c r="E2" s="17">
        <v>187759.755477778</v>
      </c>
      <c r="F2" s="17">
        <v>268969.138477778</v>
      </c>
      <c r="G2" s="17">
        <v>349556.86847777799</v>
      </c>
      <c r="H2" s="17">
        <v>353874.86277777801</v>
      </c>
      <c r="I2" s="17">
        <v>272914.968077778</v>
      </c>
      <c r="J2" s="17">
        <v>216437.485277778</v>
      </c>
      <c r="K2" s="17">
        <v>177143.042777778</v>
      </c>
      <c r="L2" s="17">
        <v>150676.16067777801</v>
      </c>
      <c r="M2" s="17">
        <v>130869.00587777801</v>
      </c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8">
        <f t="shared" ref="AP2:AP65" si="0">SUM(E2:AO2)</f>
        <v>2108201.2879000022</v>
      </c>
    </row>
    <row r="3" spans="1:42" ht="15" customHeight="1" x14ac:dyDescent="0.2">
      <c r="A3" s="16" t="s">
        <v>512</v>
      </c>
      <c r="B3" s="16" t="s">
        <v>366</v>
      </c>
      <c r="C3" s="16" t="s">
        <v>366</v>
      </c>
      <c r="D3" s="16" t="s">
        <v>641</v>
      </c>
      <c r="E3" s="17">
        <v>39000</v>
      </c>
      <c r="F3" s="17">
        <v>47000</v>
      </c>
      <c r="G3" s="17">
        <v>55000</v>
      </c>
      <c r="H3" s="17">
        <v>53000</v>
      </c>
      <c r="I3" s="17">
        <v>50000</v>
      </c>
      <c r="J3" s="17">
        <v>42000</v>
      </c>
      <c r="K3" s="17">
        <v>44000</v>
      </c>
      <c r="L3" s="17">
        <v>72000</v>
      </c>
      <c r="M3" s="17">
        <v>144000</v>
      </c>
      <c r="N3" s="17">
        <v>99000</v>
      </c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8">
        <f t="shared" si="0"/>
        <v>645000</v>
      </c>
    </row>
    <row r="4" spans="1:42" ht="15" customHeight="1" x14ac:dyDescent="0.2">
      <c r="A4" s="16" t="s">
        <v>513</v>
      </c>
      <c r="B4" s="16" t="s">
        <v>514</v>
      </c>
      <c r="C4" s="16" t="s">
        <v>332</v>
      </c>
      <c r="D4" s="16" t="s">
        <v>641</v>
      </c>
      <c r="E4" s="17">
        <v>110104.83689999999</v>
      </c>
      <c r="F4" s="17">
        <v>97451.867100000003</v>
      </c>
      <c r="G4" s="17">
        <v>74152.982900000003</v>
      </c>
      <c r="H4" s="17">
        <v>58016.025399999999</v>
      </c>
      <c r="I4" s="17">
        <v>46046.200400000002</v>
      </c>
      <c r="J4" s="17">
        <v>36779.977500000001</v>
      </c>
      <c r="K4" s="17">
        <v>29810.5985</v>
      </c>
      <c r="L4" s="17">
        <v>21858.9571</v>
      </c>
      <c r="M4" s="17">
        <v>17998.257799999999</v>
      </c>
      <c r="N4" s="17">
        <v>1396.0008</v>
      </c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8">
        <f t="shared" si="0"/>
        <v>493615.70439999999</v>
      </c>
    </row>
    <row r="5" spans="1:42" ht="15" customHeight="1" x14ac:dyDescent="0.2">
      <c r="A5" s="16" t="s">
        <v>515</v>
      </c>
      <c r="B5" s="16" t="s">
        <v>516</v>
      </c>
      <c r="C5" s="16" t="s">
        <v>171</v>
      </c>
      <c r="D5" s="16" t="s">
        <v>641</v>
      </c>
      <c r="E5" s="17">
        <v>9402.5555999999997</v>
      </c>
      <c r="F5" s="17">
        <v>23665.545999999998</v>
      </c>
      <c r="G5" s="17">
        <v>34105.2981</v>
      </c>
      <c r="H5" s="17">
        <v>44703.983200000002</v>
      </c>
      <c r="I5" s="17">
        <v>53211.0167</v>
      </c>
      <c r="J5" s="17">
        <v>14395.781499999999</v>
      </c>
      <c r="K5" s="17">
        <v>0</v>
      </c>
      <c r="L5" s="17">
        <v>0</v>
      </c>
      <c r="M5" s="17">
        <v>0</v>
      </c>
      <c r="N5" s="17">
        <v>0</v>
      </c>
      <c r="O5" s="17">
        <v>0</v>
      </c>
      <c r="P5" s="17">
        <v>0</v>
      </c>
      <c r="Q5" s="17">
        <v>0</v>
      </c>
      <c r="R5" s="17">
        <v>0</v>
      </c>
      <c r="S5" s="17">
        <v>0</v>
      </c>
      <c r="T5" s="17">
        <v>0</v>
      </c>
      <c r="U5" s="17">
        <v>0</v>
      </c>
      <c r="V5" s="17">
        <v>0</v>
      </c>
      <c r="W5" s="17">
        <v>0</v>
      </c>
      <c r="X5" s="17">
        <v>0</v>
      </c>
      <c r="Y5" s="17">
        <v>0</v>
      </c>
      <c r="Z5" s="17">
        <v>0</v>
      </c>
      <c r="AA5" s="17">
        <v>0</v>
      </c>
      <c r="AB5" s="17">
        <v>0</v>
      </c>
      <c r="AC5" s="17">
        <v>0</v>
      </c>
      <c r="AD5" s="17">
        <v>0</v>
      </c>
      <c r="AE5" s="17">
        <v>0</v>
      </c>
      <c r="AF5" s="17">
        <v>0</v>
      </c>
      <c r="AG5" s="17">
        <v>0</v>
      </c>
      <c r="AH5" s="17">
        <v>0</v>
      </c>
      <c r="AI5" s="17">
        <v>0</v>
      </c>
      <c r="AJ5" s="17">
        <v>0</v>
      </c>
      <c r="AK5" s="17">
        <v>0</v>
      </c>
      <c r="AL5" s="17">
        <v>0</v>
      </c>
      <c r="AM5" s="17">
        <v>0</v>
      </c>
      <c r="AN5" s="17">
        <v>0</v>
      </c>
      <c r="AO5" s="17">
        <v>0</v>
      </c>
      <c r="AP5" s="18">
        <f t="shared" si="0"/>
        <v>179484.18110000002</v>
      </c>
    </row>
    <row r="6" spans="1:42" ht="15" customHeight="1" x14ac:dyDescent="0.2">
      <c r="A6" s="16" t="s">
        <v>515</v>
      </c>
      <c r="B6" s="16" t="s">
        <v>516</v>
      </c>
      <c r="C6" s="16" t="s">
        <v>172</v>
      </c>
      <c r="D6" s="16" t="s">
        <v>641</v>
      </c>
      <c r="E6" s="17">
        <v>7506.4485999999997</v>
      </c>
      <c r="F6" s="17">
        <v>17019.7058</v>
      </c>
      <c r="G6" s="17">
        <v>23675.3089</v>
      </c>
      <c r="H6" s="17">
        <v>28045.108700000001</v>
      </c>
      <c r="I6" s="17">
        <v>31042.975699999999</v>
      </c>
      <c r="J6" s="17">
        <v>7956.5789000000004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  <c r="AC6" s="17">
        <v>0</v>
      </c>
      <c r="AD6" s="17">
        <v>0</v>
      </c>
      <c r="AE6" s="17">
        <v>0</v>
      </c>
      <c r="AF6" s="17">
        <v>0</v>
      </c>
      <c r="AG6" s="17">
        <v>0</v>
      </c>
      <c r="AH6" s="17">
        <v>0</v>
      </c>
      <c r="AI6" s="17">
        <v>0</v>
      </c>
      <c r="AJ6" s="17">
        <v>0</v>
      </c>
      <c r="AK6" s="17">
        <v>0</v>
      </c>
      <c r="AL6" s="17">
        <v>0</v>
      </c>
      <c r="AM6" s="17">
        <v>0</v>
      </c>
      <c r="AN6" s="17">
        <v>0</v>
      </c>
      <c r="AO6" s="17">
        <v>0</v>
      </c>
      <c r="AP6" s="18">
        <f t="shared" si="0"/>
        <v>115246.12659999999</v>
      </c>
    </row>
    <row r="7" spans="1:42" ht="15" customHeight="1" x14ac:dyDescent="0.2">
      <c r="A7" s="16" t="s">
        <v>515</v>
      </c>
      <c r="B7" s="16" t="s">
        <v>516</v>
      </c>
      <c r="C7" s="16" t="s">
        <v>234</v>
      </c>
      <c r="D7" s="16" t="s">
        <v>641</v>
      </c>
      <c r="E7" s="17">
        <v>3111.3416999999999</v>
      </c>
      <c r="F7" s="17">
        <v>8551.2476000000006</v>
      </c>
      <c r="G7" s="17">
        <v>12870.242099999999</v>
      </c>
      <c r="H7" s="17">
        <v>16252.8933</v>
      </c>
      <c r="I7" s="17">
        <v>20013.122299999999</v>
      </c>
      <c r="J7" s="17">
        <v>6541.5762000000004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  <c r="AC7" s="17">
        <v>0</v>
      </c>
      <c r="AD7" s="17">
        <v>0</v>
      </c>
      <c r="AE7" s="17">
        <v>0</v>
      </c>
      <c r="AF7" s="17">
        <v>0</v>
      </c>
      <c r="AG7" s="17">
        <v>0</v>
      </c>
      <c r="AH7" s="17">
        <v>0</v>
      </c>
      <c r="AI7" s="17">
        <v>0</v>
      </c>
      <c r="AJ7" s="17">
        <v>0</v>
      </c>
      <c r="AK7" s="17">
        <v>0</v>
      </c>
      <c r="AL7" s="17">
        <v>0</v>
      </c>
      <c r="AM7" s="17">
        <v>0</v>
      </c>
      <c r="AN7" s="17">
        <v>0</v>
      </c>
      <c r="AO7" s="17">
        <v>0</v>
      </c>
      <c r="AP7" s="18">
        <f t="shared" si="0"/>
        <v>67340.42319999999</v>
      </c>
    </row>
    <row r="8" spans="1:42" ht="15" customHeight="1" x14ac:dyDescent="0.2">
      <c r="A8" s="16" t="s">
        <v>515</v>
      </c>
      <c r="B8" s="16" t="s">
        <v>516</v>
      </c>
      <c r="C8" s="16" t="s">
        <v>344</v>
      </c>
      <c r="D8" s="16" t="s">
        <v>641</v>
      </c>
      <c r="E8" s="17">
        <v>7913.7151999999996</v>
      </c>
      <c r="F8" s="17">
        <v>22762.988600000001</v>
      </c>
      <c r="G8" s="17">
        <v>33110.965300000003</v>
      </c>
      <c r="H8" s="17">
        <v>36409.640800000001</v>
      </c>
      <c r="I8" s="17">
        <v>41379.163399999998</v>
      </c>
      <c r="J8" s="17">
        <v>10722.357400000001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  <c r="AC8" s="17">
        <v>0</v>
      </c>
      <c r="AD8" s="17">
        <v>0</v>
      </c>
      <c r="AE8" s="17">
        <v>0</v>
      </c>
      <c r="AF8" s="17">
        <v>0</v>
      </c>
      <c r="AG8" s="17">
        <v>0</v>
      </c>
      <c r="AH8" s="17">
        <v>0</v>
      </c>
      <c r="AI8" s="17">
        <v>0</v>
      </c>
      <c r="AJ8" s="17">
        <v>0</v>
      </c>
      <c r="AK8" s="17">
        <v>0</v>
      </c>
      <c r="AL8" s="17">
        <v>0</v>
      </c>
      <c r="AM8" s="17">
        <v>0</v>
      </c>
      <c r="AN8" s="17">
        <v>0</v>
      </c>
      <c r="AO8" s="17">
        <v>0</v>
      </c>
      <c r="AP8" s="18">
        <f t="shared" si="0"/>
        <v>152298.83069999999</v>
      </c>
    </row>
    <row r="9" spans="1:42" ht="15" customHeight="1" x14ac:dyDescent="0.2">
      <c r="A9" s="16" t="s">
        <v>515</v>
      </c>
      <c r="B9" s="16" t="s">
        <v>516</v>
      </c>
      <c r="C9" s="16" t="s">
        <v>345</v>
      </c>
      <c r="D9" s="16" t="s">
        <v>641</v>
      </c>
      <c r="E9" s="17">
        <v>2637.8591999999999</v>
      </c>
      <c r="F9" s="17">
        <v>7078.817</v>
      </c>
      <c r="G9" s="17">
        <v>13045.743200000001</v>
      </c>
      <c r="H9" s="17">
        <v>12785.5327</v>
      </c>
      <c r="I9" s="17">
        <v>14082.5226</v>
      </c>
      <c r="J9" s="17">
        <v>3681.6028000000001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7">
        <v>0</v>
      </c>
      <c r="R9" s="17">
        <v>0</v>
      </c>
      <c r="S9" s="17">
        <v>0</v>
      </c>
      <c r="T9" s="17">
        <v>0</v>
      </c>
      <c r="U9" s="17">
        <v>0</v>
      </c>
      <c r="V9" s="17">
        <v>0</v>
      </c>
      <c r="W9" s="17">
        <v>0</v>
      </c>
      <c r="X9" s="17">
        <v>0</v>
      </c>
      <c r="Y9" s="17">
        <v>0</v>
      </c>
      <c r="Z9" s="17">
        <v>0</v>
      </c>
      <c r="AA9" s="17">
        <v>0</v>
      </c>
      <c r="AB9" s="17">
        <v>0</v>
      </c>
      <c r="AC9" s="17">
        <v>0</v>
      </c>
      <c r="AD9" s="17">
        <v>0</v>
      </c>
      <c r="AE9" s="17">
        <v>0</v>
      </c>
      <c r="AF9" s="17">
        <v>0</v>
      </c>
      <c r="AG9" s="17">
        <v>0</v>
      </c>
      <c r="AH9" s="17">
        <v>0</v>
      </c>
      <c r="AI9" s="17">
        <v>0</v>
      </c>
      <c r="AJ9" s="17">
        <v>0</v>
      </c>
      <c r="AK9" s="17">
        <v>0</v>
      </c>
      <c r="AL9" s="17">
        <v>0</v>
      </c>
      <c r="AM9" s="17">
        <v>0</v>
      </c>
      <c r="AN9" s="17">
        <v>0</v>
      </c>
      <c r="AO9" s="17">
        <v>0</v>
      </c>
      <c r="AP9" s="18">
        <f t="shared" si="0"/>
        <v>53312.077499999992</v>
      </c>
    </row>
    <row r="10" spans="1:42" ht="15" customHeight="1" x14ac:dyDescent="0.2">
      <c r="A10" s="16" t="s">
        <v>515</v>
      </c>
      <c r="B10" s="16" t="s">
        <v>516</v>
      </c>
      <c r="C10" s="16" t="s">
        <v>346</v>
      </c>
      <c r="D10" s="16" t="s">
        <v>641</v>
      </c>
      <c r="E10" s="17">
        <v>3715.6297</v>
      </c>
      <c r="F10" s="17">
        <v>10925.933800000001</v>
      </c>
      <c r="G10" s="17">
        <v>16139.7816</v>
      </c>
      <c r="H10" s="17">
        <v>19747.5412</v>
      </c>
      <c r="I10" s="17">
        <v>27194.331399999999</v>
      </c>
      <c r="J10" s="17">
        <v>7684.1522999999997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0</v>
      </c>
      <c r="AC10" s="17">
        <v>0</v>
      </c>
      <c r="AD10" s="17">
        <v>0</v>
      </c>
      <c r="AE10" s="17">
        <v>0</v>
      </c>
      <c r="AF10" s="17">
        <v>0</v>
      </c>
      <c r="AG10" s="17">
        <v>0</v>
      </c>
      <c r="AH10" s="17">
        <v>0</v>
      </c>
      <c r="AI10" s="17">
        <v>0</v>
      </c>
      <c r="AJ10" s="17">
        <v>0</v>
      </c>
      <c r="AK10" s="17">
        <v>0</v>
      </c>
      <c r="AL10" s="17">
        <v>0</v>
      </c>
      <c r="AM10" s="17">
        <v>0</v>
      </c>
      <c r="AN10" s="17">
        <v>0</v>
      </c>
      <c r="AO10" s="17">
        <v>0</v>
      </c>
      <c r="AP10" s="18">
        <f t="shared" si="0"/>
        <v>85407.37</v>
      </c>
    </row>
    <row r="11" spans="1:42" ht="15" customHeight="1" x14ac:dyDescent="0.2">
      <c r="A11" s="16" t="s">
        <v>515</v>
      </c>
      <c r="B11" s="16" t="s">
        <v>516</v>
      </c>
      <c r="C11" s="16" t="s">
        <v>347</v>
      </c>
      <c r="D11" s="16" t="s">
        <v>641</v>
      </c>
      <c r="E11" s="17">
        <v>8346.0463</v>
      </c>
      <c r="F11" s="17">
        <v>12121.5453</v>
      </c>
      <c r="G11" s="17">
        <v>16284.6649</v>
      </c>
      <c r="H11" s="17">
        <v>18940.866099999999</v>
      </c>
      <c r="I11" s="17">
        <v>26239.322400000001</v>
      </c>
      <c r="J11" s="17">
        <v>6625.0811999999996</v>
      </c>
      <c r="K11" s="17">
        <v>0</v>
      </c>
      <c r="L11" s="17">
        <v>0</v>
      </c>
      <c r="M11" s="17">
        <v>0</v>
      </c>
      <c r="N11" s="17">
        <v>0</v>
      </c>
      <c r="O11" s="17">
        <v>0</v>
      </c>
      <c r="P11" s="17">
        <v>0</v>
      </c>
      <c r="Q11" s="17">
        <v>0</v>
      </c>
      <c r="R11" s="17">
        <v>0</v>
      </c>
      <c r="S11" s="17">
        <v>0</v>
      </c>
      <c r="T11" s="17">
        <v>0</v>
      </c>
      <c r="U11" s="17">
        <v>0</v>
      </c>
      <c r="V11" s="17">
        <v>0</v>
      </c>
      <c r="W11" s="17">
        <v>0</v>
      </c>
      <c r="X11" s="17">
        <v>0</v>
      </c>
      <c r="Y11" s="17">
        <v>0</v>
      </c>
      <c r="Z11" s="17">
        <v>0</v>
      </c>
      <c r="AA11" s="17">
        <v>0</v>
      </c>
      <c r="AB11" s="17">
        <v>0</v>
      </c>
      <c r="AC11" s="17">
        <v>0</v>
      </c>
      <c r="AD11" s="17">
        <v>0</v>
      </c>
      <c r="AE11" s="17">
        <v>0</v>
      </c>
      <c r="AF11" s="17">
        <v>0</v>
      </c>
      <c r="AG11" s="17">
        <v>0</v>
      </c>
      <c r="AH11" s="17">
        <v>0</v>
      </c>
      <c r="AI11" s="17">
        <v>0</v>
      </c>
      <c r="AJ11" s="17">
        <v>0</v>
      </c>
      <c r="AK11" s="17">
        <v>0</v>
      </c>
      <c r="AL11" s="17">
        <v>0</v>
      </c>
      <c r="AM11" s="17">
        <v>0</v>
      </c>
      <c r="AN11" s="17">
        <v>0</v>
      </c>
      <c r="AO11" s="17">
        <v>0</v>
      </c>
      <c r="AP11" s="18">
        <f t="shared" si="0"/>
        <v>88557.526200000008</v>
      </c>
    </row>
    <row r="12" spans="1:42" ht="15" customHeight="1" x14ac:dyDescent="0.2">
      <c r="A12" s="16" t="s">
        <v>515</v>
      </c>
      <c r="B12" s="16" t="s">
        <v>516</v>
      </c>
      <c r="C12" s="16" t="s">
        <v>367</v>
      </c>
      <c r="D12" s="16" t="s">
        <v>641</v>
      </c>
      <c r="E12" s="17">
        <v>406.76170000000002</v>
      </c>
      <c r="F12" s="17">
        <v>1095.0264999999999</v>
      </c>
      <c r="G12" s="17">
        <v>1627.2733000000001</v>
      </c>
      <c r="H12" s="17">
        <v>2031.7850000000001</v>
      </c>
      <c r="I12" s="17">
        <v>2338.6691000000001</v>
      </c>
      <c r="J12" s="17">
        <v>611.11810000000003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  <c r="X12" s="17">
        <v>0</v>
      </c>
      <c r="Y12" s="17">
        <v>0</v>
      </c>
      <c r="Z12" s="17">
        <v>0</v>
      </c>
      <c r="AA12" s="17">
        <v>0</v>
      </c>
      <c r="AB12" s="17">
        <v>0</v>
      </c>
      <c r="AC12" s="17">
        <v>0</v>
      </c>
      <c r="AD12" s="17">
        <v>0</v>
      </c>
      <c r="AE12" s="17">
        <v>0</v>
      </c>
      <c r="AF12" s="17">
        <v>0</v>
      </c>
      <c r="AG12" s="17">
        <v>0</v>
      </c>
      <c r="AH12" s="17">
        <v>0</v>
      </c>
      <c r="AI12" s="17">
        <v>0</v>
      </c>
      <c r="AJ12" s="17">
        <v>0</v>
      </c>
      <c r="AK12" s="17">
        <v>0</v>
      </c>
      <c r="AL12" s="17">
        <v>0</v>
      </c>
      <c r="AM12" s="17">
        <v>0</v>
      </c>
      <c r="AN12" s="17">
        <v>0</v>
      </c>
      <c r="AO12" s="17">
        <v>0</v>
      </c>
      <c r="AP12" s="18">
        <f t="shared" si="0"/>
        <v>8110.6336999999994</v>
      </c>
    </row>
    <row r="13" spans="1:42" ht="15" customHeight="1" x14ac:dyDescent="0.2">
      <c r="A13" s="16" t="s">
        <v>515</v>
      </c>
      <c r="B13" s="16" t="s">
        <v>516</v>
      </c>
      <c r="C13" s="16" t="s">
        <v>409</v>
      </c>
      <c r="D13" s="16" t="s">
        <v>641</v>
      </c>
      <c r="E13" s="17">
        <v>1297.1288999999999</v>
      </c>
      <c r="F13" s="17">
        <v>3409.2094999999999</v>
      </c>
      <c r="G13" s="17">
        <v>4944.1994000000004</v>
      </c>
      <c r="H13" s="17">
        <v>6035.2537000000002</v>
      </c>
      <c r="I13" s="17">
        <v>6804.4083000000001</v>
      </c>
      <c r="J13" s="17">
        <v>1756.9735000000001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  <c r="AE13" s="17">
        <v>0</v>
      </c>
      <c r="AF13" s="17">
        <v>0</v>
      </c>
      <c r="AG13" s="17">
        <v>0</v>
      </c>
      <c r="AH13" s="17">
        <v>0</v>
      </c>
      <c r="AI13" s="17">
        <v>0</v>
      </c>
      <c r="AJ13" s="17">
        <v>0</v>
      </c>
      <c r="AK13" s="17">
        <v>0</v>
      </c>
      <c r="AL13" s="17">
        <v>0</v>
      </c>
      <c r="AM13" s="17">
        <v>0</v>
      </c>
      <c r="AN13" s="17">
        <v>0</v>
      </c>
      <c r="AO13" s="17">
        <v>0</v>
      </c>
      <c r="AP13" s="18">
        <f t="shared" si="0"/>
        <v>24247.173299999999</v>
      </c>
    </row>
    <row r="14" spans="1:42" ht="15" customHeight="1" x14ac:dyDescent="0.2">
      <c r="A14" s="16" t="s">
        <v>515</v>
      </c>
      <c r="B14" s="16" t="s">
        <v>516</v>
      </c>
      <c r="C14" s="16" t="s">
        <v>410</v>
      </c>
      <c r="D14" s="16" t="s">
        <v>641</v>
      </c>
      <c r="E14" s="17">
        <v>1974.6556</v>
      </c>
      <c r="F14" s="17">
        <v>5145.5950000000003</v>
      </c>
      <c r="G14" s="17">
        <v>7930.9830000000002</v>
      </c>
      <c r="H14" s="17">
        <v>10167.1139</v>
      </c>
      <c r="I14" s="17">
        <v>11906.2799</v>
      </c>
      <c r="J14" s="17">
        <v>3137.9962999999998</v>
      </c>
      <c r="K14" s="17">
        <v>0</v>
      </c>
      <c r="L14" s="17">
        <v>0</v>
      </c>
      <c r="M14" s="17">
        <v>0</v>
      </c>
      <c r="N14" s="17">
        <v>0</v>
      </c>
      <c r="O14" s="17">
        <v>0</v>
      </c>
      <c r="P14" s="17">
        <v>0</v>
      </c>
      <c r="Q14" s="17">
        <v>0</v>
      </c>
      <c r="R14" s="17">
        <v>0</v>
      </c>
      <c r="S14" s="17">
        <v>0</v>
      </c>
      <c r="T14" s="17">
        <v>0</v>
      </c>
      <c r="U14" s="17">
        <v>0</v>
      </c>
      <c r="V14" s="17">
        <v>0</v>
      </c>
      <c r="W14" s="17">
        <v>0</v>
      </c>
      <c r="X14" s="17">
        <v>0</v>
      </c>
      <c r="Y14" s="17">
        <v>0</v>
      </c>
      <c r="Z14" s="17">
        <v>0</v>
      </c>
      <c r="AA14" s="17">
        <v>0</v>
      </c>
      <c r="AB14" s="17">
        <v>0</v>
      </c>
      <c r="AC14" s="17">
        <v>0</v>
      </c>
      <c r="AD14" s="17">
        <v>0</v>
      </c>
      <c r="AE14" s="17">
        <v>0</v>
      </c>
      <c r="AF14" s="17">
        <v>0</v>
      </c>
      <c r="AG14" s="17">
        <v>0</v>
      </c>
      <c r="AH14" s="17">
        <v>0</v>
      </c>
      <c r="AI14" s="17">
        <v>0</v>
      </c>
      <c r="AJ14" s="17">
        <v>0</v>
      </c>
      <c r="AK14" s="17">
        <v>0</v>
      </c>
      <c r="AL14" s="17">
        <v>0</v>
      </c>
      <c r="AM14" s="17">
        <v>0</v>
      </c>
      <c r="AN14" s="17">
        <v>0</v>
      </c>
      <c r="AO14" s="17">
        <v>0</v>
      </c>
      <c r="AP14" s="18">
        <f t="shared" si="0"/>
        <v>40262.623699999996</v>
      </c>
    </row>
    <row r="15" spans="1:42" ht="15" customHeight="1" x14ac:dyDescent="0.2">
      <c r="A15" s="16" t="s">
        <v>515</v>
      </c>
      <c r="B15" s="16" t="s">
        <v>516</v>
      </c>
      <c r="C15" s="16" t="s">
        <v>411</v>
      </c>
      <c r="D15" s="16" t="s">
        <v>641</v>
      </c>
      <c r="E15" s="17">
        <v>732.74260000000004</v>
      </c>
      <c r="F15" s="17">
        <v>2221.4477000000002</v>
      </c>
      <c r="G15" s="17">
        <v>4033.8611000000001</v>
      </c>
      <c r="H15" s="17">
        <v>2680.2934</v>
      </c>
      <c r="I15" s="17">
        <v>3017.2782999999999</v>
      </c>
      <c r="J15" s="17">
        <v>778.03269999999998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  <c r="AE15" s="17">
        <v>0</v>
      </c>
      <c r="AF15" s="17">
        <v>0</v>
      </c>
      <c r="AG15" s="17">
        <v>0</v>
      </c>
      <c r="AH15" s="17">
        <v>0</v>
      </c>
      <c r="AI15" s="17">
        <v>0</v>
      </c>
      <c r="AJ15" s="17">
        <v>0</v>
      </c>
      <c r="AK15" s="17">
        <v>0</v>
      </c>
      <c r="AL15" s="17">
        <v>0</v>
      </c>
      <c r="AM15" s="17">
        <v>0</v>
      </c>
      <c r="AN15" s="17">
        <v>0</v>
      </c>
      <c r="AO15" s="17">
        <v>0</v>
      </c>
      <c r="AP15" s="18">
        <f t="shared" si="0"/>
        <v>13463.6558</v>
      </c>
    </row>
    <row r="16" spans="1:42" ht="15" customHeight="1" x14ac:dyDescent="0.2">
      <c r="A16" s="16" t="s">
        <v>515</v>
      </c>
      <c r="B16" s="16" t="s">
        <v>516</v>
      </c>
      <c r="C16" s="16" t="s">
        <v>419</v>
      </c>
      <c r="D16" s="16" t="s">
        <v>641</v>
      </c>
      <c r="E16" s="17">
        <v>150.83750000000001</v>
      </c>
      <c r="F16" s="17">
        <v>404.16379999999998</v>
      </c>
      <c r="G16" s="17">
        <v>598.48810000000003</v>
      </c>
      <c r="H16" s="17">
        <v>2970.1950000000002</v>
      </c>
      <c r="I16" s="17">
        <v>5886.8310000000001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  <c r="AE16" s="17">
        <v>0</v>
      </c>
      <c r="AF16" s="17">
        <v>0</v>
      </c>
      <c r="AG16" s="17">
        <v>0</v>
      </c>
      <c r="AH16" s="17">
        <v>0</v>
      </c>
      <c r="AI16" s="17">
        <v>0</v>
      </c>
      <c r="AJ16" s="17">
        <v>0</v>
      </c>
      <c r="AK16" s="17">
        <v>0</v>
      </c>
      <c r="AL16" s="17">
        <v>0</v>
      </c>
      <c r="AM16" s="17">
        <v>0</v>
      </c>
      <c r="AN16" s="17">
        <v>0</v>
      </c>
      <c r="AO16" s="17">
        <v>0</v>
      </c>
      <c r="AP16" s="18">
        <f t="shared" si="0"/>
        <v>10010.5154</v>
      </c>
    </row>
    <row r="17" spans="1:42" ht="15" customHeight="1" x14ac:dyDescent="0.2">
      <c r="A17" s="16" t="s">
        <v>515</v>
      </c>
      <c r="B17" s="16" t="s">
        <v>517</v>
      </c>
      <c r="C17" s="16" t="s">
        <v>365</v>
      </c>
      <c r="D17" s="16" t="s">
        <v>641</v>
      </c>
      <c r="E17" s="17">
        <v>19983.2052</v>
      </c>
      <c r="F17" s="17">
        <v>34665.481899999999</v>
      </c>
      <c r="G17" s="17">
        <v>0</v>
      </c>
      <c r="H17" s="17">
        <v>0</v>
      </c>
      <c r="I17" s="17">
        <v>0</v>
      </c>
      <c r="J17" s="17">
        <v>0</v>
      </c>
      <c r="K17" s="17">
        <v>0</v>
      </c>
      <c r="L17" s="17">
        <v>0</v>
      </c>
      <c r="M17" s="17">
        <v>0</v>
      </c>
      <c r="N17" s="17">
        <v>0</v>
      </c>
      <c r="O17" s="17">
        <v>0</v>
      </c>
      <c r="P17" s="17">
        <v>0</v>
      </c>
      <c r="Q17" s="17">
        <v>0</v>
      </c>
      <c r="R17" s="17">
        <v>0</v>
      </c>
      <c r="S17" s="17">
        <v>0</v>
      </c>
      <c r="T17" s="17">
        <v>0</v>
      </c>
      <c r="U17" s="17">
        <v>0</v>
      </c>
      <c r="V17" s="17">
        <v>0</v>
      </c>
      <c r="W17" s="17">
        <v>0</v>
      </c>
      <c r="X17" s="17">
        <v>0</v>
      </c>
      <c r="Y17" s="17">
        <v>0</v>
      </c>
      <c r="Z17" s="17">
        <v>0</v>
      </c>
      <c r="AA17" s="17">
        <v>0</v>
      </c>
      <c r="AB17" s="17">
        <v>0</v>
      </c>
      <c r="AC17" s="17">
        <v>0</v>
      </c>
      <c r="AD17" s="17">
        <v>0</v>
      </c>
      <c r="AE17" s="17">
        <v>0</v>
      </c>
      <c r="AF17" s="17">
        <v>0</v>
      </c>
      <c r="AG17" s="17">
        <v>0</v>
      </c>
      <c r="AH17" s="17">
        <v>0</v>
      </c>
      <c r="AI17" s="17">
        <v>0</v>
      </c>
      <c r="AJ17" s="17">
        <v>0</v>
      </c>
      <c r="AK17" s="17">
        <v>0</v>
      </c>
      <c r="AL17" s="17">
        <v>0</v>
      </c>
      <c r="AM17" s="17">
        <v>0</v>
      </c>
      <c r="AN17" s="17">
        <v>0</v>
      </c>
      <c r="AO17" s="17">
        <v>0</v>
      </c>
      <c r="AP17" s="18">
        <f t="shared" si="0"/>
        <v>54648.687099999996</v>
      </c>
    </row>
    <row r="18" spans="1:42" ht="15" customHeight="1" x14ac:dyDescent="0.2">
      <c r="A18" s="16" t="s">
        <v>518</v>
      </c>
      <c r="B18" s="16" t="s">
        <v>519</v>
      </c>
      <c r="C18" s="16" t="s">
        <v>156</v>
      </c>
      <c r="D18" s="16" t="s">
        <v>641</v>
      </c>
      <c r="E18" s="17">
        <v>46312</v>
      </c>
      <c r="F18" s="17">
        <v>50645</v>
      </c>
      <c r="G18" s="17">
        <v>69765</v>
      </c>
      <c r="H18" s="17">
        <v>105840</v>
      </c>
      <c r="I18" s="17">
        <v>363137</v>
      </c>
      <c r="J18" s="17">
        <v>281475</v>
      </c>
      <c r="K18" s="17">
        <v>176775</v>
      </c>
      <c r="L18" s="17">
        <v>132495</v>
      </c>
      <c r="M18" s="17">
        <v>88236</v>
      </c>
      <c r="N18" s="17">
        <v>53336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  <c r="AE18" s="17">
        <v>0</v>
      </c>
      <c r="AF18" s="17">
        <v>0</v>
      </c>
      <c r="AG18" s="17">
        <v>0</v>
      </c>
      <c r="AH18" s="17">
        <v>0</v>
      </c>
      <c r="AI18" s="17">
        <v>0</v>
      </c>
      <c r="AJ18" s="17">
        <v>0</v>
      </c>
      <c r="AK18" s="17">
        <v>0</v>
      </c>
      <c r="AL18" s="17">
        <v>0</v>
      </c>
      <c r="AM18" s="17">
        <v>0</v>
      </c>
      <c r="AN18" s="17">
        <v>0</v>
      </c>
      <c r="AO18" s="17">
        <v>0</v>
      </c>
      <c r="AP18" s="18">
        <f t="shared" si="0"/>
        <v>1368016</v>
      </c>
    </row>
    <row r="19" spans="1:42" ht="15" customHeight="1" x14ac:dyDescent="0.2">
      <c r="A19" s="16" t="s">
        <v>518</v>
      </c>
      <c r="B19" s="16" t="s">
        <v>519</v>
      </c>
      <c r="C19" s="16" t="s">
        <v>237</v>
      </c>
      <c r="D19" s="16" t="s">
        <v>641</v>
      </c>
      <c r="E19" s="17">
        <v>24782</v>
      </c>
      <c r="F19" s="17">
        <v>45254</v>
      </c>
      <c r="G19" s="17">
        <v>46970</v>
      </c>
      <c r="H19" s="17">
        <v>42994</v>
      </c>
      <c r="I19" s="17">
        <v>36532</v>
      </c>
      <c r="J19" s="17">
        <v>33270</v>
      </c>
      <c r="K19" s="17">
        <v>28925</v>
      </c>
      <c r="L19" s="17">
        <v>21971</v>
      </c>
      <c r="M19" s="17">
        <v>18309</v>
      </c>
      <c r="N19" s="17">
        <v>101590</v>
      </c>
      <c r="O19" s="17">
        <v>136283</v>
      </c>
      <c r="P19" s="17">
        <v>91708</v>
      </c>
      <c r="Q19" s="17">
        <v>65541</v>
      </c>
      <c r="R19" s="17">
        <v>48447</v>
      </c>
      <c r="S19" s="17">
        <v>37460</v>
      </c>
      <c r="T19" s="17">
        <v>30187</v>
      </c>
      <c r="U19" s="17">
        <v>25338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17">
        <v>0</v>
      </c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8">
        <f t="shared" si="0"/>
        <v>835561</v>
      </c>
    </row>
    <row r="20" spans="1:42" ht="15" customHeight="1" x14ac:dyDescent="0.2">
      <c r="A20" s="16" t="s">
        <v>518</v>
      </c>
      <c r="B20" s="16" t="s">
        <v>520</v>
      </c>
      <c r="C20" s="16" t="s">
        <v>226</v>
      </c>
      <c r="D20" s="16" t="s">
        <v>641</v>
      </c>
      <c r="E20" s="17">
        <v>50276</v>
      </c>
      <c r="F20" s="17">
        <v>37910</v>
      </c>
      <c r="G20" s="17">
        <v>32619</v>
      </c>
      <c r="H20" s="17">
        <v>28037</v>
      </c>
      <c r="I20" s="17">
        <v>25994</v>
      </c>
      <c r="J20" s="17">
        <v>22317</v>
      </c>
      <c r="K20" s="17">
        <v>53520</v>
      </c>
      <c r="L20" s="17">
        <v>38358</v>
      </c>
      <c r="M20" s="17">
        <v>25644</v>
      </c>
      <c r="N20" s="17">
        <v>17696</v>
      </c>
      <c r="O20" s="17">
        <v>91985</v>
      </c>
      <c r="P20" s="17">
        <v>124689</v>
      </c>
      <c r="Q20" s="17">
        <v>64139</v>
      </c>
      <c r="R20" s="17">
        <v>33704</v>
      </c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17">
        <v>0</v>
      </c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8">
        <f t="shared" si="0"/>
        <v>646888</v>
      </c>
    </row>
    <row r="21" spans="1:42" ht="15" customHeight="1" x14ac:dyDescent="0.2">
      <c r="A21" s="16" t="s">
        <v>518</v>
      </c>
      <c r="B21" s="16" t="s">
        <v>520</v>
      </c>
      <c r="C21" s="16" t="s">
        <v>286</v>
      </c>
      <c r="D21" s="16" t="s">
        <v>641</v>
      </c>
      <c r="E21" s="17">
        <v>66357</v>
      </c>
      <c r="F21" s="17">
        <v>148051</v>
      </c>
      <c r="G21" s="17">
        <v>98339</v>
      </c>
      <c r="H21" s="17">
        <v>80654</v>
      </c>
      <c r="I21" s="17">
        <v>59224</v>
      </c>
      <c r="J21" s="17">
        <v>43660</v>
      </c>
      <c r="K21" s="17">
        <v>79786</v>
      </c>
      <c r="L21" s="17">
        <v>56365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17">
        <v>0</v>
      </c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8">
        <f t="shared" si="0"/>
        <v>632436</v>
      </c>
    </row>
    <row r="22" spans="1:42" ht="15" customHeight="1" x14ac:dyDescent="0.2">
      <c r="A22" s="16" t="s">
        <v>518</v>
      </c>
      <c r="B22" s="16" t="s">
        <v>520</v>
      </c>
      <c r="C22" s="16" t="s">
        <v>289</v>
      </c>
      <c r="D22" s="16" t="s">
        <v>641</v>
      </c>
      <c r="E22" s="17">
        <v>8321</v>
      </c>
      <c r="F22" s="17">
        <v>13875</v>
      </c>
      <c r="G22" s="17">
        <v>62619</v>
      </c>
      <c r="H22" s="17">
        <v>80676</v>
      </c>
      <c r="I22" s="17">
        <v>52977</v>
      </c>
      <c r="J22" s="17">
        <v>31315</v>
      </c>
      <c r="K22" s="17">
        <v>46716</v>
      </c>
      <c r="L22" s="17">
        <v>24526</v>
      </c>
      <c r="M22" s="17">
        <v>140525</v>
      </c>
      <c r="N22" s="17">
        <v>82460</v>
      </c>
      <c r="O22" s="17">
        <v>53058</v>
      </c>
      <c r="P22" s="17">
        <v>35820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17">
        <v>0</v>
      </c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8">
        <f t="shared" si="0"/>
        <v>632888</v>
      </c>
    </row>
    <row r="23" spans="1:42" ht="15" customHeight="1" x14ac:dyDescent="0.2">
      <c r="A23" s="16" t="s">
        <v>518</v>
      </c>
      <c r="B23" s="16" t="s">
        <v>520</v>
      </c>
      <c r="C23" s="16" t="s">
        <v>358</v>
      </c>
      <c r="D23" s="16" t="s">
        <v>641</v>
      </c>
      <c r="E23" s="17">
        <v>20706</v>
      </c>
      <c r="F23" s="17">
        <v>21091</v>
      </c>
      <c r="G23" s="17">
        <v>91740</v>
      </c>
      <c r="H23" s="17">
        <v>63780</v>
      </c>
      <c r="I23" s="17">
        <v>36174</v>
      </c>
      <c r="J23" s="17">
        <v>20292</v>
      </c>
      <c r="K23" s="17">
        <v>11219</v>
      </c>
      <c r="L23" s="17">
        <v>27606</v>
      </c>
      <c r="M23" s="17">
        <v>17016</v>
      </c>
      <c r="N23" s="17">
        <v>9291</v>
      </c>
      <c r="O23" s="17">
        <v>3159</v>
      </c>
      <c r="P23" s="17">
        <v>0</v>
      </c>
      <c r="Q23" s="17">
        <v>138906</v>
      </c>
      <c r="R23" s="17">
        <v>94330</v>
      </c>
      <c r="S23" s="17">
        <v>64269</v>
      </c>
      <c r="T23" s="17">
        <v>43795</v>
      </c>
      <c r="U23" s="17">
        <v>29941</v>
      </c>
      <c r="V23" s="17">
        <v>20345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17">
        <v>0</v>
      </c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8">
        <f t="shared" si="0"/>
        <v>713660</v>
      </c>
    </row>
    <row r="24" spans="1:42" ht="15" customHeight="1" x14ac:dyDescent="0.2">
      <c r="A24" s="16" t="s">
        <v>518</v>
      </c>
      <c r="B24" s="16" t="s">
        <v>300</v>
      </c>
      <c r="C24" s="16" t="s">
        <v>300</v>
      </c>
      <c r="D24" s="16" t="s">
        <v>641</v>
      </c>
      <c r="E24" s="17">
        <v>724</v>
      </c>
      <c r="F24" s="17">
        <v>38013</v>
      </c>
      <c r="G24" s="17">
        <v>37890</v>
      </c>
      <c r="H24" s="17">
        <v>27595</v>
      </c>
      <c r="I24" s="17">
        <v>20336</v>
      </c>
      <c r="J24" s="17">
        <v>15090</v>
      </c>
      <c r="K24" s="17">
        <v>11434</v>
      </c>
      <c r="L24" s="17">
        <v>8867</v>
      </c>
      <c r="M24" s="17">
        <v>18159</v>
      </c>
      <c r="N24" s="17">
        <v>14381</v>
      </c>
      <c r="O24" s="17">
        <v>0</v>
      </c>
      <c r="P24" s="17">
        <v>0</v>
      </c>
      <c r="Q24" s="17">
        <v>0</v>
      </c>
      <c r="R24" s="17">
        <v>0</v>
      </c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17">
        <v>0</v>
      </c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8">
        <f t="shared" si="0"/>
        <v>192489</v>
      </c>
    </row>
    <row r="25" spans="1:42" ht="15" customHeight="1" x14ac:dyDescent="0.2">
      <c r="A25" s="16" t="s">
        <v>518</v>
      </c>
      <c r="B25" s="16" t="s">
        <v>521</v>
      </c>
      <c r="C25" s="16" t="s">
        <v>148</v>
      </c>
      <c r="D25" s="16" t="s">
        <v>641</v>
      </c>
      <c r="E25" s="17">
        <v>18325</v>
      </c>
      <c r="F25" s="17">
        <v>40709</v>
      </c>
      <c r="G25" s="17">
        <v>44082</v>
      </c>
      <c r="H25" s="17">
        <v>42711</v>
      </c>
      <c r="I25" s="17">
        <v>39387</v>
      </c>
      <c r="J25" s="17">
        <v>72891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17">
        <v>0</v>
      </c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8">
        <f t="shared" si="0"/>
        <v>258105</v>
      </c>
    </row>
    <row r="26" spans="1:42" ht="15" customHeight="1" x14ac:dyDescent="0.2">
      <c r="A26" s="16" t="s">
        <v>518</v>
      </c>
      <c r="B26" s="16" t="s">
        <v>521</v>
      </c>
      <c r="C26" s="16" t="s">
        <v>404</v>
      </c>
      <c r="D26" s="16" t="s">
        <v>641</v>
      </c>
      <c r="E26" s="17">
        <v>161062</v>
      </c>
      <c r="F26" s="17">
        <v>146343</v>
      </c>
      <c r="G26" s="17">
        <v>121413</v>
      </c>
      <c r="H26" s="17">
        <v>203888</v>
      </c>
      <c r="I26" s="17">
        <v>184330</v>
      </c>
      <c r="J26" s="17">
        <v>134767</v>
      </c>
      <c r="K26" s="17">
        <v>102942</v>
      </c>
      <c r="L26" s="17">
        <v>287608</v>
      </c>
      <c r="M26" s="17">
        <v>368799</v>
      </c>
      <c r="N26" s="17">
        <v>479793</v>
      </c>
      <c r="O26" s="17">
        <v>519659</v>
      </c>
      <c r="P26" s="17">
        <v>783278</v>
      </c>
      <c r="Q26" s="17">
        <v>863006</v>
      </c>
      <c r="R26" s="17">
        <v>566508</v>
      </c>
      <c r="S26" s="17">
        <v>374287</v>
      </c>
      <c r="T26" s="17">
        <v>248077</v>
      </c>
      <c r="U26" s="17">
        <v>167114</v>
      </c>
      <c r="V26" s="17">
        <v>115190</v>
      </c>
      <c r="W26" s="17">
        <v>0</v>
      </c>
      <c r="X26" s="17">
        <v>0</v>
      </c>
      <c r="Y26" s="17">
        <v>0</v>
      </c>
      <c r="Z26" s="17">
        <v>0</v>
      </c>
      <c r="AA26" s="17">
        <v>0</v>
      </c>
      <c r="AB26" s="17">
        <v>0</v>
      </c>
      <c r="AC26" s="17">
        <v>0</v>
      </c>
      <c r="AD26" s="17">
        <v>0</v>
      </c>
      <c r="AE26" s="17">
        <v>0</v>
      </c>
      <c r="AF26" s="17">
        <v>0</v>
      </c>
      <c r="AG26" s="17">
        <v>0</v>
      </c>
      <c r="AH26" s="17">
        <v>0</v>
      </c>
      <c r="AI26" s="17">
        <v>0</v>
      </c>
      <c r="AJ26" s="17">
        <v>0</v>
      </c>
      <c r="AK26" s="17">
        <v>0</v>
      </c>
      <c r="AL26" s="17">
        <v>0</v>
      </c>
      <c r="AM26" s="17">
        <v>0</v>
      </c>
      <c r="AN26" s="17">
        <v>0</v>
      </c>
      <c r="AO26" s="17">
        <v>0</v>
      </c>
      <c r="AP26" s="18">
        <f t="shared" si="0"/>
        <v>5828064</v>
      </c>
    </row>
    <row r="27" spans="1:42" ht="15" customHeight="1" x14ac:dyDescent="0.2">
      <c r="A27" s="16" t="s">
        <v>522</v>
      </c>
      <c r="B27" s="16" t="s">
        <v>130</v>
      </c>
      <c r="C27" s="16" t="s">
        <v>130</v>
      </c>
      <c r="D27" s="16" t="s">
        <v>641</v>
      </c>
      <c r="E27" s="17">
        <v>347869.42180000001</v>
      </c>
      <c r="F27" s="17">
        <v>804976.00069999998</v>
      </c>
      <c r="G27" s="17">
        <v>805415.61419999995</v>
      </c>
      <c r="H27" s="17">
        <v>687715.82750000001</v>
      </c>
      <c r="I27" s="17">
        <v>571140.44169999997</v>
      </c>
      <c r="J27" s="17">
        <v>463148.23639999999</v>
      </c>
      <c r="K27" s="17">
        <v>375304.20600000001</v>
      </c>
      <c r="L27" s="17">
        <v>297330.05080000003</v>
      </c>
      <c r="M27" s="17">
        <v>577227.15890000004</v>
      </c>
      <c r="N27" s="17">
        <v>0</v>
      </c>
      <c r="O27" s="17">
        <v>0</v>
      </c>
      <c r="P27" s="17">
        <v>0</v>
      </c>
      <c r="Q27" s="17">
        <v>0</v>
      </c>
      <c r="R27" s="17">
        <v>0</v>
      </c>
      <c r="S27" s="17">
        <v>0</v>
      </c>
      <c r="T27" s="17">
        <v>0</v>
      </c>
      <c r="U27" s="17">
        <v>0</v>
      </c>
      <c r="V27" s="17">
        <v>0</v>
      </c>
      <c r="W27" s="17">
        <v>0</v>
      </c>
      <c r="X27" s="17">
        <v>0</v>
      </c>
      <c r="Y27" s="17">
        <v>0</v>
      </c>
      <c r="Z27" s="17">
        <v>0</v>
      </c>
      <c r="AA27" s="17">
        <v>0</v>
      </c>
      <c r="AB27" s="17">
        <v>0</v>
      </c>
      <c r="AC27" s="17">
        <v>0</v>
      </c>
      <c r="AD27" s="17">
        <v>0</v>
      </c>
      <c r="AE27" s="17">
        <v>0</v>
      </c>
      <c r="AF27" s="17">
        <v>0</v>
      </c>
      <c r="AG27" s="17">
        <v>0</v>
      </c>
      <c r="AH27" s="17">
        <v>0</v>
      </c>
      <c r="AI27" s="17">
        <v>0</v>
      </c>
      <c r="AJ27" s="17">
        <v>0</v>
      </c>
      <c r="AK27" s="17">
        <v>0</v>
      </c>
      <c r="AL27" s="17">
        <v>0</v>
      </c>
      <c r="AM27" s="17">
        <v>0</v>
      </c>
      <c r="AN27" s="17">
        <v>0</v>
      </c>
      <c r="AO27" s="17">
        <v>0</v>
      </c>
      <c r="AP27" s="18">
        <f t="shared" si="0"/>
        <v>4930126.9579999996</v>
      </c>
    </row>
    <row r="28" spans="1:42" ht="15" customHeight="1" x14ac:dyDescent="0.2">
      <c r="A28" s="16" t="s">
        <v>522</v>
      </c>
      <c r="B28" s="16" t="s">
        <v>130</v>
      </c>
      <c r="C28" s="16" t="s">
        <v>290</v>
      </c>
      <c r="D28" s="16" t="s">
        <v>641</v>
      </c>
      <c r="E28" s="17">
        <v>2191.77</v>
      </c>
      <c r="F28" s="17">
        <v>3690.89</v>
      </c>
      <c r="G28" s="17">
        <v>3896.54</v>
      </c>
      <c r="H28" s="17">
        <v>9556.9599999999991</v>
      </c>
      <c r="I28" s="17">
        <v>4792.0200000000004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  <c r="AE28" s="17">
        <v>0</v>
      </c>
      <c r="AF28" s="17">
        <v>0</v>
      </c>
      <c r="AG28" s="17">
        <v>0</v>
      </c>
      <c r="AH28" s="17">
        <v>0</v>
      </c>
      <c r="AI28" s="17">
        <v>0</v>
      </c>
      <c r="AJ28" s="17">
        <v>0</v>
      </c>
      <c r="AK28" s="17">
        <v>0</v>
      </c>
      <c r="AL28" s="17">
        <v>0</v>
      </c>
      <c r="AM28" s="17">
        <v>0</v>
      </c>
      <c r="AN28" s="17">
        <v>0</v>
      </c>
      <c r="AO28" s="17">
        <v>0</v>
      </c>
      <c r="AP28" s="18">
        <f t="shared" si="0"/>
        <v>24128.18</v>
      </c>
    </row>
    <row r="29" spans="1:42" ht="15" customHeight="1" x14ac:dyDescent="0.2">
      <c r="A29" s="16" t="s">
        <v>522</v>
      </c>
      <c r="B29" s="16" t="s">
        <v>130</v>
      </c>
      <c r="C29" s="16" t="s">
        <v>291</v>
      </c>
      <c r="D29" s="16" t="s">
        <v>641</v>
      </c>
      <c r="E29" s="17">
        <v>1930.81</v>
      </c>
      <c r="F29" s="17">
        <v>3975.73</v>
      </c>
      <c r="G29" s="17">
        <v>5194.9799999999996</v>
      </c>
      <c r="H29" s="17">
        <v>17070.59</v>
      </c>
      <c r="I29" s="17">
        <v>15176.22</v>
      </c>
      <c r="J29" s="17">
        <v>0</v>
      </c>
      <c r="K29" s="17">
        <v>0</v>
      </c>
      <c r="L29" s="17">
        <v>0</v>
      </c>
      <c r="M29" s="17">
        <v>0</v>
      </c>
      <c r="N29" s="17">
        <v>0</v>
      </c>
      <c r="O29" s="17">
        <v>0</v>
      </c>
      <c r="P29" s="17">
        <v>0</v>
      </c>
      <c r="Q29" s="17">
        <v>0</v>
      </c>
      <c r="R29" s="17">
        <v>0</v>
      </c>
      <c r="S29" s="17">
        <v>0</v>
      </c>
      <c r="T29" s="17">
        <v>0</v>
      </c>
      <c r="U29" s="17">
        <v>0</v>
      </c>
      <c r="V29" s="17">
        <v>0</v>
      </c>
      <c r="W29" s="17">
        <v>0</v>
      </c>
      <c r="X29" s="17">
        <v>0</v>
      </c>
      <c r="Y29" s="17">
        <v>0</v>
      </c>
      <c r="Z29" s="17">
        <v>0</v>
      </c>
      <c r="AA29" s="17">
        <v>0</v>
      </c>
      <c r="AB29" s="17">
        <v>0</v>
      </c>
      <c r="AC29" s="17">
        <v>0</v>
      </c>
      <c r="AD29" s="17">
        <v>0</v>
      </c>
      <c r="AE29" s="17">
        <v>0</v>
      </c>
      <c r="AF29" s="17">
        <v>0</v>
      </c>
      <c r="AG29" s="17">
        <v>0</v>
      </c>
      <c r="AH29" s="17">
        <v>0</v>
      </c>
      <c r="AI29" s="17">
        <v>0</v>
      </c>
      <c r="AJ29" s="17">
        <v>0</v>
      </c>
      <c r="AK29" s="17">
        <v>0</v>
      </c>
      <c r="AL29" s="17">
        <v>0</v>
      </c>
      <c r="AM29" s="17">
        <v>0</v>
      </c>
      <c r="AN29" s="17">
        <v>0</v>
      </c>
      <c r="AO29" s="17">
        <v>0</v>
      </c>
      <c r="AP29" s="18">
        <f t="shared" si="0"/>
        <v>43348.33</v>
      </c>
    </row>
    <row r="30" spans="1:42" ht="15" customHeight="1" x14ac:dyDescent="0.2">
      <c r="A30" s="16" t="s">
        <v>522</v>
      </c>
      <c r="B30" s="16" t="s">
        <v>130</v>
      </c>
      <c r="C30" s="16" t="s">
        <v>334</v>
      </c>
      <c r="D30" s="16" t="s">
        <v>641</v>
      </c>
      <c r="E30" s="17">
        <v>32351.66</v>
      </c>
      <c r="F30" s="17">
        <v>85483.66</v>
      </c>
      <c r="G30" s="17">
        <v>0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  <c r="Q30" s="17">
        <v>0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0</v>
      </c>
      <c r="X30" s="17">
        <v>0</v>
      </c>
      <c r="Y30" s="17">
        <v>0</v>
      </c>
      <c r="Z30" s="17">
        <v>0</v>
      </c>
      <c r="AA30" s="17">
        <v>0</v>
      </c>
      <c r="AB30" s="17">
        <v>0</v>
      </c>
      <c r="AC30" s="17">
        <v>0</v>
      </c>
      <c r="AD30" s="17">
        <v>0</v>
      </c>
      <c r="AE30" s="17">
        <v>0</v>
      </c>
      <c r="AF30" s="17">
        <v>0</v>
      </c>
      <c r="AG30" s="17">
        <v>0</v>
      </c>
      <c r="AH30" s="17">
        <v>0</v>
      </c>
      <c r="AI30" s="17">
        <v>0</v>
      </c>
      <c r="AJ30" s="17">
        <v>0</v>
      </c>
      <c r="AK30" s="17">
        <v>0</v>
      </c>
      <c r="AL30" s="17">
        <v>0</v>
      </c>
      <c r="AM30" s="17">
        <v>0</v>
      </c>
      <c r="AN30" s="17">
        <v>0</v>
      </c>
      <c r="AO30" s="17">
        <v>0</v>
      </c>
      <c r="AP30" s="18">
        <f t="shared" si="0"/>
        <v>117835.32</v>
      </c>
    </row>
    <row r="31" spans="1:42" ht="15" customHeight="1" x14ac:dyDescent="0.2">
      <c r="A31" s="16" t="s">
        <v>522</v>
      </c>
      <c r="B31" s="16" t="s">
        <v>130</v>
      </c>
      <c r="C31" s="16" t="s">
        <v>394</v>
      </c>
      <c r="D31" s="16" t="s">
        <v>641</v>
      </c>
      <c r="E31" s="17">
        <v>35327.792000000001</v>
      </c>
      <c r="F31" s="17">
        <v>34476.520900000003</v>
      </c>
      <c r="G31" s="17">
        <v>45691.410400000001</v>
      </c>
      <c r="H31" s="17">
        <v>0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0</v>
      </c>
      <c r="X31" s="17">
        <v>0</v>
      </c>
      <c r="Y31" s="17">
        <v>0</v>
      </c>
      <c r="Z31" s="17">
        <v>0</v>
      </c>
      <c r="AA31" s="17">
        <v>0</v>
      </c>
      <c r="AB31" s="17">
        <v>0</v>
      </c>
      <c r="AC31" s="17">
        <v>0</v>
      </c>
      <c r="AD31" s="17">
        <v>0</v>
      </c>
      <c r="AE31" s="17">
        <v>0</v>
      </c>
      <c r="AF31" s="17">
        <v>0</v>
      </c>
      <c r="AG31" s="17">
        <v>0</v>
      </c>
      <c r="AH31" s="17">
        <v>0</v>
      </c>
      <c r="AI31" s="17">
        <v>0</v>
      </c>
      <c r="AJ31" s="17">
        <v>0</v>
      </c>
      <c r="AK31" s="17">
        <v>0</v>
      </c>
      <c r="AL31" s="17">
        <v>0</v>
      </c>
      <c r="AM31" s="17">
        <v>0</v>
      </c>
      <c r="AN31" s="17">
        <v>0</v>
      </c>
      <c r="AO31" s="17">
        <v>0</v>
      </c>
      <c r="AP31" s="18">
        <f t="shared" si="0"/>
        <v>115495.72330000001</v>
      </c>
    </row>
    <row r="32" spans="1:42" ht="15" customHeight="1" x14ac:dyDescent="0.2">
      <c r="A32" s="16" t="s">
        <v>522</v>
      </c>
      <c r="B32" s="16" t="s">
        <v>523</v>
      </c>
      <c r="C32" s="16" t="s">
        <v>125</v>
      </c>
      <c r="D32" s="16" t="s">
        <v>641</v>
      </c>
      <c r="E32" s="17">
        <v>41109</v>
      </c>
      <c r="F32" s="17">
        <v>26485</v>
      </c>
      <c r="G32" s="17">
        <v>20693</v>
      </c>
      <c r="H32" s="17">
        <v>16199</v>
      </c>
      <c r="I32" s="17">
        <v>20503</v>
      </c>
      <c r="J32" s="17">
        <v>2820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  <c r="Y32" s="17">
        <v>0</v>
      </c>
      <c r="Z32" s="17">
        <v>0</v>
      </c>
      <c r="AA32" s="17">
        <v>0</v>
      </c>
      <c r="AB32" s="17">
        <v>0</v>
      </c>
      <c r="AC32" s="17">
        <v>0</v>
      </c>
      <c r="AD32" s="17">
        <v>0</v>
      </c>
      <c r="AE32" s="17">
        <v>0</v>
      </c>
      <c r="AF32" s="17">
        <v>0</v>
      </c>
      <c r="AG32" s="17">
        <v>0</v>
      </c>
      <c r="AH32" s="17">
        <v>0</v>
      </c>
      <c r="AI32" s="17">
        <v>0</v>
      </c>
      <c r="AJ32" s="17">
        <v>0</v>
      </c>
      <c r="AK32" s="17">
        <v>0</v>
      </c>
      <c r="AL32" s="17">
        <v>0</v>
      </c>
      <c r="AM32" s="17">
        <v>0</v>
      </c>
      <c r="AN32" s="17">
        <v>0</v>
      </c>
      <c r="AO32" s="17">
        <v>0</v>
      </c>
      <c r="AP32" s="18">
        <f t="shared" si="0"/>
        <v>127809</v>
      </c>
    </row>
    <row r="33" spans="1:42" ht="15" customHeight="1" x14ac:dyDescent="0.2">
      <c r="A33" s="16" t="s">
        <v>522</v>
      </c>
      <c r="B33" s="16" t="s">
        <v>523</v>
      </c>
      <c r="C33" s="16" t="s">
        <v>174</v>
      </c>
      <c r="D33" s="16" t="s">
        <v>641</v>
      </c>
      <c r="E33" s="17">
        <v>15603</v>
      </c>
      <c r="F33" s="17">
        <v>15838</v>
      </c>
      <c r="G33" s="17">
        <v>15683</v>
      </c>
      <c r="H33" s="17">
        <v>15274</v>
      </c>
      <c r="I33" s="17">
        <v>14757</v>
      </c>
      <c r="J33" s="17">
        <v>14076</v>
      </c>
      <c r="K33" s="17">
        <v>13390</v>
      </c>
      <c r="L33" s="17">
        <v>12695</v>
      </c>
      <c r="M33" s="17">
        <v>12035</v>
      </c>
      <c r="N33" s="17">
        <v>11317</v>
      </c>
      <c r="O33" s="17">
        <v>10656</v>
      </c>
      <c r="P33" s="17">
        <v>10017</v>
      </c>
      <c r="Q33" s="17">
        <v>9433</v>
      </c>
      <c r="R33" s="17">
        <v>8831</v>
      </c>
      <c r="S33" s="17">
        <v>8277</v>
      </c>
      <c r="T33" s="17">
        <v>7756</v>
      </c>
      <c r="U33" s="17">
        <v>7537</v>
      </c>
      <c r="V33" s="17">
        <v>6938</v>
      </c>
      <c r="W33" s="17">
        <v>6286</v>
      </c>
      <c r="X33" s="17">
        <v>5875</v>
      </c>
      <c r="Y33" s="17">
        <v>44326</v>
      </c>
      <c r="Z33" s="17">
        <v>0</v>
      </c>
      <c r="AA33" s="17">
        <v>0</v>
      </c>
      <c r="AB33" s="17">
        <v>0</v>
      </c>
      <c r="AC33" s="17">
        <v>0</v>
      </c>
      <c r="AD33" s="17">
        <v>0</v>
      </c>
      <c r="AE33" s="17">
        <v>0</v>
      </c>
      <c r="AF33" s="17">
        <v>0</v>
      </c>
      <c r="AG33" s="17">
        <v>0</v>
      </c>
      <c r="AH33" s="17">
        <v>0</v>
      </c>
      <c r="AI33" s="17">
        <v>0</v>
      </c>
      <c r="AJ33" s="17">
        <v>0</v>
      </c>
      <c r="AK33" s="17">
        <v>0</v>
      </c>
      <c r="AL33" s="17">
        <v>0</v>
      </c>
      <c r="AM33" s="17">
        <v>0</v>
      </c>
      <c r="AN33" s="17">
        <v>0</v>
      </c>
      <c r="AO33" s="17">
        <v>0</v>
      </c>
      <c r="AP33" s="18">
        <f t="shared" si="0"/>
        <v>266600</v>
      </c>
    </row>
    <row r="34" spans="1:42" ht="15" customHeight="1" x14ac:dyDescent="0.2">
      <c r="A34" s="16" t="s">
        <v>522</v>
      </c>
      <c r="B34" s="16" t="s">
        <v>523</v>
      </c>
      <c r="C34" s="16" t="s">
        <v>364</v>
      </c>
      <c r="D34" s="16" t="s">
        <v>641</v>
      </c>
      <c r="E34" s="17">
        <v>0</v>
      </c>
      <c r="F34" s="17">
        <v>0</v>
      </c>
      <c r="G34" s="17">
        <v>0</v>
      </c>
      <c r="H34" s="17">
        <v>0</v>
      </c>
      <c r="I34" s="17">
        <v>12313</v>
      </c>
      <c r="J34" s="17">
        <v>2878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  <c r="Y34" s="17">
        <v>0</v>
      </c>
      <c r="Z34" s="17">
        <v>0</v>
      </c>
      <c r="AA34" s="17">
        <v>0</v>
      </c>
      <c r="AB34" s="17">
        <v>0</v>
      </c>
      <c r="AC34" s="17">
        <v>0</v>
      </c>
      <c r="AD34" s="17">
        <v>0</v>
      </c>
      <c r="AE34" s="17">
        <v>0</v>
      </c>
      <c r="AF34" s="17">
        <v>0</v>
      </c>
      <c r="AG34" s="17">
        <v>0</v>
      </c>
      <c r="AH34" s="17">
        <v>0</v>
      </c>
      <c r="AI34" s="17">
        <v>0</v>
      </c>
      <c r="AJ34" s="17">
        <v>0</v>
      </c>
      <c r="AK34" s="17">
        <v>0</v>
      </c>
      <c r="AL34" s="17">
        <v>0</v>
      </c>
      <c r="AM34" s="17">
        <v>0</v>
      </c>
      <c r="AN34" s="17">
        <v>0</v>
      </c>
      <c r="AO34" s="17">
        <v>0</v>
      </c>
      <c r="AP34" s="18">
        <f t="shared" si="0"/>
        <v>15191</v>
      </c>
    </row>
    <row r="35" spans="1:42" ht="15" customHeight="1" x14ac:dyDescent="0.2">
      <c r="A35" s="16" t="s">
        <v>522</v>
      </c>
      <c r="B35" s="16" t="s">
        <v>523</v>
      </c>
      <c r="C35" s="16" t="s">
        <v>393</v>
      </c>
      <c r="D35" s="16" t="s">
        <v>641</v>
      </c>
      <c r="E35" s="17">
        <v>1772</v>
      </c>
      <c r="F35" s="17">
        <v>1978</v>
      </c>
      <c r="G35" s="17">
        <v>2156</v>
      </c>
      <c r="H35" s="17">
        <v>2294</v>
      </c>
      <c r="I35" s="17">
        <v>2411</v>
      </c>
      <c r="J35" s="17">
        <v>2489</v>
      </c>
      <c r="K35" s="17">
        <v>2548</v>
      </c>
      <c r="L35" s="17">
        <v>2590</v>
      </c>
      <c r="M35" s="17">
        <v>2618</v>
      </c>
      <c r="N35" s="17">
        <v>2615</v>
      </c>
      <c r="O35" s="17">
        <v>2608</v>
      </c>
      <c r="P35" s="17">
        <v>2588</v>
      </c>
      <c r="Q35" s="17">
        <v>2567</v>
      </c>
      <c r="R35" s="17">
        <v>2523</v>
      </c>
      <c r="S35" s="17">
        <v>2476</v>
      </c>
      <c r="T35" s="17">
        <v>2426</v>
      </c>
      <c r="U35" s="17">
        <v>4226</v>
      </c>
      <c r="V35" s="17">
        <v>6674</v>
      </c>
      <c r="W35" s="17">
        <v>0</v>
      </c>
      <c r="X35" s="17">
        <v>0</v>
      </c>
      <c r="Y35" s="17">
        <v>0</v>
      </c>
      <c r="Z35" s="17">
        <v>0</v>
      </c>
      <c r="AA35" s="17">
        <v>0</v>
      </c>
      <c r="AB35" s="17">
        <v>0</v>
      </c>
      <c r="AC35" s="17">
        <v>0</v>
      </c>
      <c r="AD35" s="17">
        <v>0</v>
      </c>
      <c r="AE35" s="17">
        <v>0</v>
      </c>
      <c r="AF35" s="17">
        <v>0</v>
      </c>
      <c r="AG35" s="17">
        <v>0</v>
      </c>
      <c r="AH35" s="17">
        <v>0</v>
      </c>
      <c r="AI35" s="17">
        <v>0</v>
      </c>
      <c r="AJ35" s="17">
        <v>0</v>
      </c>
      <c r="AK35" s="17">
        <v>0</v>
      </c>
      <c r="AL35" s="17">
        <v>0</v>
      </c>
      <c r="AM35" s="17">
        <v>0</v>
      </c>
      <c r="AN35" s="17">
        <v>0</v>
      </c>
      <c r="AO35" s="17">
        <v>0</v>
      </c>
      <c r="AP35" s="18">
        <f t="shared" si="0"/>
        <v>49559</v>
      </c>
    </row>
    <row r="36" spans="1:42" ht="15" customHeight="1" x14ac:dyDescent="0.2">
      <c r="A36" s="16" t="s">
        <v>522</v>
      </c>
      <c r="B36" s="16" t="s">
        <v>524</v>
      </c>
      <c r="C36" s="16" t="s">
        <v>117</v>
      </c>
      <c r="D36" s="16" t="s">
        <v>641</v>
      </c>
      <c r="E36" s="17">
        <v>6163.99</v>
      </c>
      <c r="F36" s="17">
        <v>7624.53</v>
      </c>
      <c r="G36" s="17">
        <v>6023.19</v>
      </c>
      <c r="H36" s="17">
        <v>4719.25</v>
      </c>
      <c r="I36" s="17">
        <v>3671.14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  <c r="Y36" s="17">
        <v>0</v>
      </c>
      <c r="Z36" s="17">
        <v>0</v>
      </c>
      <c r="AA36" s="17">
        <v>0</v>
      </c>
      <c r="AB36" s="17">
        <v>0</v>
      </c>
      <c r="AC36" s="17">
        <v>0</v>
      </c>
      <c r="AD36" s="17">
        <v>0</v>
      </c>
      <c r="AE36" s="17">
        <v>0</v>
      </c>
      <c r="AF36" s="17">
        <v>0</v>
      </c>
      <c r="AG36" s="17">
        <v>0</v>
      </c>
      <c r="AH36" s="17">
        <v>0</v>
      </c>
      <c r="AI36" s="17">
        <v>0</v>
      </c>
      <c r="AJ36" s="17">
        <v>0</v>
      </c>
      <c r="AK36" s="17">
        <v>0</v>
      </c>
      <c r="AL36" s="17">
        <v>0</v>
      </c>
      <c r="AM36" s="17">
        <v>0</v>
      </c>
      <c r="AN36" s="17">
        <v>0</v>
      </c>
      <c r="AO36" s="17">
        <v>0</v>
      </c>
      <c r="AP36" s="18">
        <f t="shared" si="0"/>
        <v>28202.1</v>
      </c>
    </row>
    <row r="37" spans="1:42" ht="15" customHeight="1" x14ac:dyDescent="0.2">
      <c r="A37" s="16" t="s">
        <v>522</v>
      </c>
      <c r="B37" s="16" t="s">
        <v>525</v>
      </c>
      <c r="C37" s="16" t="s">
        <v>233</v>
      </c>
      <c r="D37" s="16" t="s">
        <v>641</v>
      </c>
      <c r="E37" s="17">
        <v>1008</v>
      </c>
      <c r="F37" s="17">
        <v>3828</v>
      </c>
      <c r="G37" s="17">
        <v>4280</v>
      </c>
      <c r="H37" s="17">
        <v>7262</v>
      </c>
      <c r="I37" s="17">
        <v>2538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7">
        <v>0</v>
      </c>
      <c r="Q37" s="17">
        <v>0</v>
      </c>
      <c r="R37" s="17">
        <v>0</v>
      </c>
      <c r="S37" s="17">
        <v>0</v>
      </c>
      <c r="T37" s="17">
        <v>0</v>
      </c>
      <c r="U37" s="17">
        <v>0</v>
      </c>
      <c r="V37" s="17">
        <v>0</v>
      </c>
      <c r="W37" s="17">
        <v>0</v>
      </c>
      <c r="X37" s="17">
        <v>0</v>
      </c>
      <c r="Y37" s="17">
        <v>0</v>
      </c>
      <c r="Z37" s="17">
        <v>0</v>
      </c>
      <c r="AA37" s="17">
        <v>0</v>
      </c>
      <c r="AB37" s="17">
        <v>0</v>
      </c>
      <c r="AC37" s="17">
        <v>0</v>
      </c>
      <c r="AD37" s="17">
        <v>0</v>
      </c>
      <c r="AE37" s="17">
        <v>0</v>
      </c>
      <c r="AF37" s="17">
        <v>0</v>
      </c>
      <c r="AG37" s="17">
        <v>0</v>
      </c>
      <c r="AH37" s="17">
        <v>0</v>
      </c>
      <c r="AI37" s="17">
        <v>0</v>
      </c>
      <c r="AJ37" s="17">
        <v>0</v>
      </c>
      <c r="AK37" s="17">
        <v>0</v>
      </c>
      <c r="AL37" s="17">
        <v>0</v>
      </c>
      <c r="AM37" s="17">
        <v>0</v>
      </c>
      <c r="AN37" s="17">
        <v>0</v>
      </c>
      <c r="AO37" s="17">
        <v>0</v>
      </c>
      <c r="AP37" s="18">
        <f t="shared" si="0"/>
        <v>18916</v>
      </c>
    </row>
    <row r="38" spans="1:42" ht="15" customHeight="1" x14ac:dyDescent="0.2">
      <c r="A38" s="16" t="s">
        <v>522</v>
      </c>
      <c r="B38" s="16" t="s">
        <v>527</v>
      </c>
      <c r="C38" s="16" t="s">
        <v>282</v>
      </c>
      <c r="D38" s="16" t="s">
        <v>641</v>
      </c>
      <c r="E38" s="17">
        <v>0</v>
      </c>
      <c r="F38" s="17">
        <v>0</v>
      </c>
      <c r="G38" s="17">
        <v>0</v>
      </c>
      <c r="H38" s="17">
        <v>749</v>
      </c>
      <c r="I38" s="17">
        <v>1394</v>
      </c>
      <c r="J38" s="17">
        <v>1276</v>
      </c>
      <c r="K38" s="17">
        <v>1176</v>
      </c>
      <c r="L38" s="17">
        <v>1083</v>
      </c>
      <c r="M38" s="17">
        <v>1006</v>
      </c>
      <c r="N38" s="17">
        <v>926</v>
      </c>
      <c r="O38" s="17">
        <v>862</v>
      </c>
      <c r="P38" s="17">
        <v>801</v>
      </c>
      <c r="Q38" s="17">
        <v>0</v>
      </c>
      <c r="R38" s="17">
        <v>0</v>
      </c>
      <c r="S38" s="17">
        <v>0</v>
      </c>
      <c r="T38" s="17">
        <v>0</v>
      </c>
      <c r="U38" s="17">
        <v>0</v>
      </c>
      <c r="V38" s="17">
        <v>0</v>
      </c>
      <c r="W38" s="17">
        <v>0</v>
      </c>
      <c r="X38" s="17">
        <v>0</v>
      </c>
      <c r="Y38" s="17">
        <v>0</v>
      </c>
      <c r="Z38" s="17">
        <v>0</v>
      </c>
      <c r="AA38" s="17">
        <v>0</v>
      </c>
      <c r="AB38" s="17">
        <v>0</v>
      </c>
      <c r="AC38" s="17">
        <v>0</v>
      </c>
      <c r="AD38" s="17">
        <v>0</v>
      </c>
      <c r="AE38" s="17">
        <v>0</v>
      </c>
      <c r="AF38" s="17">
        <v>0</v>
      </c>
      <c r="AG38" s="17">
        <v>0</v>
      </c>
      <c r="AH38" s="17">
        <v>0</v>
      </c>
      <c r="AI38" s="17">
        <v>0</v>
      </c>
      <c r="AJ38" s="17">
        <v>0</v>
      </c>
      <c r="AK38" s="17">
        <v>0</v>
      </c>
      <c r="AL38" s="17">
        <v>0</v>
      </c>
      <c r="AM38" s="17">
        <v>0</v>
      </c>
      <c r="AN38" s="17">
        <v>0</v>
      </c>
      <c r="AO38" s="17">
        <v>0</v>
      </c>
      <c r="AP38" s="18">
        <f t="shared" si="0"/>
        <v>9273</v>
      </c>
    </row>
    <row r="39" spans="1:42" ht="15" customHeight="1" x14ac:dyDescent="0.2">
      <c r="A39" s="16" t="s">
        <v>522</v>
      </c>
      <c r="B39" s="16" t="s">
        <v>527</v>
      </c>
      <c r="C39" s="16" t="s">
        <v>395</v>
      </c>
      <c r="D39" s="16" t="s">
        <v>641</v>
      </c>
      <c r="E39" s="17">
        <v>50256</v>
      </c>
      <c r="F39" s="17">
        <v>58301</v>
      </c>
      <c r="G39" s="17">
        <v>65748</v>
      </c>
      <c r="H39" s="17">
        <v>62094</v>
      </c>
      <c r="I39" s="17">
        <v>66823</v>
      </c>
      <c r="J39" s="17">
        <v>66160</v>
      </c>
      <c r="K39" s="17">
        <v>62761</v>
      </c>
      <c r="L39" s="17">
        <v>59705</v>
      </c>
      <c r="M39" s="17">
        <v>57105</v>
      </c>
      <c r="N39" s="17">
        <v>55699</v>
      </c>
      <c r="O39" s="17">
        <v>56976</v>
      </c>
      <c r="P39" s="17">
        <v>55087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  <c r="Y39" s="17">
        <v>0</v>
      </c>
      <c r="Z39" s="17">
        <v>0</v>
      </c>
      <c r="AA39" s="17">
        <v>0</v>
      </c>
      <c r="AB39" s="17">
        <v>0</v>
      </c>
      <c r="AC39" s="17">
        <v>0</v>
      </c>
      <c r="AD39" s="17">
        <v>0</v>
      </c>
      <c r="AE39" s="17">
        <v>0</v>
      </c>
      <c r="AF39" s="17">
        <v>0</v>
      </c>
      <c r="AG39" s="17">
        <v>0</v>
      </c>
      <c r="AH39" s="17">
        <v>0</v>
      </c>
      <c r="AI39" s="17">
        <v>0</v>
      </c>
      <c r="AJ39" s="17">
        <v>0</v>
      </c>
      <c r="AK39" s="17">
        <v>0</v>
      </c>
      <c r="AL39" s="17">
        <v>0</v>
      </c>
      <c r="AM39" s="17">
        <v>0</v>
      </c>
      <c r="AN39" s="17">
        <v>0</v>
      </c>
      <c r="AO39" s="17">
        <v>0</v>
      </c>
      <c r="AP39" s="18">
        <f t="shared" si="0"/>
        <v>716715</v>
      </c>
    </row>
    <row r="40" spans="1:42" ht="15" customHeight="1" x14ac:dyDescent="0.2">
      <c r="A40" s="16" t="s">
        <v>522</v>
      </c>
      <c r="B40" s="16" t="s">
        <v>528</v>
      </c>
      <c r="C40" s="16" t="s">
        <v>166</v>
      </c>
      <c r="D40" s="16" t="s">
        <v>641</v>
      </c>
      <c r="E40" s="17">
        <v>5531</v>
      </c>
      <c r="F40" s="17">
        <v>462180</v>
      </c>
      <c r="G40" s="17">
        <v>1183032</v>
      </c>
      <c r="H40" s="17">
        <v>1936283</v>
      </c>
      <c r="I40" s="17">
        <v>2511368</v>
      </c>
      <c r="J40" s="17">
        <v>2370913</v>
      </c>
      <c r="K40" s="17">
        <v>1728142</v>
      </c>
      <c r="L40" s="17">
        <v>1235530</v>
      </c>
      <c r="M40" s="17">
        <v>877362</v>
      </c>
      <c r="N40" s="17">
        <v>653513</v>
      </c>
      <c r="O40" s="17">
        <v>461650</v>
      </c>
      <c r="P40" s="17">
        <v>272726</v>
      </c>
      <c r="Q40" s="17">
        <v>129716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>
        <v>0</v>
      </c>
      <c r="Y40" s="17">
        <v>0</v>
      </c>
      <c r="Z40" s="17">
        <v>0</v>
      </c>
      <c r="AA40" s="17">
        <v>0</v>
      </c>
      <c r="AB40" s="17">
        <v>0</v>
      </c>
      <c r="AC40" s="17">
        <v>0</v>
      </c>
      <c r="AD40" s="17">
        <v>0</v>
      </c>
      <c r="AE40" s="17">
        <v>0</v>
      </c>
      <c r="AF40" s="17">
        <v>0</v>
      </c>
      <c r="AG40" s="17">
        <v>0</v>
      </c>
      <c r="AH40" s="17">
        <v>0</v>
      </c>
      <c r="AI40" s="17">
        <v>0</v>
      </c>
      <c r="AJ40" s="17">
        <v>0</v>
      </c>
      <c r="AK40" s="17">
        <v>0</v>
      </c>
      <c r="AL40" s="17">
        <v>0</v>
      </c>
      <c r="AM40" s="17">
        <v>0</v>
      </c>
      <c r="AN40" s="17">
        <v>0</v>
      </c>
      <c r="AO40" s="17">
        <v>0</v>
      </c>
      <c r="AP40" s="18">
        <f t="shared" si="0"/>
        <v>13827946</v>
      </c>
    </row>
    <row r="41" spans="1:42" ht="15" customHeight="1" x14ac:dyDescent="0.2">
      <c r="A41" s="16" t="s">
        <v>522</v>
      </c>
      <c r="B41" s="16" t="s">
        <v>529</v>
      </c>
      <c r="C41" s="16" t="s">
        <v>122</v>
      </c>
      <c r="D41" s="16" t="s">
        <v>641</v>
      </c>
      <c r="E41" s="17">
        <v>702417</v>
      </c>
      <c r="F41" s="17">
        <v>2604869</v>
      </c>
      <c r="G41" s="17">
        <v>3283908</v>
      </c>
      <c r="H41" s="17">
        <v>3337614</v>
      </c>
      <c r="I41" s="17">
        <v>3033742</v>
      </c>
      <c r="J41" s="17">
        <v>2703585</v>
      </c>
      <c r="K41" s="17">
        <v>2384872</v>
      </c>
      <c r="L41" s="17">
        <v>2083993</v>
      </c>
      <c r="M41" s="17">
        <v>1816992</v>
      </c>
      <c r="N41" s="17">
        <v>1571240</v>
      </c>
      <c r="O41" s="17">
        <v>1358294</v>
      </c>
      <c r="P41" s="17">
        <v>1172003</v>
      </c>
      <c r="Q41" s="17">
        <v>2612349</v>
      </c>
      <c r="R41" s="17">
        <v>2209386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  <c r="AE41" s="17">
        <v>0</v>
      </c>
      <c r="AF41" s="17">
        <v>0</v>
      </c>
      <c r="AG41" s="17">
        <v>0</v>
      </c>
      <c r="AH41" s="17">
        <v>0</v>
      </c>
      <c r="AI41" s="17">
        <v>0</v>
      </c>
      <c r="AJ41" s="17">
        <v>0</v>
      </c>
      <c r="AK41" s="17">
        <v>0</v>
      </c>
      <c r="AL41" s="17">
        <v>0</v>
      </c>
      <c r="AM41" s="17">
        <v>0</v>
      </c>
      <c r="AN41" s="17">
        <v>0</v>
      </c>
      <c r="AO41" s="17">
        <v>0</v>
      </c>
      <c r="AP41" s="18">
        <f t="shared" si="0"/>
        <v>30875264</v>
      </c>
    </row>
    <row r="42" spans="1:42" ht="15" customHeight="1" x14ac:dyDescent="0.2">
      <c r="A42" s="16" t="s">
        <v>522</v>
      </c>
      <c r="B42" s="16" t="s">
        <v>530</v>
      </c>
      <c r="C42" s="16" t="s">
        <v>183</v>
      </c>
      <c r="D42" s="16" t="s">
        <v>641</v>
      </c>
      <c r="E42" s="17">
        <v>407110</v>
      </c>
      <c r="F42" s="17">
        <v>1174297</v>
      </c>
      <c r="G42" s="17">
        <v>1927891</v>
      </c>
      <c r="H42" s="17">
        <v>2400036</v>
      </c>
      <c r="I42" s="17">
        <v>2564353</v>
      </c>
      <c r="J42" s="17">
        <v>2589086</v>
      </c>
      <c r="K42" s="17">
        <v>2540719</v>
      </c>
      <c r="L42" s="17">
        <v>2410379</v>
      </c>
      <c r="M42" s="17">
        <v>2275285</v>
      </c>
      <c r="N42" s="17">
        <v>2150094</v>
      </c>
      <c r="O42" s="17">
        <v>2009851</v>
      </c>
      <c r="P42" s="17">
        <v>1871896</v>
      </c>
      <c r="Q42" s="17">
        <v>1776864</v>
      </c>
      <c r="R42" s="17">
        <v>1691078</v>
      </c>
      <c r="S42" s="17">
        <v>1588817</v>
      </c>
      <c r="T42" s="17">
        <v>1455621</v>
      </c>
      <c r="U42" s="17">
        <v>1330059</v>
      </c>
      <c r="V42" s="17">
        <v>1254494</v>
      </c>
      <c r="W42" s="17">
        <v>1191620</v>
      </c>
      <c r="X42" s="17">
        <v>1106634</v>
      </c>
      <c r="Y42" s="17">
        <v>1024489</v>
      </c>
      <c r="Z42" s="17">
        <v>932048</v>
      </c>
      <c r="AA42" s="17">
        <v>846801</v>
      </c>
      <c r="AB42" s="17">
        <v>774848</v>
      </c>
      <c r="AC42" s="17">
        <v>1857455</v>
      </c>
      <c r="AD42" s="17">
        <v>1629492</v>
      </c>
      <c r="AE42" s="17">
        <v>1442254</v>
      </c>
      <c r="AF42" s="17">
        <v>1273040</v>
      </c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8">
        <f t="shared" si="0"/>
        <v>45496611</v>
      </c>
    </row>
    <row r="43" spans="1:42" ht="15" customHeight="1" x14ac:dyDescent="0.2">
      <c r="A43" s="16" t="s">
        <v>522</v>
      </c>
      <c r="B43" s="16" t="s">
        <v>530</v>
      </c>
      <c r="C43" s="16" t="s">
        <v>184</v>
      </c>
      <c r="D43" s="16" t="s">
        <v>641</v>
      </c>
      <c r="E43" s="17">
        <v>2099</v>
      </c>
      <c r="F43" s="17">
        <v>3049</v>
      </c>
      <c r="G43" s="17">
        <v>14177</v>
      </c>
      <c r="H43" s="17">
        <v>25772</v>
      </c>
      <c r="I43" s="17">
        <v>35256</v>
      </c>
      <c r="J43" s="17">
        <v>42603</v>
      </c>
      <c r="K43" s="17">
        <v>47650</v>
      </c>
      <c r="L43" s="17">
        <v>51048</v>
      </c>
      <c r="M43" s="17">
        <v>53016</v>
      </c>
      <c r="N43" s="17">
        <v>54000</v>
      </c>
      <c r="O43" s="17">
        <v>53817</v>
      </c>
      <c r="P43" s="17">
        <v>53127</v>
      </c>
      <c r="Q43" s="17">
        <v>51962</v>
      </c>
      <c r="R43" s="17">
        <v>50592</v>
      </c>
      <c r="S43" s="17">
        <v>48719</v>
      </c>
      <c r="T43" s="17">
        <v>46841</v>
      </c>
      <c r="U43" s="17">
        <v>44889</v>
      </c>
      <c r="V43" s="17">
        <v>43019</v>
      </c>
      <c r="W43" s="17">
        <v>40922</v>
      </c>
      <c r="X43" s="17">
        <v>38977</v>
      </c>
      <c r="Y43" s="17">
        <v>37085</v>
      </c>
      <c r="Z43" s="17">
        <v>35354</v>
      </c>
      <c r="AA43" s="17">
        <v>33481</v>
      </c>
      <c r="AB43" s="17">
        <v>31739</v>
      </c>
      <c r="AC43" s="17">
        <v>30047</v>
      </c>
      <c r="AD43" s="17">
        <v>28491</v>
      </c>
      <c r="AE43" s="17">
        <v>26844</v>
      </c>
      <c r="AF43" s="17">
        <v>25342</v>
      </c>
      <c r="AG43" s="17">
        <v>0</v>
      </c>
      <c r="AH43" s="17">
        <v>0</v>
      </c>
      <c r="AI43" s="17">
        <v>0</v>
      </c>
      <c r="AJ43" s="17">
        <v>0</v>
      </c>
      <c r="AK43" s="17">
        <v>0</v>
      </c>
      <c r="AL43" s="17">
        <v>0</v>
      </c>
      <c r="AM43" s="17">
        <v>0</v>
      </c>
      <c r="AN43" s="17">
        <v>0</v>
      </c>
      <c r="AO43" s="17">
        <v>0</v>
      </c>
      <c r="AP43" s="18">
        <f t="shared" si="0"/>
        <v>1049918</v>
      </c>
    </row>
    <row r="44" spans="1:42" ht="15" customHeight="1" x14ac:dyDescent="0.2">
      <c r="A44" s="16" t="s">
        <v>522</v>
      </c>
      <c r="B44" s="16" t="s">
        <v>530</v>
      </c>
      <c r="C44" s="16" t="s">
        <v>185</v>
      </c>
      <c r="D44" s="16" t="s">
        <v>641</v>
      </c>
      <c r="E44" s="17">
        <v>361045</v>
      </c>
      <c r="F44" s="17">
        <v>1114882</v>
      </c>
      <c r="G44" s="17">
        <v>1808905</v>
      </c>
      <c r="H44" s="17">
        <v>2297459</v>
      </c>
      <c r="I44" s="17">
        <v>2504053</v>
      </c>
      <c r="J44" s="17">
        <v>2651930</v>
      </c>
      <c r="K44" s="17">
        <v>2626387</v>
      </c>
      <c r="L44" s="17">
        <v>2477582</v>
      </c>
      <c r="M44" s="17">
        <v>2306815</v>
      </c>
      <c r="N44" s="17">
        <v>2132898</v>
      </c>
      <c r="O44" s="17">
        <v>1973038</v>
      </c>
      <c r="P44" s="17">
        <v>1829661</v>
      </c>
      <c r="Q44" s="17">
        <v>1742705</v>
      </c>
      <c r="R44" s="17">
        <v>1653333</v>
      </c>
      <c r="S44" s="17">
        <v>1616262</v>
      </c>
      <c r="T44" s="17">
        <v>1577804</v>
      </c>
      <c r="U44" s="17">
        <v>1545644</v>
      </c>
      <c r="V44" s="17">
        <v>1525136</v>
      </c>
      <c r="W44" s="17">
        <v>1504477</v>
      </c>
      <c r="X44" s="17">
        <v>1454657</v>
      </c>
      <c r="Y44" s="17">
        <v>1338961</v>
      </c>
      <c r="Z44" s="17">
        <v>1185684</v>
      </c>
      <c r="AA44" s="17">
        <v>1047814</v>
      </c>
      <c r="AB44" s="17">
        <v>1498292</v>
      </c>
      <c r="AC44" s="17">
        <v>1302608</v>
      </c>
      <c r="AD44" s="17">
        <v>1131815</v>
      </c>
      <c r="AE44" s="17">
        <v>986921</v>
      </c>
      <c r="AF44" s="17">
        <v>860065</v>
      </c>
      <c r="AG44" s="17">
        <v>0</v>
      </c>
      <c r="AH44" s="17">
        <v>0</v>
      </c>
      <c r="AI44" s="17">
        <v>0</v>
      </c>
      <c r="AJ44" s="17">
        <v>0</v>
      </c>
      <c r="AK44" s="17">
        <v>0</v>
      </c>
      <c r="AL44" s="17">
        <v>0</v>
      </c>
      <c r="AM44" s="17">
        <v>0</v>
      </c>
      <c r="AN44" s="17">
        <v>0</v>
      </c>
      <c r="AO44" s="17">
        <v>0</v>
      </c>
      <c r="AP44" s="18">
        <f t="shared" si="0"/>
        <v>46056833</v>
      </c>
    </row>
    <row r="45" spans="1:42" ht="15" customHeight="1" x14ac:dyDescent="0.2">
      <c r="A45" s="16" t="s">
        <v>522</v>
      </c>
      <c r="B45" s="16" t="s">
        <v>530</v>
      </c>
      <c r="C45" s="16" t="s">
        <v>193</v>
      </c>
      <c r="D45" s="16" t="s">
        <v>641</v>
      </c>
      <c r="E45" s="17">
        <v>457979</v>
      </c>
      <c r="F45" s="17">
        <v>1016198</v>
      </c>
      <c r="G45" s="17">
        <v>1384500</v>
      </c>
      <c r="H45" s="17">
        <v>1942839</v>
      </c>
      <c r="I45" s="17">
        <v>2781411</v>
      </c>
      <c r="J45" s="17">
        <v>2718625</v>
      </c>
      <c r="K45" s="17">
        <v>2467652</v>
      </c>
      <c r="L45" s="17">
        <v>2257621</v>
      </c>
      <c r="M45" s="17">
        <v>2072306</v>
      </c>
      <c r="N45" s="17">
        <v>1907771</v>
      </c>
      <c r="O45" s="17">
        <v>1758026</v>
      </c>
      <c r="P45" s="17">
        <v>1601180</v>
      </c>
      <c r="Q45" s="17">
        <v>1442565</v>
      </c>
      <c r="R45" s="17">
        <v>1278986</v>
      </c>
      <c r="S45" s="17">
        <v>3364322</v>
      </c>
      <c r="T45" s="17">
        <v>2948898</v>
      </c>
      <c r="U45" s="17">
        <v>2596436</v>
      </c>
      <c r="V45" s="17">
        <v>2261223</v>
      </c>
      <c r="W45" s="17">
        <v>0</v>
      </c>
      <c r="X45" s="17">
        <v>0</v>
      </c>
      <c r="Y45" s="17">
        <v>0</v>
      </c>
      <c r="Z45" s="17">
        <v>0</v>
      </c>
      <c r="AA45" s="17">
        <v>0</v>
      </c>
      <c r="AB45" s="17">
        <v>0</v>
      </c>
      <c r="AC45" s="17">
        <v>0</v>
      </c>
      <c r="AD45" s="17">
        <v>0</v>
      </c>
      <c r="AE45" s="17">
        <v>0</v>
      </c>
      <c r="AF45" s="17">
        <v>0</v>
      </c>
      <c r="AG45" s="17">
        <v>0</v>
      </c>
      <c r="AH45" s="17">
        <v>0</v>
      </c>
      <c r="AI45" s="17">
        <v>0</v>
      </c>
      <c r="AJ45" s="17">
        <v>0</v>
      </c>
      <c r="AK45" s="17">
        <v>0</v>
      </c>
      <c r="AL45" s="17">
        <v>0</v>
      </c>
      <c r="AM45" s="17">
        <v>0</v>
      </c>
      <c r="AN45" s="17">
        <v>0</v>
      </c>
      <c r="AO45" s="17">
        <v>0</v>
      </c>
      <c r="AP45" s="18">
        <f t="shared" si="0"/>
        <v>36258538</v>
      </c>
    </row>
    <row r="46" spans="1:42" ht="15" customHeight="1" x14ac:dyDescent="0.2">
      <c r="A46" s="16" t="s">
        <v>522</v>
      </c>
      <c r="B46" s="16" t="s">
        <v>530</v>
      </c>
      <c r="C46" s="16" t="s">
        <v>194</v>
      </c>
      <c r="D46" s="16" t="s">
        <v>641</v>
      </c>
      <c r="E46" s="17">
        <v>391135</v>
      </c>
      <c r="F46" s="17">
        <v>537721</v>
      </c>
      <c r="G46" s="17">
        <v>642555</v>
      </c>
      <c r="H46" s="17">
        <v>733440</v>
      </c>
      <c r="I46" s="17">
        <v>973536</v>
      </c>
      <c r="J46" s="17">
        <v>1836955</v>
      </c>
      <c r="K46" s="17">
        <v>1849533</v>
      </c>
      <c r="L46" s="17">
        <v>1667836</v>
      </c>
      <c r="M46" s="17">
        <v>1491723</v>
      </c>
      <c r="N46" s="17">
        <v>1342603</v>
      </c>
      <c r="O46" s="17">
        <v>1199377</v>
      </c>
      <c r="P46" s="17">
        <v>1082914</v>
      </c>
      <c r="Q46" s="17">
        <v>964751</v>
      </c>
      <c r="R46" s="17">
        <v>837411</v>
      </c>
      <c r="S46" s="17">
        <v>1888013</v>
      </c>
      <c r="T46" s="17">
        <v>1640407</v>
      </c>
      <c r="U46" s="17">
        <v>1419433</v>
      </c>
      <c r="V46" s="17">
        <v>1242787</v>
      </c>
      <c r="W46" s="17">
        <v>0</v>
      </c>
      <c r="X46" s="17">
        <v>0</v>
      </c>
      <c r="Y46" s="17">
        <v>0</v>
      </c>
      <c r="Z46" s="17">
        <v>0</v>
      </c>
      <c r="AA46" s="17">
        <v>0</v>
      </c>
      <c r="AB46" s="17">
        <v>0</v>
      </c>
      <c r="AC46" s="17">
        <v>0</v>
      </c>
      <c r="AD46" s="17">
        <v>0</v>
      </c>
      <c r="AE46" s="17">
        <v>0</v>
      </c>
      <c r="AF46" s="17">
        <v>0</v>
      </c>
      <c r="AG46" s="17">
        <v>0</v>
      </c>
      <c r="AH46" s="17">
        <v>0</v>
      </c>
      <c r="AI46" s="17">
        <v>0</v>
      </c>
      <c r="AJ46" s="17">
        <v>0</v>
      </c>
      <c r="AK46" s="17">
        <v>0</v>
      </c>
      <c r="AL46" s="17">
        <v>0</v>
      </c>
      <c r="AM46" s="17">
        <v>0</v>
      </c>
      <c r="AN46" s="17">
        <v>0</v>
      </c>
      <c r="AO46" s="17">
        <v>0</v>
      </c>
      <c r="AP46" s="18">
        <f t="shared" si="0"/>
        <v>21742130</v>
      </c>
    </row>
    <row r="47" spans="1:42" ht="15" customHeight="1" x14ac:dyDescent="0.2">
      <c r="A47" s="16" t="s">
        <v>522</v>
      </c>
      <c r="B47" s="16" t="s">
        <v>531</v>
      </c>
      <c r="C47" s="16" t="s">
        <v>427</v>
      </c>
      <c r="D47" s="16" t="s">
        <v>641</v>
      </c>
      <c r="E47" s="17">
        <v>82978</v>
      </c>
      <c r="F47" s="17">
        <v>193077</v>
      </c>
      <c r="G47" s="17">
        <v>158234</v>
      </c>
      <c r="H47" s="17">
        <v>103234</v>
      </c>
      <c r="I47" s="17">
        <v>67503</v>
      </c>
      <c r="J47" s="17">
        <v>44123</v>
      </c>
      <c r="K47" s="17">
        <v>26070</v>
      </c>
      <c r="L47" s="17">
        <v>12021</v>
      </c>
      <c r="M47" s="17">
        <v>0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  <c r="AE47" s="17">
        <v>0</v>
      </c>
      <c r="AF47" s="17">
        <v>0</v>
      </c>
      <c r="AG47" s="17">
        <v>0</v>
      </c>
      <c r="AH47" s="17">
        <v>0</v>
      </c>
      <c r="AI47" s="17">
        <v>0</v>
      </c>
      <c r="AJ47" s="17">
        <v>0</v>
      </c>
      <c r="AK47" s="17">
        <v>0</v>
      </c>
      <c r="AL47" s="17">
        <v>0</v>
      </c>
      <c r="AM47" s="17">
        <v>0</v>
      </c>
      <c r="AN47" s="17">
        <v>0</v>
      </c>
      <c r="AO47" s="17">
        <v>0</v>
      </c>
      <c r="AP47" s="18">
        <f t="shared" si="0"/>
        <v>687240</v>
      </c>
    </row>
    <row r="48" spans="1:42" ht="15" customHeight="1" x14ac:dyDescent="0.2">
      <c r="A48" s="16" t="s">
        <v>522</v>
      </c>
      <c r="B48" s="16" t="s">
        <v>532</v>
      </c>
      <c r="C48" s="16" t="s">
        <v>264</v>
      </c>
      <c r="D48" s="16" t="s">
        <v>641</v>
      </c>
      <c r="E48" s="17">
        <v>4599.1682000000001</v>
      </c>
      <c r="F48" s="17">
        <v>92688.853700000007</v>
      </c>
      <c r="G48" s="17">
        <v>160152.8542</v>
      </c>
      <c r="H48" s="17">
        <v>271215.18150000001</v>
      </c>
      <c r="I48" s="17">
        <v>228505.15289999999</v>
      </c>
      <c r="J48" s="17">
        <v>188542.1863</v>
      </c>
      <c r="K48" s="17">
        <v>158848.4075</v>
      </c>
      <c r="L48" s="17">
        <v>136617.65760000001</v>
      </c>
      <c r="M48" s="17">
        <v>118566.3417</v>
      </c>
      <c r="N48" s="17">
        <v>102957.9108</v>
      </c>
      <c r="O48" s="17">
        <v>90056.018899999995</v>
      </c>
      <c r="P48" s="17">
        <v>78978.622199999998</v>
      </c>
      <c r="Q48" s="17">
        <v>70003.190400000007</v>
      </c>
      <c r="R48" s="17">
        <v>0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  <c r="AA48" s="17">
        <v>0</v>
      </c>
      <c r="AB48" s="17">
        <v>0</v>
      </c>
      <c r="AC48" s="17">
        <v>0</v>
      </c>
      <c r="AD48" s="17">
        <v>0</v>
      </c>
      <c r="AE48" s="17">
        <v>0</v>
      </c>
      <c r="AF48" s="17">
        <v>0</v>
      </c>
      <c r="AG48" s="17">
        <v>0</v>
      </c>
      <c r="AH48" s="17">
        <v>0</v>
      </c>
      <c r="AI48" s="17">
        <v>0</v>
      </c>
      <c r="AJ48" s="17">
        <v>0</v>
      </c>
      <c r="AK48" s="17">
        <v>0</v>
      </c>
      <c r="AL48" s="17">
        <v>0</v>
      </c>
      <c r="AM48" s="17">
        <v>0</v>
      </c>
      <c r="AN48" s="17">
        <v>0</v>
      </c>
      <c r="AO48" s="17">
        <v>0</v>
      </c>
      <c r="AP48" s="18">
        <f t="shared" si="0"/>
        <v>1701731.5459</v>
      </c>
    </row>
    <row r="49" spans="1:42" ht="15" customHeight="1" x14ac:dyDescent="0.2">
      <c r="A49" s="16" t="s">
        <v>522</v>
      </c>
      <c r="B49" s="16" t="s">
        <v>532</v>
      </c>
      <c r="C49" s="16" t="s">
        <v>277</v>
      </c>
      <c r="D49" s="16" t="s">
        <v>641</v>
      </c>
      <c r="E49" s="17">
        <v>186831.44649999999</v>
      </c>
      <c r="F49" s="17">
        <v>467308.05910000001</v>
      </c>
      <c r="G49" s="17">
        <v>755610.81370000006</v>
      </c>
      <c r="H49" s="17">
        <v>1107216.8384</v>
      </c>
      <c r="I49" s="17">
        <v>1256022.9807</v>
      </c>
      <c r="J49" s="17">
        <v>1364092.7734000001</v>
      </c>
      <c r="K49" s="17">
        <v>1350270.0482999999</v>
      </c>
      <c r="L49" s="17">
        <v>1255275.4369999999</v>
      </c>
      <c r="M49" s="17">
        <v>1154262.7575000001</v>
      </c>
      <c r="N49" s="17">
        <v>1010425.5334</v>
      </c>
      <c r="O49" s="17">
        <v>885556.89749999996</v>
      </c>
      <c r="P49" s="17">
        <v>784571.56629999995</v>
      </c>
      <c r="Q49" s="17">
        <v>703095.66720000003</v>
      </c>
      <c r="R49" s="17">
        <v>1224085.6125</v>
      </c>
      <c r="S49" s="17">
        <v>0</v>
      </c>
      <c r="T49" s="17">
        <v>0</v>
      </c>
      <c r="U49" s="17">
        <v>0</v>
      </c>
      <c r="V49" s="17">
        <v>0</v>
      </c>
      <c r="W49" s="17">
        <v>0</v>
      </c>
      <c r="X49" s="17">
        <v>0</v>
      </c>
      <c r="Y49" s="17">
        <v>0</v>
      </c>
      <c r="Z49" s="17">
        <v>0</v>
      </c>
      <c r="AA49" s="17">
        <v>0</v>
      </c>
      <c r="AB49" s="17">
        <v>0</v>
      </c>
      <c r="AC49" s="17">
        <v>0</v>
      </c>
      <c r="AD49" s="17">
        <v>0</v>
      </c>
      <c r="AE49" s="17">
        <v>0</v>
      </c>
      <c r="AF49" s="17">
        <v>0</v>
      </c>
      <c r="AG49" s="17">
        <v>0</v>
      </c>
      <c r="AH49" s="17">
        <v>0</v>
      </c>
      <c r="AI49" s="17">
        <v>0</v>
      </c>
      <c r="AJ49" s="17">
        <v>0</v>
      </c>
      <c r="AK49" s="17">
        <v>0</v>
      </c>
      <c r="AL49" s="17">
        <v>0</v>
      </c>
      <c r="AM49" s="17">
        <v>0</v>
      </c>
      <c r="AN49" s="17">
        <v>0</v>
      </c>
      <c r="AO49" s="17">
        <v>0</v>
      </c>
      <c r="AP49" s="18">
        <f t="shared" si="0"/>
        <v>13504626.431499999</v>
      </c>
    </row>
    <row r="50" spans="1:42" ht="15" customHeight="1" x14ac:dyDescent="0.2">
      <c r="A50" s="16" t="s">
        <v>522</v>
      </c>
      <c r="B50" s="16" t="s">
        <v>534</v>
      </c>
      <c r="C50" s="16" t="s">
        <v>181</v>
      </c>
      <c r="D50" s="16" t="s">
        <v>641</v>
      </c>
      <c r="E50" s="17">
        <v>113891</v>
      </c>
      <c r="F50" s="17">
        <v>98236</v>
      </c>
      <c r="G50" s="17">
        <v>256019</v>
      </c>
      <c r="H50" s="17">
        <v>336370</v>
      </c>
      <c r="I50" s="17">
        <v>272440</v>
      </c>
      <c r="J50" s="17">
        <v>217036</v>
      </c>
      <c r="K50" s="17">
        <v>176673</v>
      </c>
      <c r="L50" s="17">
        <v>143288</v>
      </c>
      <c r="M50" s="17">
        <v>926851</v>
      </c>
      <c r="N50" s="17">
        <v>0</v>
      </c>
      <c r="O50" s="17">
        <v>0</v>
      </c>
      <c r="P50" s="17">
        <v>0</v>
      </c>
      <c r="Q50" s="17">
        <v>0</v>
      </c>
      <c r="R50" s="17">
        <v>0</v>
      </c>
      <c r="S50" s="17">
        <v>0</v>
      </c>
      <c r="T50" s="17">
        <v>0</v>
      </c>
      <c r="U50" s="17">
        <v>0</v>
      </c>
      <c r="V50" s="17">
        <v>0</v>
      </c>
      <c r="W50" s="17">
        <v>0</v>
      </c>
      <c r="X50" s="17">
        <v>0</v>
      </c>
      <c r="Y50" s="17">
        <v>0</v>
      </c>
      <c r="Z50" s="17">
        <v>0</v>
      </c>
      <c r="AA50" s="17">
        <v>0</v>
      </c>
      <c r="AB50" s="17">
        <v>0</v>
      </c>
      <c r="AC50" s="17">
        <v>0</v>
      </c>
      <c r="AD50" s="17">
        <v>0</v>
      </c>
      <c r="AE50" s="17">
        <v>0</v>
      </c>
      <c r="AF50" s="17">
        <v>0</v>
      </c>
      <c r="AG50" s="17">
        <v>0</v>
      </c>
      <c r="AH50" s="17">
        <v>0</v>
      </c>
      <c r="AI50" s="17">
        <v>0</v>
      </c>
      <c r="AJ50" s="17">
        <v>0</v>
      </c>
      <c r="AK50" s="17">
        <v>0</v>
      </c>
      <c r="AL50" s="17">
        <v>0</v>
      </c>
      <c r="AM50" s="17">
        <v>0</v>
      </c>
      <c r="AN50" s="17">
        <v>0</v>
      </c>
      <c r="AO50" s="17">
        <v>0</v>
      </c>
      <c r="AP50" s="18">
        <f t="shared" si="0"/>
        <v>2540804</v>
      </c>
    </row>
    <row r="51" spans="1:42" ht="15" customHeight="1" x14ac:dyDescent="0.2">
      <c r="A51" s="16" t="s">
        <v>522</v>
      </c>
      <c r="B51" s="16" t="s">
        <v>534</v>
      </c>
      <c r="C51" s="16" t="s">
        <v>182</v>
      </c>
      <c r="D51" s="16" t="s">
        <v>641</v>
      </c>
      <c r="E51" s="17">
        <v>0</v>
      </c>
      <c r="F51" s="17">
        <v>4168</v>
      </c>
      <c r="G51" s="17">
        <v>19163</v>
      </c>
      <c r="H51" s="17">
        <v>19166</v>
      </c>
      <c r="I51" s="17">
        <v>17244</v>
      </c>
      <c r="J51" s="17">
        <v>13731</v>
      </c>
      <c r="K51" s="17">
        <v>10961</v>
      </c>
      <c r="L51" s="17">
        <v>8753</v>
      </c>
      <c r="M51" s="17">
        <v>173517</v>
      </c>
      <c r="N51" s="17">
        <v>0</v>
      </c>
      <c r="O51" s="17">
        <v>0</v>
      </c>
      <c r="P51" s="17">
        <v>0</v>
      </c>
      <c r="Q51" s="17">
        <v>0</v>
      </c>
      <c r="R51" s="17">
        <v>0</v>
      </c>
      <c r="S51" s="17">
        <v>0</v>
      </c>
      <c r="T51" s="17">
        <v>0</v>
      </c>
      <c r="U51" s="17">
        <v>0</v>
      </c>
      <c r="V51" s="17">
        <v>0</v>
      </c>
      <c r="W51" s="17">
        <v>0</v>
      </c>
      <c r="X51" s="17">
        <v>0</v>
      </c>
      <c r="Y51" s="17">
        <v>0</v>
      </c>
      <c r="Z51" s="17">
        <v>0</v>
      </c>
      <c r="AA51" s="17">
        <v>0</v>
      </c>
      <c r="AB51" s="17">
        <v>0</v>
      </c>
      <c r="AC51" s="17">
        <v>0</v>
      </c>
      <c r="AD51" s="17">
        <v>0</v>
      </c>
      <c r="AE51" s="17">
        <v>0</v>
      </c>
      <c r="AF51" s="17">
        <v>0</v>
      </c>
      <c r="AG51" s="17">
        <v>0</v>
      </c>
      <c r="AH51" s="17">
        <v>0</v>
      </c>
      <c r="AI51" s="17">
        <v>0</v>
      </c>
      <c r="AJ51" s="17">
        <v>0</v>
      </c>
      <c r="AK51" s="17">
        <v>0</v>
      </c>
      <c r="AL51" s="17">
        <v>0</v>
      </c>
      <c r="AM51" s="17">
        <v>0</v>
      </c>
      <c r="AN51" s="17">
        <v>0</v>
      </c>
      <c r="AO51" s="17">
        <v>0</v>
      </c>
      <c r="AP51" s="18">
        <f t="shared" si="0"/>
        <v>266703</v>
      </c>
    </row>
    <row r="52" spans="1:42" ht="15" customHeight="1" x14ac:dyDescent="0.2">
      <c r="A52" s="16" t="s">
        <v>522</v>
      </c>
      <c r="B52" s="16" t="s">
        <v>534</v>
      </c>
      <c r="C52" s="16" t="s">
        <v>216</v>
      </c>
      <c r="D52" s="16" t="s">
        <v>641</v>
      </c>
      <c r="E52" s="17">
        <v>2745</v>
      </c>
      <c r="F52" s="17">
        <v>3231</v>
      </c>
      <c r="G52" s="17">
        <v>3538</v>
      </c>
      <c r="H52" s="17">
        <v>3724</v>
      </c>
      <c r="I52" s="17">
        <v>3830</v>
      </c>
      <c r="J52" s="17">
        <v>3859</v>
      </c>
      <c r="K52" s="17">
        <v>3853</v>
      </c>
      <c r="L52" s="17">
        <v>3825</v>
      </c>
      <c r="M52" s="17">
        <v>3840</v>
      </c>
      <c r="N52" s="17">
        <v>3901</v>
      </c>
      <c r="O52" s="17">
        <v>4019</v>
      </c>
      <c r="P52" s="17">
        <v>4170</v>
      </c>
      <c r="Q52" s="17">
        <v>4353</v>
      </c>
      <c r="R52" s="17">
        <v>24471</v>
      </c>
      <c r="S52" s="17">
        <v>23245</v>
      </c>
      <c r="T52" s="17">
        <v>22085</v>
      </c>
      <c r="U52" s="17">
        <v>21036</v>
      </c>
      <c r="V52" s="17">
        <v>0</v>
      </c>
      <c r="W52" s="17">
        <v>0</v>
      </c>
      <c r="X52" s="17">
        <v>0</v>
      </c>
      <c r="Y52" s="17">
        <v>0</v>
      </c>
      <c r="Z52" s="17">
        <v>0</v>
      </c>
      <c r="AA52" s="17">
        <v>0</v>
      </c>
      <c r="AB52" s="17">
        <v>0</v>
      </c>
      <c r="AC52" s="17">
        <v>0</v>
      </c>
      <c r="AD52" s="17">
        <v>0</v>
      </c>
      <c r="AE52" s="17">
        <v>0</v>
      </c>
      <c r="AF52" s="17">
        <v>0</v>
      </c>
      <c r="AG52" s="17">
        <v>0</v>
      </c>
      <c r="AH52" s="17">
        <v>0</v>
      </c>
      <c r="AI52" s="17">
        <v>0</v>
      </c>
      <c r="AJ52" s="17">
        <v>0</v>
      </c>
      <c r="AK52" s="17">
        <v>0</v>
      </c>
      <c r="AL52" s="17">
        <v>0</v>
      </c>
      <c r="AM52" s="17">
        <v>0</v>
      </c>
      <c r="AN52" s="17">
        <v>0</v>
      </c>
      <c r="AO52" s="17">
        <v>0</v>
      </c>
      <c r="AP52" s="18">
        <f t="shared" si="0"/>
        <v>139725</v>
      </c>
    </row>
    <row r="53" spans="1:42" ht="15" customHeight="1" x14ac:dyDescent="0.2">
      <c r="A53" s="16" t="s">
        <v>522</v>
      </c>
      <c r="B53" s="16" t="s">
        <v>534</v>
      </c>
      <c r="C53" s="16" t="s">
        <v>239</v>
      </c>
      <c r="D53" s="16" t="s">
        <v>641</v>
      </c>
      <c r="E53" s="17">
        <v>39148</v>
      </c>
      <c r="F53" s="17">
        <v>70775</v>
      </c>
      <c r="G53" s="17">
        <v>76065</v>
      </c>
      <c r="H53" s="17">
        <v>70418</v>
      </c>
      <c r="I53" s="17">
        <v>90195</v>
      </c>
      <c r="J53" s="17">
        <v>69664</v>
      </c>
      <c r="K53" s="17">
        <v>54208</v>
      </c>
      <c r="L53" s="17">
        <v>42369</v>
      </c>
      <c r="M53" s="17">
        <v>0</v>
      </c>
      <c r="N53" s="17">
        <v>0</v>
      </c>
      <c r="O53" s="17">
        <v>0</v>
      </c>
      <c r="P53" s="17">
        <v>0</v>
      </c>
      <c r="Q53" s="17">
        <v>0</v>
      </c>
      <c r="R53" s="17">
        <v>0</v>
      </c>
      <c r="S53" s="17">
        <v>0</v>
      </c>
      <c r="T53" s="17">
        <v>0</v>
      </c>
      <c r="U53" s="17">
        <v>0</v>
      </c>
      <c r="V53" s="17">
        <v>0</v>
      </c>
      <c r="W53" s="17">
        <v>0</v>
      </c>
      <c r="X53" s="17">
        <v>0</v>
      </c>
      <c r="Y53" s="17">
        <v>0</v>
      </c>
      <c r="Z53" s="17">
        <v>0</v>
      </c>
      <c r="AA53" s="17">
        <v>0</v>
      </c>
      <c r="AB53" s="17">
        <v>0</v>
      </c>
      <c r="AC53" s="17">
        <v>0</v>
      </c>
      <c r="AD53" s="17">
        <v>0</v>
      </c>
      <c r="AE53" s="17">
        <v>0</v>
      </c>
      <c r="AF53" s="17">
        <v>0</v>
      </c>
      <c r="AG53" s="17">
        <v>0</v>
      </c>
      <c r="AH53" s="17">
        <v>0</v>
      </c>
      <c r="AI53" s="17">
        <v>0</v>
      </c>
      <c r="AJ53" s="17">
        <v>0</v>
      </c>
      <c r="AK53" s="17">
        <v>0</v>
      </c>
      <c r="AL53" s="17">
        <v>0</v>
      </c>
      <c r="AM53" s="17">
        <v>0</v>
      </c>
      <c r="AN53" s="17">
        <v>0</v>
      </c>
      <c r="AO53" s="17">
        <v>0</v>
      </c>
      <c r="AP53" s="18">
        <f t="shared" si="0"/>
        <v>512842</v>
      </c>
    </row>
    <row r="54" spans="1:42" ht="15" customHeight="1" x14ac:dyDescent="0.2">
      <c r="A54" s="16" t="s">
        <v>522</v>
      </c>
      <c r="B54" s="16" t="s">
        <v>534</v>
      </c>
      <c r="C54" s="16" t="s">
        <v>244</v>
      </c>
      <c r="D54" s="16" t="s">
        <v>641</v>
      </c>
      <c r="E54" s="17">
        <v>8104</v>
      </c>
      <c r="F54" s="17">
        <v>25202</v>
      </c>
      <c r="G54" s="17">
        <v>39313</v>
      </c>
      <c r="H54" s="17">
        <v>37385</v>
      </c>
      <c r="I54" s="17">
        <v>34287</v>
      </c>
      <c r="J54" s="17">
        <v>30531</v>
      </c>
      <c r="K54" s="17">
        <v>26841</v>
      </c>
      <c r="L54" s="17">
        <v>23368</v>
      </c>
      <c r="M54" s="17">
        <v>56455</v>
      </c>
      <c r="N54" s="17">
        <v>49049</v>
      </c>
      <c r="O54" s="17">
        <v>42845</v>
      </c>
      <c r="P54" s="17">
        <v>0</v>
      </c>
      <c r="Q54" s="17">
        <v>0</v>
      </c>
      <c r="R54" s="17">
        <v>0</v>
      </c>
      <c r="S54" s="17">
        <v>0</v>
      </c>
      <c r="T54" s="17">
        <v>0</v>
      </c>
      <c r="U54" s="17">
        <v>0</v>
      </c>
      <c r="V54" s="17">
        <v>0</v>
      </c>
      <c r="W54" s="17">
        <v>0</v>
      </c>
      <c r="X54" s="17">
        <v>0</v>
      </c>
      <c r="Y54" s="17">
        <v>0</v>
      </c>
      <c r="Z54" s="17">
        <v>0</v>
      </c>
      <c r="AA54" s="17">
        <v>0</v>
      </c>
      <c r="AB54" s="17">
        <v>0</v>
      </c>
      <c r="AC54" s="17">
        <v>0</v>
      </c>
      <c r="AD54" s="17">
        <v>0</v>
      </c>
      <c r="AE54" s="17">
        <v>0</v>
      </c>
      <c r="AF54" s="17">
        <v>0</v>
      </c>
      <c r="AG54" s="17">
        <v>0</v>
      </c>
      <c r="AH54" s="17">
        <v>0</v>
      </c>
      <c r="AI54" s="17">
        <v>0</v>
      </c>
      <c r="AJ54" s="17">
        <v>0</v>
      </c>
      <c r="AK54" s="17">
        <v>0</v>
      </c>
      <c r="AL54" s="17">
        <v>0</v>
      </c>
      <c r="AM54" s="17">
        <v>0</v>
      </c>
      <c r="AN54" s="17">
        <v>0</v>
      </c>
      <c r="AO54" s="17">
        <v>0</v>
      </c>
      <c r="AP54" s="18">
        <f t="shared" si="0"/>
        <v>373380</v>
      </c>
    </row>
    <row r="55" spans="1:42" ht="15" customHeight="1" x14ac:dyDescent="0.2">
      <c r="A55" s="16" t="s">
        <v>522</v>
      </c>
      <c r="B55" s="16" t="s">
        <v>534</v>
      </c>
      <c r="C55" s="16" t="s">
        <v>294</v>
      </c>
      <c r="D55" s="16" t="s">
        <v>641</v>
      </c>
      <c r="E55" s="17">
        <v>0</v>
      </c>
      <c r="F55" s="17">
        <v>1796.5754999999999</v>
      </c>
      <c r="G55" s="17">
        <v>23592.286</v>
      </c>
      <c r="H55" s="17">
        <v>91649.826499999996</v>
      </c>
      <c r="I55" s="17">
        <v>81882.782200000001</v>
      </c>
      <c r="J55" s="17">
        <v>78417.698000000004</v>
      </c>
      <c r="K55" s="17">
        <v>84368.943100000004</v>
      </c>
      <c r="L55" s="17">
        <v>96600.764299999995</v>
      </c>
      <c r="M55" s="17">
        <v>89386.590800000005</v>
      </c>
      <c r="N55" s="17">
        <v>689224.18119999999</v>
      </c>
      <c r="O55" s="17">
        <v>0</v>
      </c>
      <c r="P55" s="17">
        <v>0</v>
      </c>
      <c r="Q55" s="17">
        <v>0</v>
      </c>
      <c r="R55" s="17">
        <v>0</v>
      </c>
      <c r="S55" s="17">
        <v>0</v>
      </c>
      <c r="T55" s="17">
        <v>0</v>
      </c>
      <c r="U55" s="17">
        <v>0</v>
      </c>
      <c r="V55" s="17">
        <v>0</v>
      </c>
      <c r="W55" s="17">
        <v>0</v>
      </c>
      <c r="X55" s="17">
        <v>0</v>
      </c>
      <c r="Y55" s="17">
        <v>0</v>
      </c>
      <c r="Z55" s="17">
        <v>0</v>
      </c>
      <c r="AA55" s="17">
        <v>0</v>
      </c>
      <c r="AB55" s="17">
        <v>0</v>
      </c>
      <c r="AC55" s="17">
        <v>0</v>
      </c>
      <c r="AD55" s="17">
        <v>0</v>
      </c>
      <c r="AE55" s="17">
        <v>0</v>
      </c>
      <c r="AF55" s="17">
        <v>0</v>
      </c>
      <c r="AG55" s="17">
        <v>0</v>
      </c>
      <c r="AH55" s="17">
        <v>0</v>
      </c>
      <c r="AI55" s="17">
        <v>0</v>
      </c>
      <c r="AJ55" s="17">
        <v>0</v>
      </c>
      <c r="AK55" s="17">
        <v>0</v>
      </c>
      <c r="AL55" s="17">
        <v>0</v>
      </c>
      <c r="AM55" s="17">
        <v>0</v>
      </c>
      <c r="AN55" s="17">
        <v>0</v>
      </c>
      <c r="AO55" s="17">
        <v>0</v>
      </c>
      <c r="AP55" s="18">
        <f t="shared" si="0"/>
        <v>1236919.6476</v>
      </c>
    </row>
    <row r="56" spans="1:42" ht="15" customHeight="1" x14ac:dyDescent="0.2">
      <c r="A56" s="16" t="s">
        <v>522</v>
      </c>
      <c r="B56" s="16" t="s">
        <v>534</v>
      </c>
      <c r="C56" s="16" t="s">
        <v>350</v>
      </c>
      <c r="D56" s="16" t="s">
        <v>641</v>
      </c>
      <c r="E56" s="17">
        <v>0</v>
      </c>
      <c r="F56" s="17">
        <v>0</v>
      </c>
      <c r="G56" s="17">
        <v>0</v>
      </c>
      <c r="H56" s="17">
        <v>1138</v>
      </c>
      <c r="I56" s="17">
        <v>8579</v>
      </c>
      <c r="J56" s="17">
        <v>8784</v>
      </c>
      <c r="K56" s="17">
        <v>8065</v>
      </c>
      <c r="L56" s="17">
        <v>6450</v>
      </c>
      <c r="M56" s="17">
        <v>110692</v>
      </c>
      <c r="N56" s="17">
        <v>0</v>
      </c>
      <c r="O56" s="17">
        <v>0</v>
      </c>
      <c r="P56" s="17">
        <v>0</v>
      </c>
      <c r="Q56" s="17">
        <v>0</v>
      </c>
      <c r="R56" s="17">
        <v>0</v>
      </c>
      <c r="S56" s="17">
        <v>0</v>
      </c>
      <c r="T56" s="17">
        <v>0</v>
      </c>
      <c r="U56" s="17">
        <v>0</v>
      </c>
      <c r="V56" s="17">
        <v>0</v>
      </c>
      <c r="W56" s="17">
        <v>0</v>
      </c>
      <c r="X56" s="17">
        <v>0</v>
      </c>
      <c r="Y56" s="17">
        <v>0</v>
      </c>
      <c r="Z56" s="17">
        <v>0</v>
      </c>
      <c r="AA56" s="17">
        <v>0</v>
      </c>
      <c r="AB56" s="17">
        <v>0</v>
      </c>
      <c r="AC56" s="17">
        <v>0</v>
      </c>
      <c r="AD56" s="17">
        <v>0</v>
      </c>
      <c r="AE56" s="17">
        <v>0</v>
      </c>
      <c r="AF56" s="17">
        <v>0</v>
      </c>
      <c r="AG56" s="17">
        <v>0</v>
      </c>
      <c r="AH56" s="17">
        <v>0</v>
      </c>
      <c r="AI56" s="17">
        <v>0</v>
      </c>
      <c r="AJ56" s="17">
        <v>0</v>
      </c>
      <c r="AK56" s="17">
        <v>0</v>
      </c>
      <c r="AL56" s="17">
        <v>0</v>
      </c>
      <c r="AM56" s="17">
        <v>0</v>
      </c>
      <c r="AN56" s="17">
        <v>0</v>
      </c>
      <c r="AO56" s="17">
        <v>0</v>
      </c>
      <c r="AP56" s="18">
        <f t="shared" si="0"/>
        <v>143708</v>
      </c>
    </row>
    <row r="57" spans="1:42" ht="15" customHeight="1" x14ac:dyDescent="0.2">
      <c r="A57" s="16" t="s">
        <v>522</v>
      </c>
      <c r="B57" s="16" t="s">
        <v>534</v>
      </c>
      <c r="C57" s="16" t="s">
        <v>430</v>
      </c>
      <c r="D57" s="16" t="s">
        <v>641</v>
      </c>
      <c r="E57" s="17">
        <v>336842</v>
      </c>
      <c r="F57" s="17">
        <v>503378</v>
      </c>
      <c r="G57" s="17">
        <v>610624</v>
      </c>
      <c r="H57" s="17">
        <v>608228</v>
      </c>
      <c r="I57" s="17">
        <v>557881</v>
      </c>
      <c r="J57" s="17">
        <v>505245</v>
      </c>
      <c r="K57" s="17">
        <v>455882</v>
      </c>
      <c r="L57" s="17">
        <v>413503</v>
      </c>
      <c r="M57" s="17">
        <v>378779</v>
      </c>
      <c r="N57" s="17">
        <v>332135</v>
      </c>
      <c r="O57" s="17">
        <v>301358</v>
      </c>
      <c r="P57" s="17">
        <v>263737</v>
      </c>
      <c r="Q57" s="17">
        <v>237968</v>
      </c>
      <c r="R57" s="17">
        <v>213461</v>
      </c>
      <c r="S57" s="17">
        <v>187244</v>
      </c>
      <c r="T57" s="17">
        <v>169314</v>
      </c>
      <c r="U57" s="17">
        <v>724116</v>
      </c>
      <c r="V57" s="17">
        <v>635709</v>
      </c>
      <c r="W57" s="17">
        <v>0</v>
      </c>
      <c r="X57" s="17">
        <v>0</v>
      </c>
      <c r="Y57" s="17">
        <v>0</v>
      </c>
      <c r="Z57" s="17">
        <v>0</v>
      </c>
      <c r="AA57" s="17">
        <v>0</v>
      </c>
      <c r="AB57" s="17">
        <v>0</v>
      </c>
      <c r="AC57" s="17">
        <v>0</v>
      </c>
      <c r="AD57" s="17">
        <v>0</v>
      </c>
      <c r="AE57" s="17">
        <v>0</v>
      </c>
      <c r="AF57" s="17">
        <v>0</v>
      </c>
      <c r="AG57" s="17">
        <v>0</v>
      </c>
      <c r="AH57" s="17">
        <v>0</v>
      </c>
      <c r="AI57" s="17">
        <v>0</v>
      </c>
      <c r="AJ57" s="17">
        <v>0</v>
      </c>
      <c r="AK57" s="17">
        <v>0</v>
      </c>
      <c r="AL57" s="17">
        <v>0</v>
      </c>
      <c r="AM57" s="17">
        <v>0</v>
      </c>
      <c r="AN57" s="17">
        <v>0</v>
      </c>
      <c r="AO57" s="17">
        <v>0</v>
      </c>
      <c r="AP57" s="18">
        <f t="shared" si="0"/>
        <v>7435404</v>
      </c>
    </row>
    <row r="58" spans="1:42" ht="15" customHeight="1" x14ac:dyDescent="0.2">
      <c r="A58" s="16" t="s">
        <v>522</v>
      </c>
      <c r="B58" s="16" t="s">
        <v>536</v>
      </c>
      <c r="C58" s="16" t="s">
        <v>385</v>
      </c>
      <c r="D58" s="16" t="s">
        <v>641</v>
      </c>
      <c r="E58" s="17">
        <v>7502</v>
      </c>
      <c r="F58" s="17">
        <v>5866</v>
      </c>
      <c r="G58" s="17">
        <v>4520</v>
      </c>
      <c r="H58" s="17">
        <v>3982</v>
      </c>
      <c r="I58" s="17">
        <v>3520</v>
      </c>
      <c r="J58" s="17">
        <v>3096</v>
      </c>
      <c r="K58" s="17">
        <v>2725</v>
      </c>
      <c r="L58" s="17">
        <v>2404</v>
      </c>
      <c r="M58" s="17">
        <v>2123</v>
      </c>
      <c r="N58" s="17">
        <v>0</v>
      </c>
      <c r="O58" s="17">
        <v>0</v>
      </c>
      <c r="P58" s="17">
        <v>0</v>
      </c>
      <c r="Q58" s="17">
        <v>0</v>
      </c>
      <c r="R58" s="17">
        <v>0</v>
      </c>
      <c r="S58" s="17">
        <v>0</v>
      </c>
      <c r="T58" s="17">
        <v>0</v>
      </c>
      <c r="U58" s="17">
        <v>0</v>
      </c>
      <c r="V58" s="17">
        <v>0</v>
      </c>
      <c r="W58" s="17">
        <v>0</v>
      </c>
      <c r="X58" s="17">
        <v>0</v>
      </c>
      <c r="Y58" s="17">
        <v>0</v>
      </c>
      <c r="Z58" s="17">
        <v>0</v>
      </c>
      <c r="AA58" s="17">
        <v>0</v>
      </c>
      <c r="AB58" s="17">
        <v>0</v>
      </c>
      <c r="AC58" s="17">
        <v>0</v>
      </c>
      <c r="AD58" s="17">
        <v>0</v>
      </c>
      <c r="AE58" s="17">
        <v>0</v>
      </c>
      <c r="AF58" s="17">
        <v>0</v>
      </c>
      <c r="AG58" s="17">
        <v>0</v>
      </c>
      <c r="AH58" s="17">
        <v>0</v>
      </c>
      <c r="AI58" s="17">
        <v>0</v>
      </c>
      <c r="AJ58" s="17">
        <v>0</v>
      </c>
      <c r="AK58" s="17">
        <v>0</v>
      </c>
      <c r="AL58" s="17">
        <v>0</v>
      </c>
      <c r="AM58" s="17">
        <v>0</v>
      </c>
      <c r="AN58" s="17">
        <v>0</v>
      </c>
      <c r="AO58" s="17">
        <v>0</v>
      </c>
      <c r="AP58" s="18">
        <f t="shared" si="0"/>
        <v>35738</v>
      </c>
    </row>
    <row r="59" spans="1:42" ht="15" customHeight="1" x14ac:dyDescent="0.2">
      <c r="A59" s="16" t="s">
        <v>522</v>
      </c>
      <c r="B59" s="16" t="s">
        <v>537</v>
      </c>
      <c r="C59" s="16" t="s">
        <v>240</v>
      </c>
      <c r="D59" s="16" t="s">
        <v>641</v>
      </c>
      <c r="E59" s="17">
        <v>23343.258600000001</v>
      </c>
      <c r="F59" s="17">
        <v>30320.418600000001</v>
      </c>
      <c r="G59" s="17">
        <v>388890.81390000001</v>
      </c>
      <c r="H59" s="17">
        <v>530783.92059999995</v>
      </c>
      <c r="I59" s="17">
        <v>478285.77110000001</v>
      </c>
      <c r="J59" s="17">
        <v>475562.48349999997</v>
      </c>
      <c r="K59" s="17">
        <v>387819.38299999997</v>
      </c>
      <c r="L59" s="17">
        <v>318275.17349999998</v>
      </c>
      <c r="M59" s="17">
        <v>247791.98329999999</v>
      </c>
      <c r="N59" s="17">
        <v>203792.33199999999</v>
      </c>
      <c r="O59" s="17">
        <v>171118.64840000001</v>
      </c>
      <c r="P59" s="17">
        <v>143874.0331</v>
      </c>
      <c r="Q59" s="17">
        <v>121400.5434</v>
      </c>
      <c r="R59" s="17">
        <v>0</v>
      </c>
      <c r="S59" s="17">
        <v>0</v>
      </c>
      <c r="T59" s="17">
        <v>0</v>
      </c>
      <c r="U59" s="17">
        <v>0</v>
      </c>
      <c r="V59" s="17">
        <v>0</v>
      </c>
      <c r="W59" s="17">
        <v>0</v>
      </c>
      <c r="X59" s="17">
        <v>0</v>
      </c>
      <c r="Y59" s="17">
        <v>0</v>
      </c>
      <c r="Z59" s="17">
        <v>0</v>
      </c>
      <c r="AA59" s="17">
        <v>0</v>
      </c>
      <c r="AB59" s="17">
        <v>0</v>
      </c>
      <c r="AC59" s="17">
        <v>0</v>
      </c>
      <c r="AD59" s="17">
        <v>0</v>
      </c>
      <c r="AE59" s="17">
        <v>0</v>
      </c>
      <c r="AF59" s="17">
        <v>0</v>
      </c>
      <c r="AG59" s="17">
        <v>0</v>
      </c>
      <c r="AH59" s="17">
        <v>0</v>
      </c>
      <c r="AI59" s="17">
        <v>0</v>
      </c>
      <c r="AJ59" s="17">
        <v>0</v>
      </c>
      <c r="AK59" s="17">
        <v>0</v>
      </c>
      <c r="AL59" s="17">
        <v>0</v>
      </c>
      <c r="AM59" s="17">
        <v>0</v>
      </c>
      <c r="AN59" s="17">
        <v>0</v>
      </c>
      <c r="AO59" s="17">
        <v>0</v>
      </c>
      <c r="AP59" s="18">
        <f t="shared" si="0"/>
        <v>3521258.7629999998</v>
      </c>
    </row>
    <row r="60" spans="1:42" ht="15" customHeight="1" x14ac:dyDescent="0.2">
      <c r="A60" s="16" t="s">
        <v>522</v>
      </c>
      <c r="B60" s="16" t="s">
        <v>537</v>
      </c>
      <c r="C60" s="16" t="s">
        <v>241</v>
      </c>
      <c r="D60" s="16" t="s">
        <v>641</v>
      </c>
      <c r="E60" s="17">
        <v>22649.3832</v>
      </c>
      <c r="F60" s="17">
        <v>0</v>
      </c>
      <c r="G60" s="17">
        <v>0</v>
      </c>
      <c r="H60" s="17">
        <v>0</v>
      </c>
      <c r="I60" s="17">
        <v>0</v>
      </c>
      <c r="J60" s="17">
        <v>0</v>
      </c>
      <c r="K60" s="17">
        <v>0</v>
      </c>
      <c r="L60" s="17">
        <v>0</v>
      </c>
      <c r="M60" s="17">
        <v>0</v>
      </c>
      <c r="N60" s="17">
        <v>0</v>
      </c>
      <c r="O60" s="17">
        <v>0</v>
      </c>
      <c r="P60" s="17">
        <v>0</v>
      </c>
      <c r="Q60" s="17">
        <v>0</v>
      </c>
      <c r="R60" s="17">
        <v>0</v>
      </c>
      <c r="S60" s="17">
        <v>0</v>
      </c>
      <c r="T60" s="17">
        <v>0</v>
      </c>
      <c r="U60" s="17">
        <v>0</v>
      </c>
      <c r="V60" s="17">
        <v>0</v>
      </c>
      <c r="W60" s="17">
        <v>0</v>
      </c>
      <c r="X60" s="17">
        <v>0</v>
      </c>
      <c r="Y60" s="17">
        <v>0</v>
      </c>
      <c r="Z60" s="17">
        <v>0</v>
      </c>
      <c r="AA60" s="17">
        <v>0</v>
      </c>
      <c r="AB60" s="17">
        <v>0</v>
      </c>
      <c r="AC60" s="17">
        <v>0</v>
      </c>
      <c r="AD60" s="17">
        <v>0</v>
      </c>
      <c r="AE60" s="17">
        <v>0</v>
      </c>
      <c r="AF60" s="17">
        <v>0</v>
      </c>
      <c r="AG60" s="17">
        <v>0</v>
      </c>
      <c r="AH60" s="17">
        <v>0</v>
      </c>
      <c r="AI60" s="17">
        <v>0</v>
      </c>
      <c r="AJ60" s="17">
        <v>0</v>
      </c>
      <c r="AK60" s="17">
        <v>0</v>
      </c>
      <c r="AL60" s="17">
        <v>0</v>
      </c>
      <c r="AM60" s="17">
        <v>0</v>
      </c>
      <c r="AN60" s="17">
        <v>0</v>
      </c>
      <c r="AO60" s="17">
        <v>0</v>
      </c>
      <c r="AP60" s="18">
        <f t="shared" si="0"/>
        <v>22649.3832</v>
      </c>
    </row>
    <row r="61" spans="1:42" ht="15" customHeight="1" x14ac:dyDescent="0.2">
      <c r="A61" s="16" t="s">
        <v>522</v>
      </c>
      <c r="B61" s="16" t="s">
        <v>537</v>
      </c>
      <c r="C61" s="16" t="s">
        <v>340</v>
      </c>
      <c r="D61" s="16" t="s">
        <v>641</v>
      </c>
      <c r="E61" s="17">
        <v>404711.11300000001</v>
      </c>
      <c r="F61" s="17">
        <v>766050.1202</v>
      </c>
      <c r="G61" s="17">
        <v>685030.75789999997</v>
      </c>
      <c r="H61" s="17">
        <v>601530.74230000004</v>
      </c>
      <c r="I61" s="17">
        <v>533219.4878</v>
      </c>
      <c r="J61" s="17">
        <v>456097.7046</v>
      </c>
      <c r="K61" s="17">
        <v>379771.60960000003</v>
      </c>
      <c r="L61" s="17">
        <v>310614.58909999998</v>
      </c>
      <c r="M61" s="17">
        <v>259043.55189999999</v>
      </c>
      <c r="N61" s="17">
        <v>209009.3248</v>
      </c>
      <c r="O61" s="17">
        <v>162344.7188</v>
      </c>
      <c r="P61" s="17">
        <v>128320.48149999999</v>
      </c>
      <c r="Q61" s="17">
        <v>208699.67540000001</v>
      </c>
      <c r="R61" s="17">
        <v>0</v>
      </c>
      <c r="S61" s="17">
        <v>0</v>
      </c>
      <c r="T61" s="17">
        <v>0</v>
      </c>
      <c r="U61" s="17">
        <v>0</v>
      </c>
      <c r="V61" s="17">
        <v>0</v>
      </c>
      <c r="W61" s="17">
        <v>0</v>
      </c>
      <c r="X61" s="17">
        <v>0</v>
      </c>
      <c r="Y61" s="17">
        <v>0</v>
      </c>
      <c r="Z61" s="17">
        <v>0</v>
      </c>
      <c r="AA61" s="17">
        <v>0</v>
      </c>
      <c r="AB61" s="17">
        <v>0</v>
      </c>
      <c r="AC61" s="17">
        <v>0</v>
      </c>
      <c r="AD61" s="17">
        <v>0</v>
      </c>
      <c r="AE61" s="17">
        <v>0</v>
      </c>
      <c r="AF61" s="17">
        <v>0</v>
      </c>
      <c r="AG61" s="17">
        <v>0</v>
      </c>
      <c r="AH61" s="17">
        <v>0</v>
      </c>
      <c r="AI61" s="17">
        <v>0</v>
      </c>
      <c r="AJ61" s="17">
        <v>0</v>
      </c>
      <c r="AK61" s="17">
        <v>0</v>
      </c>
      <c r="AL61" s="17">
        <v>0</v>
      </c>
      <c r="AM61" s="17">
        <v>0</v>
      </c>
      <c r="AN61" s="17">
        <v>0</v>
      </c>
      <c r="AO61" s="17">
        <v>0</v>
      </c>
      <c r="AP61" s="18">
        <f t="shared" si="0"/>
        <v>5104443.8768999996</v>
      </c>
    </row>
    <row r="62" spans="1:42" ht="15" customHeight="1" x14ac:dyDescent="0.2">
      <c r="A62" s="16" t="s">
        <v>522</v>
      </c>
      <c r="B62" s="16" t="s">
        <v>538</v>
      </c>
      <c r="C62" s="16" t="s">
        <v>134</v>
      </c>
      <c r="D62" s="16" t="s">
        <v>641</v>
      </c>
      <c r="E62" s="17">
        <v>2442</v>
      </c>
      <c r="F62" s="17">
        <v>4257</v>
      </c>
      <c r="G62" s="17">
        <v>3188</v>
      </c>
      <c r="H62" s="17">
        <v>2392</v>
      </c>
      <c r="I62" s="17">
        <v>1795</v>
      </c>
      <c r="J62" s="17">
        <v>1343</v>
      </c>
      <c r="K62" s="17">
        <v>1005</v>
      </c>
      <c r="L62" s="17">
        <v>754</v>
      </c>
      <c r="M62" s="17">
        <v>565</v>
      </c>
      <c r="N62" s="17">
        <v>0</v>
      </c>
      <c r="O62" s="17">
        <v>0</v>
      </c>
      <c r="P62" s="17">
        <v>0</v>
      </c>
      <c r="Q62" s="17">
        <v>0</v>
      </c>
      <c r="R62" s="17">
        <v>0</v>
      </c>
      <c r="S62" s="17">
        <v>0</v>
      </c>
      <c r="T62" s="17">
        <v>0</v>
      </c>
      <c r="U62" s="17">
        <v>0</v>
      </c>
      <c r="V62" s="17">
        <v>0</v>
      </c>
      <c r="W62" s="17">
        <v>0</v>
      </c>
      <c r="X62" s="17">
        <v>0</v>
      </c>
      <c r="Y62" s="17">
        <v>0</v>
      </c>
      <c r="Z62" s="17">
        <v>0</v>
      </c>
      <c r="AA62" s="17">
        <v>0</v>
      </c>
      <c r="AB62" s="17">
        <v>0</v>
      </c>
      <c r="AC62" s="17">
        <v>0</v>
      </c>
      <c r="AD62" s="17">
        <v>0</v>
      </c>
      <c r="AE62" s="17">
        <v>0</v>
      </c>
      <c r="AF62" s="17">
        <v>0</v>
      </c>
      <c r="AG62" s="17">
        <v>0</v>
      </c>
      <c r="AH62" s="17">
        <v>0</v>
      </c>
      <c r="AI62" s="17">
        <v>0</v>
      </c>
      <c r="AJ62" s="17">
        <v>0</v>
      </c>
      <c r="AK62" s="17">
        <v>0</v>
      </c>
      <c r="AL62" s="17">
        <v>0</v>
      </c>
      <c r="AM62" s="17">
        <v>0</v>
      </c>
      <c r="AN62" s="17">
        <v>0</v>
      </c>
      <c r="AO62" s="17">
        <v>0</v>
      </c>
      <c r="AP62" s="18">
        <f t="shared" si="0"/>
        <v>17741</v>
      </c>
    </row>
    <row r="63" spans="1:42" ht="15" customHeight="1" x14ac:dyDescent="0.2">
      <c r="A63" s="16" t="s">
        <v>522</v>
      </c>
      <c r="B63" s="16" t="s">
        <v>538</v>
      </c>
      <c r="C63" s="16" t="s">
        <v>150</v>
      </c>
      <c r="D63" s="16" t="s">
        <v>641</v>
      </c>
      <c r="E63" s="17">
        <v>6716</v>
      </c>
      <c r="F63" s="17">
        <v>9781</v>
      </c>
      <c r="G63" s="17">
        <v>11665</v>
      </c>
      <c r="H63" s="17">
        <v>12597</v>
      </c>
      <c r="I63" s="17">
        <v>12894</v>
      </c>
      <c r="J63" s="17">
        <v>13245</v>
      </c>
      <c r="K63" s="17">
        <v>13282</v>
      </c>
      <c r="L63" s="17">
        <v>25821</v>
      </c>
      <c r="M63" s="17">
        <v>20806</v>
      </c>
      <c r="N63" s="17">
        <v>18137</v>
      </c>
      <c r="O63" s="17">
        <v>16065</v>
      </c>
      <c r="P63" s="17">
        <v>0</v>
      </c>
      <c r="Q63" s="17">
        <v>0</v>
      </c>
      <c r="R63" s="17">
        <v>0</v>
      </c>
      <c r="S63" s="17">
        <v>0</v>
      </c>
      <c r="T63" s="17">
        <v>0</v>
      </c>
      <c r="U63" s="17">
        <v>0</v>
      </c>
      <c r="V63" s="17">
        <v>0</v>
      </c>
      <c r="W63" s="17">
        <v>0</v>
      </c>
      <c r="X63" s="17">
        <v>0</v>
      </c>
      <c r="Y63" s="17">
        <v>0</v>
      </c>
      <c r="Z63" s="17">
        <v>0</v>
      </c>
      <c r="AA63" s="17">
        <v>0</v>
      </c>
      <c r="AB63" s="17">
        <v>0</v>
      </c>
      <c r="AC63" s="17">
        <v>0</v>
      </c>
      <c r="AD63" s="17">
        <v>0</v>
      </c>
      <c r="AE63" s="17">
        <v>0</v>
      </c>
      <c r="AF63" s="17">
        <v>0</v>
      </c>
      <c r="AG63" s="17">
        <v>0</v>
      </c>
      <c r="AH63" s="17">
        <v>0</v>
      </c>
      <c r="AI63" s="17">
        <v>0</v>
      </c>
      <c r="AJ63" s="17">
        <v>0</v>
      </c>
      <c r="AK63" s="17">
        <v>0</v>
      </c>
      <c r="AL63" s="17">
        <v>0</v>
      </c>
      <c r="AM63" s="17">
        <v>0</v>
      </c>
      <c r="AN63" s="17">
        <v>0</v>
      </c>
      <c r="AO63" s="17">
        <v>0</v>
      </c>
      <c r="AP63" s="18">
        <f t="shared" si="0"/>
        <v>161009</v>
      </c>
    </row>
    <row r="64" spans="1:42" ht="15" customHeight="1" x14ac:dyDescent="0.2">
      <c r="A64" s="16" t="s">
        <v>522</v>
      </c>
      <c r="B64" s="16" t="s">
        <v>538</v>
      </c>
      <c r="C64" s="16" t="s">
        <v>227</v>
      </c>
      <c r="D64" s="16" t="s">
        <v>641</v>
      </c>
      <c r="E64" s="17">
        <v>7556</v>
      </c>
      <c r="F64" s="17">
        <v>17465</v>
      </c>
      <c r="G64" s="17">
        <v>151911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0</v>
      </c>
      <c r="Y64" s="17">
        <v>0</v>
      </c>
      <c r="Z64" s="17">
        <v>0</v>
      </c>
      <c r="AA64" s="17">
        <v>0</v>
      </c>
      <c r="AB64" s="17">
        <v>0</v>
      </c>
      <c r="AC64" s="17">
        <v>0</v>
      </c>
      <c r="AD64" s="17">
        <v>0</v>
      </c>
      <c r="AE64" s="17">
        <v>0</v>
      </c>
      <c r="AF64" s="17">
        <v>0</v>
      </c>
      <c r="AG64" s="17">
        <v>0</v>
      </c>
      <c r="AH64" s="17">
        <v>0</v>
      </c>
      <c r="AI64" s="17">
        <v>0</v>
      </c>
      <c r="AJ64" s="17">
        <v>0</v>
      </c>
      <c r="AK64" s="17">
        <v>0</v>
      </c>
      <c r="AL64" s="17">
        <v>0</v>
      </c>
      <c r="AM64" s="17">
        <v>0</v>
      </c>
      <c r="AN64" s="17">
        <v>0</v>
      </c>
      <c r="AO64" s="17">
        <v>0</v>
      </c>
      <c r="AP64" s="18">
        <f t="shared" si="0"/>
        <v>176932</v>
      </c>
    </row>
    <row r="65" spans="1:42" ht="15" customHeight="1" x14ac:dyDescent="0.2">
      <c r="A65" s="16" t="s">
        <v>522</v>
      </c>
      <c r="B65" s="16" t="s">
        <v>538</v>
      </c>
      <c r="C65" s="16" t="s">
        <v>228</v>
      </c>
      <c r="D65" s="16" t="s">
        <v>641</v>
      </c>
      <c r="E65" s="17">
        <v>4651</v>
      </c>
      <c r="F65" s="17">
        <v>7815</v>
      </c>
      <c r="G65" s="17">
        <v>9273</v>
      </c>
      <c r="H65" s="17">
        <v>9561</v>
      </c>
      <c r="I65" s="17">
        <v>9391</v>
      </c>
      <c r="J65" s="17">
        <v>32410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7">
        <v>0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  <c r="AE65" s="17">
        <v>0</v>
      </c>
      <c r="AF65" s="17">
        <v>0</v>
      </c>
      <c r="AG65" s="17">
        <v>0</v>
      </c>
      <c r="AH65" s="17">
        <v>0</v>
      </c>
      <c r="AI65" s="17">
        <v>0</v>
      </c>
      <c r="AJ65" s="17">
        <v>0</v>
      </c>
      <c r="AK65" s="17">
        <v>0</v>
      </c>
      <c r="AL65" s="17">
        <v>0</v>
      </c>
      <c r="AM65" s="17">
        <v>0</v>
      </c>
      <c r="AN65" s="17">
        <v>0</v>
      </c>
      <c r="AO65" s="17">
        <v>0</v>
      </c>
      <c r="AP65" s="18">
        <f t="shared" si="0"/>
        <v>73101</v>
      </c>
    </row>
    <row r="66" spans="1:42" ht="15" customHeight="1" x14ac:dyDescent="0.2">
      <c r="A66" s="16" t="s">
        <v>522</v>
      </c>
      <c r="B66" s="16" t="s">
        <v>538</v>
      </c>
      <c r="C66" s="16" t="s">
        <v>229</v>
      </c>
      <c r="D66" s="16" t="s">
        <v>641</v>
      </c>
      <c r="E66" s="17">
        <v>9549</v>
      </c>
      <c r="F66" s="17">
        <v>52142</v>
      </c>
      <c r="G66" s="17">
        <v>79923</v>
      </c>
      <c r="H66" s="17">
        <v>72199</v>
      </c>
      <c r="I66" s="17">
        <v>63848</v>
      </c>
      <c r="J66" s="17">
        <v>56252</v>
      </c>
      <c r="K66" s="17">
        <v>49779</v>
      </c>
      <c r="L66" s="17">
        <v>44120</v>
      </c>
      <c r="M66" s="17">
        <v>39280</v>
      </c>
      <c r="N66" s="17">
        <v>34854</v>
      </c>
      <c r="O66" s="17">
        <v>31195</v>
      </c>
      <c r="P66" s="17">
        <v>28055</v>
      </c>
      <c r="Q66" s="17">
        <v>25159</v>
      </c>
      <c r="R66" s="17">
        <v>22491</v>
      </c>
      <c r="S66" s="17">
        <v>20213</v>
      </c>
      <c r="T66" s="17">
        <v>148993</v>
      </c>
      <c r="U66" s="17">
        <v>0</v>
      </c>
      <c r="V66" s="17">
        <v>0</v>
      </c>
      <c r="W66" s="17">
        <v>0</v>
      </c>
      <c r="X66" s="17">
        <v>0</v>
      </c>
      <c r="Y66" s="17">
        <v>0</v>
      </c>
      <c r="Z66" s="17">
        <v>0</v>
      </c>
      <c r="AA66" s="17">
        <v>0</v>
      </c>
      <c r="AB66" s="17">
        <v>0</v>
      </c>
      <c r="AC66" s="17">
        <v>0</v>
      </c>
      <c r="AD66" s="17">
        <v>0</v>
      </c>
      <c r="AE66" s="17">
        <v>0</v>
      </c>
      <c r="AF66" s="17">
        <v>0</v>
      </c>
      <c r="AG66" s="17">
        <v>0</v>
      </c>
      <c r="AH66" s="17">
        <v>0</v>
      </c>
      <c r="AI66" s="17">
        <v>0</v>
      </c>
      <c r="AJ66" s="17">
        <v>0</v>
      </c>
      <c r="AK66" s="17">
        <v>0</v>
      </c>
      <c r="AL66" s="17">
        <v>0</v>
      </c>
      <c r="AM66" s="17">
        <v>0</v>
      </c>
      <c r="AN66" s="17">
        <v>0</v>
      </c>
      <c r="AO66" s="17">
        <v>0</v>
      </c>
      <c r="AP66" s="18">
        <f t="shared" ref="AP66:AP129" si="1">SUM(E66:AO66)</f>
        <v>778052</v>
      </c>
    </row>
    <row r="67" spans="1:42" ht="15" customHeight="1" x14ac:dyDescent="0.2">
      <c r="A67" s="16" t="s">
        <v>522</v>
      </c>
      <c r="B67" s="16" t="s">
        <v>538</v>
      </c>
      <c r="C67" s="16" t="s">
        <v>338</v>
      </c>
      <c r="D67" s="16" t="s">
        <v>641</v>
      </c>
      <c r="E67" s="17">
        <v>24105</v>
      </c>
      <c r="F67" s="17">
        <v>40900</v>
      </c>
      <c r="G67" s="17">
        <v>51489</v>
      </c>
      <c r="H67" s="17">
        <v>57537</v>
      </c>
      <c r="I67" s="17">
        <v>60672</v>
      </c>
      <c r="J67" s="17">
        <v>61387</v>
      </c>
      <c r="K67" s="17">
        <v>60863</v>
      </c>
      <c r="L67" s="17">
        <v>59647</v>
      </c>
      <c r="M67" s="17">
        <v>58045</v>
      </c>
      <c r="N67" s="17">
        <v>249516</v>
      </c>
      <c r="O67" s="17">
        <v>221580</v>
      </c>
      <c r="P67" s="17">
        <v>0</v>
      </c>
      <c r="Q67" s="17">
        <v>0</v>
      </c>
      <c r="R67" s="17">
        <v>0</v>
      </c>
      <c r="S67" s="17">
        <v>0</v>
      </c>
      <c r="T67" s="17">
        <v>0</v>
      </c>
      <c r="U67" s="17">
        <v>0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7">
        <v>0</v>
      </c>
      <c r="AB67" s="17">
        <v>0</v>
      </c>
      <c r="AC67" s="17">
        <v>0</v>
      </c>
      <c r="AD67" s="17">
        <v>0</v>
      </c>
      <c r="AE67" s="17">
        <v>0</v>
      </c>
      <c r="AF67" s="17">
        <v>0</v>
      </c>
      <c r="AG67" s="17">
        <v>0</v>
      </c>
      <c r="AH67" s="17">
        <v>0</v>
      </c>
      <c r="AI67" s="17">
        <v>0</v>
      </c>
      <c r="AJ67" s="17">
        <v>0</v>
      </c>
      <c r="AK67" s="17">
        <v>0</v>
      </c>
      <c r="AL67" s="17">
        <v>0</v>
      </c>
      <c r="AM67" s="17">
        <v>0</v>
      </c>
      <c r="AN67" s="17">
        <v>0</v>
      </c>
      <c r="AO67" s="17">
        <v>0</v>
      </c>
      <c r="AP67" s="18">
        <f t="shared" si="1"/>
        <v>945741</v>
      </c>
    </row>
    <row r="68" spans="1:42" ht="15" customHeight="1" x14ac:dyDescent="0.2">
      <c r="A68" s="16" t="s">
        <v>522</v>
      </c>
      <c r="B68" s="16" t="s">
        <v>538</v>
      </c>
      <c r="C68" s="16" t="s">
        <v>396</v>
      </c>
      <c r="D68" s="16" t="s">
        <v>641</v>
      </c>
      <c r="E68" s="17">
        <v>2101</v>
      </c>
      <c r="F68" s="17">
        <v>3771</v>
      </c>
      <c r="G68" s="17">
        <v>5174</v>
      </c>
      <c r="H68" s="17">
        <v>6331</v>
      </c>
      <c r="I68" s="17">
        <v>7294</v>
      </c>
      <c r="J68" s="17">
        <v>8032</v>
      </c>
      <c r="K68" s="17">
        <v>8627</v>
      </c>
      <c r="L68" s="17">
        <v>9077</v>
      </c>
      <c r="M68" s="17">
        <v>9429</v>
      </c>
      <c r="N68" s="17">
        <v>62466</v>
      </c>
      <c r="O68" s="17">
        <v>58098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0</v>
      </c>
      <c r="Y68" s="17">
        <v>0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  <c r="AE68" s="17">
        <v>0</v>
      </c>
      <c r="AF68" s="17">
        <v>0</v>
      </c>
      <c r="AG68" s="17">
        <v>0</v>
      </c>
      <c r="AH68" s="17">
        <v>0</v>
      </c>
      <c r="AI68" s="17">
        <v>0</v>
      </c>
      <c r="AJ68" s="17">
        <v>0</v>
      </c>
      <c r="AK68" s="17">
        <v>0</v>
      </c>
      <c r="AL68" s="17">
        <v>0</v>
      </c>
      <c r="AM68" s="17">
        <v>0</v>
      </c>
      <c r="AN68" s="17">
        <v>0</v>
      </c>
      <c r="AO68" s="17">
        <v>0</v>
      </c>
      <c r="AP68" s="18">
        <f t="shared" si="1"/>
        <v>180400</v>
      </c>
    </row>
    <row r="69" spans="1:42" ht="15" customHeight="1" x14ac:dyDescent="0.2">
      <c r="A69" s="16" t="s">
        <v>522</v>
      </c>
      <c r="B69" s="16" t="s">
        <v>538</v>
      </c>
      <c r="C69" s="16" t="s">
        <v>397</v>
      </c>
      <c r="D69" s="16" t="s">
        <v>641</v>
      </c>
      <c r="E69" s="17">
        <v>506</v>
      </c>
      <c r="F69" s="17">
        <v>909</v>
      </c>
      <c r="G69" s="17">
        <v>1238</v>
      </c>
      <c r="H69" s="17">
        <v>1498</v>
      </c>
      <c r="I69" s="17">
        <v>1714</v>
      </c>
      <c r="J69" s="17">
        <v>1865</v>
      </c>
      <c r="K69" s="17">
        <v>1982</v>
      </c>
      <c r="L69" s="17">
        <v>2061</v>
      </c>
      <c r="M69" s="17">
        <v>2122</v>
      </c>
      <c r="N69" s="17">
        <v>20743</v>
      </c>
      <c r="O69" s="17">
        <v>19024</v>
      </c>
      <c r="P69" s="17">
        <v>0</v>
      </c>
      <c r="Q69" s="17">
        <v>0</v>
      </c>
      <c r="R69" s="17">
        <v>0</v>
      </c>
      <c r="S69" s="17">
        <v>0</v>
      </c>
      <c r="T69" s="17">
        <v>0</v>
      </c>
      <c r="U69" s="17">
        <v>0</v>
      </c>
      <c r="V69" s="17">
        <v>0</v>
      </c>
      <c r="W69" s="17">
        <v>0</v>
      </c>
      <c r="X69" s="17">
        <v>0</v>
      </c>
      <c r="Y69" s="17">
        <v>0</v>
      </c>
      <c r="Z69" s="17">
        <v>0</v>
      </c>
      <c r="AA69" s="17">
        <v>0</v>
      </c>
      <c r="AB69" s="17">
        <v>0</v>
      </c>
      <c r="AC69" s="17">
        <v>0</v>
      </c>
      <c r="AD69" s="17">
        <v>0</v>
      </c>
      <c r="AE69" s="17">
        <v>0</v>
      </c>
      <c r="AF69" s="17">
        <v>0</v>
      </c>
      <c r="AG69" s="17">
        <v>0</v>
      </c>
      <c r="AH69" s="17">
        <v>0</v>
      </c>
      <c r="AI69" s="17">
        <v>0</v>
      </c>
      <c r="AJ69" s="17">
        <v>0</v>
      </c>
      <c r="AK69" s="17">
        <v>0</v>
      </c>
      <c r="AL69" s="17">
        <v>0</v>
      </c>
      <c r="AM69" s="17">
        <v>0</v>
      </c>
      <c r="AN69" s="17">
        <v>0</v>
      </c>
      <c r="AO69" s="17">
        <v>0</v>
      </c>
      <c r="AP69" s="18">
        <f t="shared" si="1"/>
        <v>53662</v>
      </c>
    </row>
    <row r="70" spans="1:42" ht="15" customHeight="1" x14ac:dyDescent="0.2">
      <c r="A70" s="16" t="s">
        <v>522</v>
      </c>
      <c r="B70" s="16" t="s">
        <v>539</v>
      </c>
      <c r="C70" s="16" t="s">
        <v>135</v>
      </c>
      <c r="D70" s="16" t="s">
        <v>641</v>
      </c>
      <c r="E70" s="17">
        <v>0</v>
      </c>
      <c r="F70" s="17">
        <v>5359</v>
      </c>
      <c r="G70" s="17">
        <v>23043</v>
      </c>
      <c r="H70" s="17">
        <v>43772</v>
      </c>
      <c r="I70" s="17">
        <v>44412</v>
      </c>
      <c r="J70" s="17">
        <v>31912</v>
      </c>
      <c r="K70" s="17">
        <v>23012</v>
      </c>
      <c r="L70" s="17">
        <v>37434</v>
      </c>
      <c r="M70" s="17">
        <v>27130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 s="17">
        <v>0</v>
      </c>
      <c r="U70" s="17">
        <v>0</v>
      </c>
      <c r="V70" s="17">
        <v>0</v>
      </c>
      <c r="W70" s="17">
        <v>0</v>
      </c>
      <c r="X70" s="17">
        <v>0</v>
      </c>
      <c r="Y70" s="17">
        <v>0</v>
      </c>
      <c r="Z70" s="17">
        <v>0</v>
      </c>
      <c r="AA70" s="17">
        <v>0</v>
      </c>
      <c r="AB70" s="17">
        <v>0</v>
      </c>
      <c r="AC70" s="17">
        <v>0</v>
      </c>
      <c r="AD70" s="17">
        <v>0</v>
      </c>
      <c r="AE70" s="17">
        <v>0</v>
      </c>
      <c r="AF70" s="17">
        <v>0</v>
      </c>
      <c r="AG70" s="17">
        <v>0</v>
      </c>
      <c r="AH70" s="17">
        <v>0</v>
      </c>
      <c r="AI70" s="17">
        <v>0</v>
      </c>
      <c r="AJ70" s="17">
        <v>0</v>
      </c>
      <c r="AK70" s="17">
        <v>0</v>
      </c>
      <c r="AL70" s="17">
        <v>0</v>
      </c>
      <c r="AM70" s="17">
        <v>0</v>
      </c>
      <c r="AN70" s="17">
        <v>0</v>
      </c>
      <c r="AO70" s="17">
        <v>0</v>
      </c>
      <c r="AP70" s="18">
        <f t="shared" si="1"/>
        <v>236074</v>
      </c>
    </row>
    <row r="71" spans="1:42" ht="15" customHeight="1" x14ac:dyDescent="0.2">
      <c r="A71" s="16" t="s">
        <v>522</v>
      </c>
      <c r="B71" s="16" t="s">
        <v>540</v>
      </c>
      <c r="C71" s="16" t="s">
        <v>146</v>
      </c>
      <c r="D71" s="16" t="s">
        <v>641</v>
      </c>
      <c r="E71" s="17">
        <v>28191</v>
      </c>
      <c r="F71" s="17">
        <v>50967</v>
      </c>
      <c r="G71" s="17">
        <v>53939</v>
      </c>
      <c r="H71" s="17">
        <v>47405</v>
      </c>
      <c r="I71" s="17">
        <v>41559</v>
      </c>
      <c r="J71" s="17">
        <v>36092</v>
      </c>
      <c r="K71" s="17">
        <v>31346</v>
      </c>
      <c r="L71" s="17">
        <v>27161</v>
      </c>
      <c r="M71" s="17">
        <v>23538</v>
      </c>
      <c r="N71" s="17">
        <v>20916</v>
      </c>
      <c r="O71" s="17">
        <v>137848</v>
      </c>
      <c r="P71" s="17">
        <v>116880</v>
      </c>
      <c r="Q71" s="17">
        <v>0</v>
      </c>
      <c r="R71" s="17">
        <v>0</v>
      </c>
      <c r="S71" s="17">
        <v>0</v>
      </c>
      <c r="T71" s="17">
        <v>0</v>
      </c>
      <c r="U71" s="17">
        <v>0</v>
      </c>
      <c r="V71" s="17">
        <v>0</v>
      </c>
      <c r="W71" s="17">
        <v>0</v>
      </c>
      <c r="X71" s="17">
        <v>0</v>
      </c>
      <c r="Y71" s="17">
        <v>0</v>
      </c>
      <c r="Z71" s="17">
        <v>0</v>
      </c>
      <c r="AA71" s="17">
        <v>0</v>
      </c>
      <c r="AB71" s="17">
        <v>0</v>
      </c>
      <c r="AC71" s="17">
        <v>0</v>
      </c>
      <c r="AD71" s="17">
        <v>0</v>
      </c>
      <c r="AE71" s="17">
        <v>0</v>
      </c>
      <c r="AF71" s="17">
        <v>0</v>
      </c>
      <c r="AG71" s="17">
        <v>0</v>
      </c>
      <c r="AH71" s="17">
        <v>0</v>
      </c>
      <c r="AI71" s="17">
        <v>0</v>
      </c>
      <c r="AJ71" s="17">
        <v>0</v>
      </c>
      <c r="AK71" s="17">
        <v>0</v>
      </c>
      <c r="AL71" s="17">
        <v>0</v>
      </c>
      <c r="AM71" s="17">
        <v>0</v>
      </c>
      <c r="AN71" s="17">
        <v>0</v>
      </c>
      <c r="AO71" s="17">
        <v>0</v>
      </c>
      <c r="AP71" s="18">
        <f t="shared" si="1"/>
        <v>615842</v>
      </c>
    </row>
    <row r="72" spans="1:42" ht="15" customHeight="1" x14ac:dyDescent="0.2">
      <c r="A72" s="16" t="s">
        <v>522</v>
      </c>
      <c r="B72" s="16" t="s">
        <v>541</v>
      </c>
      <c r="C72" s="16" t="s">
        <v>357</v>
      </c>
      <c r="D72" s="16" t="s">
        <v>641</v>
      </c>
      <c r="E72" s="17">
        <v>38006</v>
      </c>
      <c r="F72" s="17">
        <v>79141</v>
      </c>
      <c r="G72" s="17">
        <v>102892</v>
      </c>
      <c r="H72" s="17">
        <v>98516</v>
      </c>
      <c r="I72" s="17">
        <v>95329</v>
      </c>
      <c r="J72" s="17">
        <v>90754</v>
      </c>
      <c r="K72" s="17">
        <v>85954</v>
      </c>
      <c r="L72" s="17">
        <v>101108</v>
      </c>
      <c r="M72" s="17">
        <v>111646</v>
      </c>
      <c r="N72" s="17">
        <v>109280</v>
      </c>
      <c r="O72" s="17">
        <v>295143</v>
      </c>
      <c r="P72" s="17">
        <v>225245</v>
      </c>
      <c r="Q72" s="17">
        <v>0</v>
      </c>
      <c r="R72" s="17">
        <v>0</v>
      </c>
      <c r="S72" s="17">
        <v>0</v>
      </c>
      <c r="T72" s="17">
        <v>0</v>
      </c>
      <c r="U72" s="17">
        <v>0</v>
      </c>
      <c r="V72" s="17">
        <v>0</v>
      </c>
      <c r="W72" s="17">
        <v>0</v>
      </c>
      <c r="X72" s="17">
        <v>0</v>
      </c>
      <c r="Y72" s="17">
        <v>0</v>
      </c>
      <c r="Z72" s="17">
        <v>0</v>
      </c>
      <c r="AA72" s="17">
        <v>0</v>
      </c>
      <c r="AB72" s="17">
        <v>0</v>
      </c>
      <c r="AC72" s="17">
        <v>0</v>
      </c>
      <c r="AD72" s="17">
        <v>0</v>
      </c>
      <c r="AE72" s="17">
        <v>0</v>
      </c>
      <c r="AF72" s="17">
        <v>0</v>
      </c>
      <c r="AG72" s="17">
        <v>0</v>
      </c>
      <c r="AH72" s="17">
        <v>0</v>
      </c>
      <c r="AI72" s="17">
        <v>0</v>
      </c>
      <c r="AJ72" s="17">
        <v>0</v>
      </c>
      <c r="AK72" s="17">
        <v>0</v>
      </c>
      <c r="AL72" s="17">
        <v>0</v>
      </c>
      <c r="AM72" s="17">
        <v>0</v>
      </c>
      <c r="AN72" s="17">
        <v>0</v>
      </c>
      <c r="AO72" s="17">
        <v>0</v>
      </c>
      <c r="AP72" s="18">
        <f t="shared" si="1"/>
        <v>1433014</v>
      </c>
    </row>
    <row r="73" spans="1:42" ht="24" customHeight="1" x14ac:dyDescent="0.2">
      <c r="A73" s="16" t="s">
        <v>542</v>
      </c>
      <c r="B73" s="16" t="s">
        <v>543</v>
      </c>
      <c r="C73" s="16" t="s">
        <v>153</v>
      </c>
      <c r="D73" s="16" t="s">
        <v>641</v>
      </c>
      <c r="E73" s="17">
        <v>18577</v>
      </c>
      <c r="F73" s="17">
        <v>124885</v>
      </c>
      <c r="G73" s="17">
        <v>158114</v>
      </c>
      <c r="H73" s="17">
        <v>175724</v>
      </c>
      <c r="I73" s="17">
        <v>198157</v>
      </c>
      <c r="J73" s="17">
        <v>174788</v>
      </c>
      <c r="K73" s="17">
        <v>167051</v>
      </c>
      <c r="L73" s="17">
        <v>164925</v>
      </c>
      <c r="M73" s="17">
        <v>133546</v>
      </c>
      <c r="N73" s="17">
        <v>107244</v>
      </c>
      <c r="O73" s="17">
        <v>111185</v>
      </c>
      <c r="P73" s="17">
        <v>362522</v>
      </c>
      <c r="Q73" s="17">
        <v>329075</v>
      </c>
      <c r="R73" s="17">
        <v>0</v>
      </c>
      <c r="S73" s="17">
        <v>0</v>
      </c>
      <c r="T73" s="17">
        <v>0</v>
      </c>
      <c r="U73" s="17">
        <v>0</v>
      </c>
      <c r="V73" s="17">
        <v>0</v>
      </c>
      <c r="W73" s="17">
        <v>0</v>
      </c>
      <c r="X73" s="17">
        <v>0</v>
      </c>
      <c r="Y73" s="17">
        <v>0</v>
      </c>
      <c r="Z73" s="17">
        <v>0</v>
      </c>
      <c r="AA73" s="17">
        <v>0</v>
      </c>
      <c r="AB73" s="17">
        <v>0</v>
      </c>
      <c r="AC73" s="17">
        <v>0</v>
      </c>
      <c r="AD73" s="17">
        <v>0</v>
      </c>
      <c r="AE73" s="17">
        <v>0</v>
      </c>
      <c r="AF73" s="17">
        <v>0</v>
      </c>
      <c r="AG73" s="17">
        <v>0</v>
      </c>
      <c r="AH73" s="17">
        <v>0</v>
      </c>
      <c r="AI73" s="17">
        <v>0</v>
      </c>
      <c r="AJ73" s="17">
        <v>0</v>
      </c>
      <c r="AK73" s="17">
        <v>0</v>
      </c>
      <c r="AL73" s="17">
        <v>0</v>
      </c>
      <c r="AM73" s="17">
        <v>0</v>
      </c>
      <c r="AN73" s="17">
        <v>0</v>
      </c>
      <c r="AO73" s="17">
        <v>0</v>
      </c>
      <c r="AP73" s="18">
        <f t="shared" si="1"/>
        <v>2225793</v>
      </c>
    </row>
    <row r="74" spans="1:42" ht="24" customHeight="1" x14ac:dyDescent="0.2">
      <c r="A74" s="16" t="s">
        <v>542</v>
      </c>
      <c r="B74" s="16" t="s">
        <v>543</v>
      </c>
      <c r="C74" s="16" t="s">
        <v>361</v>
      </c>
      <c r="D74" s="16" t="s">
        <v>641</v>
      </c>
      <c r="E74" s="17">
        <v>513653</v>
      </c>
      <c r="F74" s="17">
        <v>720059</v>
      </c>
      <c r="G74" s="17">
        <v>489405</v>
      </c>
      <c r="H74" s="17">
        <v>475241</v>
      </c>
      <c r="I74" s="17">
        <v>2207236</v>
      </c>
      <c r="J74" s="17">
        <v>3111497</v>
      </c>
      <c r="K74" s="17">
        <v>2483718</v>
      </c>
      <c r="L74" s="17">
        <v>2181832</v>
      </c>
      <c r="M74" s="17">
        <v>1151623</v>
      </c>
      <c r="N74" s="17">
        <v>0</v>
      </c>
      <c r="O74" s="17">
        <v>0</v>
      </c>
      <c r="P74" s="17">
        <v>0</v>
      </c>
      <c r="Q74" s="17">
        <v>0</v>
      </c>
      <c r="R74" s="17">
        <v>0</v>
      </c>
      <c r="S74" s="17">
        <v>0</v>
      </c>
      <c r="T74" s="17">
        <v>0</v>
      </c>
      <c r="U74" s="17">
        <v>0</v>
      </c>
      <c r="V74" s="17">
        <v>0</v>
      </c>
      <c r="W74" s="17">
        <v>0</v>
      </c>
      <c r="X74" s="17">
        <v>0</v>
      </c>
      <c r="Y74" s="17">
        <v>0</v>
      </c>
      <c r="Z74" s="17">
        <v>0</v>
      </c>
      <c r="AA74" s="17">
        <v>0</v>
      </c>
      <c r="AB74" s="17">
        <v>0</v>
      </c>
      <c r="AC74" s="17">
        <v>0</v>
      </c>
      <c r="AD74" s="17">
        <v>0</v>
      </c>
      <c r="AE74" s="17">
        <v>0</v>
      </c>
      <c r="AF74" s="17">
        <v>0</v>
      </c>
      <c r="AG74" s="17">
        <v>0</v>
      </c>
      <c r="AH74" s="17">
        <v>0</v>
      </c>
      <c r="AI74" s="17">
        <v>0</v>
      </c>
      <c r="AJ74" s="17">
        <v>0</v>
      </c>
      <c r="AK74" s="17">
        <v>0</v>
      </c>
      <c r="AL74" s="17">
        <v>0</v>
      </c>
      <c r="AM74" s="17">
        <v>0</v>
      </c>
      <c r="AN74" s="17">
        <v>0</v>
      </c>
      <c r="AO74" s="17">
        <v>0</v>
      </c>
      <c r="AP74" s="18">
        <f t="shared" si="1"/>
        <v>13334264</v>
      </c>
    </row>
    <row r="75" spans="1:42" ht="15" customHeight="1" x14ac:dyDescent="0.2">
      <c r="A75" s="16" t="s">
        <v>522</v>
      </c>
      <c r="B75" s="16" t="s">
        <v>544</v>
      </c>
      <c r="C75" s="16" t="s">
        <v>222</v>
      </c>
      <c r="D75" s="16" t="s">
        <v>641</v>
      </c>
      <c r="E75" s="17">
        <v>0</v>
      </c>
      <c r="F75" s="17">
        <v>28828.185099999999</v>
      </c>
      <c r="G75" s="17">
        <v>129371.4327</v>
      </c>
      <c r="H75" s="17">
        <v>78850.512700000007</v>
      </c>
      <c r="I75" s="17">
        <v>51342.541599999997</v>
      </c>
      <c r="J75" s="17">
        <v>35745.124900000003</v>
      </c>
      <c r="K75" s="17">
        <v>26524.309799999999</v>
      </c>
      <c r="L75" s="17">
        <v>20510.2988</v>
      </c>
      <c r="M75" s="17">
        <v>15913.2084</v>
      </c>
      <c r="N75" s="17">
        <v>13541.51</v>
      </c>
      <c r="O75" s="17">
        <v>12285.4061</v>
      </c>
      <c r="P75" s="17">
        <v>13710.3547</v>
      </c>
      <c r="Q75" s="17">
        <v>18646.1584</v>
      </c>
      <c r="R75" s="17">
        <v>23555.517400000001</v>
      </c>
      <c r="S75" s="17">
        <v>29243.4162</v>
      </c>
      <c r="T75" s="17">
        <v>24634.941900000002</v>
      </c>
      <c r="U75" s="17">
        <v>19560.272000000001</v>
      </c>
      <c r="V75" s="17">
        <v>0</v>
      </c>
      <c r="W75" s="17">
        <v>0</v>
      </c>
      <c r="X75" s="17">
        <v>0</v>
      </c>
      <c r="Y75" s="17">
        <v>0</v>
      </c>
      <c r="Z75" s="17">
        <v>0</v>
      </c>
      <c r="AA75" s="17">
        <v>0</v>
      </c>
      <c r="AB75" s="17">
        <v>0</v>
      </c>
      <c r="AC75" s="17">
        <v>0</v>
      </c>
      <c r="AD75" s="17">
        <v>0</v>
      </c>
      <c r="AE75" s="17">
        <v>0</v>
      </c>
      <c r="AF75" s="17">
        <v>0</v>
      </c>
      <c r="AG75" s="17">
        <v>0</v>
      </c>
      <c r="AH75" s="17">
        <v>0</v>
      </c>
      <c r="AI75" s="17">
        <v>0</v>
      </c>
      <c r="AJ75" s="17">
        <v>0</v>
      </c>
      <c r="AK75" s="17">
        <v>0</v>
      </c>
      <c r="AL75" s="17">
        <v>0</v>
      </c>
      <c r="AM75" s="17">
        <v>0</v>
      </c>
      <c r="AN75" s="17">
        <v>0</v>
      </c>
      <c r="AO75" s="17">
        <v>0</v>
      </c>
      <c r="AP75" s="18">
        <f t="shared" si="1"/>
        <v>542263.19070000004</v>
      </c>
    </row>
    <row r="76" spans="1:42" ht="15" customHeight="1" x14ac:dyDescent="0.2">
      <c r="A76" s="16" t="s">
        <v>522</v>
      </c>
      <c r="B76" s="16" t="s">
        <v>380</v>
      </c>
      <c r="C76" s="16" t="s">
        <v>380</v>
      </c>
      <c r="D76" s="16" t="s">
        <v>641</v>
      </c>
      <c r="E76" s="17">
        <v>466465.15919999999</v>
      </c>
      <c r="F76" s="17">
        <v>1069599.1147</v>
      </c>
      <c r="G76" s="17">
        <v>2568124.3599</v>
      </c>
      <c r="H76" s="17">
        <v>3196820.9851000002</v>
      </c>
      <c r="I76" s="17">
        <v>4110774.2280999999</v>
      </c>
      <c r="J76" s="17">
        <v>4030960.8154000002</v>
      </c>
      <c r="K76" s="17">
        <v>4244992.3317999998</v>
      </c>
      <c r="L76" s="17">
        <v>3626965.6704000002</v>
      </c>
      <c r="M76" s="17">
        <v>2962467.7305999999</v>
      </c>
      <c r="N76" s="17">
        <v>2938187.7341999998</v>
      </c>
      <c r="O76" s="17">
        <v>3275018.8542999998</v>
      </c>
      <c r="P76" s="17">
        <v>3368270.6738</v>
      </c>
      <c r="Q76" s="17">
        <v>3262382.6713999999</v>
      </c>
      <c r="R76" s="17">
        <v>3330325.9419999998</v>
      </c>
      <c r="S76" s="17">
        <v>3096125.9123</v>
      </c>
      <c r="T76" s="17">
        <v>2749798.7305999999</v>
      </c>
      <c r="U76" s="17">
        <v>1947797.4887999999</v>
      </c>
      <c r="V76" s="17">
        <v>0</v>
      </c>
      <c r="W76" s="17">
        <v>0</v>
      </c>
      <c r="X76" s="17">
        <v>0</v>
      </c>
      <c r="Y76" s="17">
        <v>0</v>
      </c>
      <c r="Z76" s="17">
        <v>0</v>
      </c>
      <c r="AA76" s="17">
        <v>0</v>
      </c>
      <c r="AB76" s="17">
        <v>0</v>
      </c>
      <c r="AC76" s="17">
        <v>0</v>
      </c>
      <c r="AD76" s="17">
        <v>0</v>
      </c>
      <c r="AE76" s="17">
        <v>0</v>
      </c>
      <c r="AF76" s="17">
        <v>0</v>
      </c>
      <c r="AG76" s="17">
        <v>0</v>
      </c>
      <c r="AH76" s="17">
        <v>0</v>
      </c>
      <c r="AI76" s="17">
        <v>0</v>
      </c>
      <c r="AJ76" s="17">
        <v>0</v>
      </c>
      <c r="AK76" s="17">
        <v>0</v>
      </c>
      <c r="AL76" s="17">
        <v>0</v>
      </c>
      <c r="AM76" s="17">
        <v>0</v>
      </c>
      <c r="AN76" s="17">
        <v>0</v>
      </c>
      <c r="AO76" s="17">
        <v>0</v>
      </c>
      <c r="AP76" s="18">
        <f t="shared" si="1"/>
        <v>50245078.402599998</v>
      </c>
    </row>
    <row r="77" spans="1:42" ht="15" customHeight="1" x14ac:dyDescent="0.2">
      <c r="A77" s="16" t="s">
        <v>522</v>
      </c>
      <c r="B77" s="16" t="s">
        <v>545</v>
      </c>
      <c r="C77" s="16" t="s">
        <v>336</v>
      </c>
      <c r="D77" s="16" t="s">
        <v>641</v>
      </c>
      <c r="E77" s="17">
        <v>7221</v>
      </c>
      <c r="F77" s="17">
        <v>12677</v>
      </c>
      <c r="G77" s="17">
        <v>16295</v>
      </c>
      <c r="H77" s="17">
        <v>18774</v>
      </c>
      <c r="I77" s="17">
        <v>19880</v>
      </c>
      <c r="J77" s="17">
        <v>20181</v>
      </c>
      <c r="K77" s="17">
        <v>20508</v>
      </c>
      <c r="L77" s="17">
        <v>20115</v>
      </c>
      <c r="M77" s="17">
        <v>70074</v>
      </c>
      <c r="N77" s="17">
        <v>62018</v>
      </c>
      <c r="O77" s="17">
        <v>55138</v>
      </c>
      <c r="P77" s="17">
        <v>0</v>
      </c>
      <c r="Q77" s="17">
        <v>0</v>
      </c>
      <c r="R77" s="17">
        <v>0</v>
      </c>
      <c r="S77" s="17">
        <v>0</v>
      </c>
      <c r="T77" s="17">
        <v>0</v>
      </c>
      <c r="U77" s="17">
        <v>0</v>
      </c>
      <c r="V77" s="17">
        <v>0</v>
      </c>
      <c r="W77" s="17">
        <v>0</v>
      </c>
      <c r="X77" s="17">
        <v>0</v>
      </c>
      <c r="Y77" s="17">
        <v>0</v>
      </c>
      <c r="Z77" s="17">
        <v>0</v>
      </c>
      <c r="AA77" s="17">
        <v>0</v>
      </c>
      <c r="AB77" s="17">
        <v>0</v>
      </c>
      <c r="AC77" s="17">
        <v>0</v>
      </c>
      <c r="AD77" s="17">
        <v>0</v>
      </c>
      <c r="AE77" s="17">
        <v>0</v>
      </c>
      <c r="AF77" s="17">
        <v>0</v>
      </c>
      <c r="AG77" s="17">
        <v>0</v>
      </c>
      <c r="AH77" s="17">
        <v>0</v>
      </c>
      <c r="AI77" s="17">
        <v>0</v>
      </c>
      <c r="AJ77" s="17">
        <v>0</v>
      </c>
      <c r="AK77" s="17">
        <v>0</v>
      </c>
      <c r="AL77" s="17">
        <v>0</v>
      </c>
      <c r="AM77" s="17">
        <v>0</v>
      </c>
      <c r="AN77" s="17">
        <v>0</v>
      </c>
      <c r="AO77" s="17">
        <v>0</v>
      </c>
      <c r="AP77" s="18">
        <f t="shared" si="1"/>
        <v>322881</v>
      </c>
    </row>
    <row r="78" spans="1:42" ht="15" customHeight="1" x14ac:dyDescent="0.2">
      <c r="A78" s="16" t="s">
        <v>522</v>
      </c>
      <c r="B78" s="16" t="s">
        <v>549</v>
      </c>
      <c r="C78" s="16" t="s">
        <v>201</v>
      </c>
      <c r="D78" s="16" t="s">
        <v>641</v>
      </c>
      <c r="E78" s="17">
        <v>70014.878100000002</v>
      </c>
      <c r="F78" s="17">
        <v>496674.60550000001</v>
      </c>
      <c r="G78" s="17">
        <v>509144.26929999999</v>
      </c>
      <c r="H78" s="17">
        <v>426351.16649999999</v>
      </c>
      <c r="I78" s="17">
        <v>355320.66220000002</v>
      </c>
      <c r="J78" s="17">
        <v>296702.93320000003</v>
      </c>
      <c r="K78" s="17">
        <v>247827.12169999999</v>
      </c>
      <c r="L78" s="17">
        <v>207527.3921</v>
      </c>
      <c r="M78" s="17">
        <v>172953.13389999999</v>
      </c>
      <c r="N78" s="17">
        <v>144420.82209999999</v>
      </c>
      <c r="O78" s="17">
        <v>120630.4106</v>
      </c>
      <c r="P78" s="17">
        <v>526398.53819999995</v>
      </c>
      <c r="Q78" s="17">
        <v>0</v>
      </c>
      <c r="R78" s="17">
        <v>0</v>
      </c>
      <c r="S78" s="17">
        <v>0</v>
      </c>
      <c r="T78" s="17">
        <v>0</v>
      </c>
      <c r="U78" s="17">
        <v>0</v>
      </c>
      <c r="V78" s="17">
        <v>0</v>
      </c>
      <c r="W78" s="17">
        <v>0</v>
      </c>
      <c r="X78" s="17">
        <v>0</v>
      </c>
      <c r="Y78" s="17">
        <v>0</v>
      </c>
      <c r="Z78" s="17">
        <v>0</v>
      </c>
      <c r="AA78" s="17">
        <v>0</v>
      </c>
      <c r="AB78" s="17">
        <v>0</v>
      </c>
      <c r="AC78" s="17">
        <v>0</v>
      </c>
      <c r="AD78" s="17">
        <v>0</v>
      </c>
      <c r="AE78" s="17">
        <v>0</v>
      </c>
      <c r="AF78" s="17">
        <v>0</v>
      </c>
      <c r="AG78" s="17">
        <v>0</v>
      </c>
      <c r="AH78" s="17">
        <v>0</v>
      </c>
      <c r="AI78" s="17">
        <v>0</v>
      </c>
      <c r="AJ78" s="17">
        <v>0</v>
      </c>
      <c r="AK78" s="17">
        <v>0</v>
      </c>
      <c r="AL78" s="17">
        <v>0</v>
      </c>
      <c r="AM78" s="17">
        <v>0</v>
      </c>
      <c r="AN78" s="17">
        <v>0</v>
      </c>
      <c r="AO78" s="17">
        <v>0</v>
      </c>
      <c r="AP78" s="18">
        <f t="shared" si="1"/>
        <v>3573965.9333999995</v>
      </c>
    </row>
    <row r="79" spans="1:42" ht="15" customHeight="1" x14ac:dyDescent="0.2">
      <c r="A79" s="16" t="s">
        <v>522</v>
      </c>
      <c r="B79" s="16" t="s">
        <v>549</v>
      </c>
      <c r="C79" s="16" t="s">
        <v>363</v>
      </c>
      <c r="D79" s="16" t="s">
        <v>641</v>
      </c>
      <c r="E79" s="17">
        <v>20644.5</v>
      </c>
      <c r="F79" s="17">
        <v>9850</v>
      </c>
      <c r="G79" s="17">
        <v>14869.8</v>
      </c>
      <c r="H79" s="17">
        <v>34977.599999999999</v>
      </c>
      <c r="I79" s="17">
        <v>73392.800000000003</v>
      </c>
      <c r="J79" s="17">
        <v>56402.3</v>
      </c>
      <c r="K79" s="17">
        <v>24551.3</v>
      </c>
      <c r="L79" s="17">
        <v>31630.250400000001</v>
      </c>
      <c r="M79" s="17">
        <v>22329.910400000001</v>
      </c>
      <c r="N79" s="17">
        <v>0</v>
      </c>
      <c r="O79" s="17">
        <v>0</v>
      </c>
      <c r="P79" s="17">
        <v>0</v>
      </c>
      <c r="Q79" s="17">
        <v>0</v>
      </c>
      <c r="R79" s="17">
        <v>0</v>
      </c>
      <c r="S79" s="17">
        <v>0</v>
      </c>
      <c r="T79" s="17">
        <v>0</v>
      </c>
      <c r="U79" s="17">
        <v>0</v>
      </c>
      <c r="V79" s="17">
        <v>0</v>
      </c>
      <c r="W79" s="17">
        <v>0</v>
      </c>
      <c r="X79" s="17">
        <v>0</v>
      </c>
      <c r="Y79" s="17">
        <v>0</v>
      </c>
      <c r="Z79" s="17">
        <v>0</v>
      </c>
      <c r="AA79" s="17">
        <v>0</v>
      </c>
      <c r="AB79" s="17">
        <v>0</v>
      </c>
      <c r="AC79" s="17">
        <v>0</v>
      </c>
      <c r="AD79" s="17">
        <v>0</v>
      </c>
      <c r="AE79" s="17">
        <v>0</v>
      </c>
      <c r="AF79" s="17">
        <v>0</v>
      </c>
      <c r="AG79" s="17">
        <v>0</v>
      </c>
      <c r="AH79" s="17">
        <v>0</v>
      </c>
      <c r="AI79" s="17">
        <v>0</v>
      </c>
      <c r="AJ79" s="17">
        <v>0</v>
      </c>
      <c r="AK79" s="17">
        <v>0</v>
      </c>
      <c r="AL79" s="17">
        <v>0</v>
      </c>
      <c r="AM79" s="17">
        <v>0</v>
      </c>
      <c r="AN79" s="17">
        <v>0</v>
      </c>
      <c r="AO79" s="17">
        <v>0</v>
      </c>
      <c r="AP79" s="18">
        <f t="shared" si="1"/>
        <v>288648.4608</v>
      </c>
    </row>
    <row r="80" spans="1:42" ht="15" customHeight="1" x14ac:dyDescent="0.2">
      <c r="A80" s="16" t="s">
        <v>522</v>
      </c>
      <c r="B80" s="16" t="s">
        <v>550</v>
      </c>
      <c r="C80" s="16" t="s">
        <v>133</v>
      </c>
      <c r="D80" s="16" t="s">
        <v>641</v>
      </c>
      <c r="E80" s="17">
        <v>7967</v>
      </c>
      <c r="F80" s="17">
        <v>6356</v>
      </c>
      <c r="G80" s="17">
        <v>5083</v>
      </c>
      <c r="H80" s="17">
        <v>4069</v>
      </c>
      <c r="I80" s="17">
        <v>0</v>
      </c>
      <c r="J80" s="17">
        <v>0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7">
        <v>0</v>
      </c>
      <c r="R80" s="17">
        <v>0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17">
        <v>0</v>
      </c>
      <c r="Y80" s="17">
        <v>0</v>
      </c>
      <c r="Z80" s="17">
        <v>0</v>
      </c>
      <c r="AA80" s="17">
        <v>0</v>
      </c>
      <c r="AB80" s="17">
        <v>0</v>
      </c>
      <c r="AC80" s="17">
        <v>0</v>
      </c>
      <c r="AD80" s="17">
        <v>0</v>
      </c>
      <c r="AE80" s="17">
        <v>0</v>
      </c>
      <c r="AF80" s="17">
        <v>0</v>
      </c>
      <c r="AG80" s="17">
        <v>0</v>
      </c>
      <c r="AH80" s="17">
        <v>0</v>
      </c>
      <c r="AI80" s="17">
        <v>0</v>
      </c>
      <c r="AJ80" s="17">
        <v>0</v>
      </c>
      <c r="AK80" s="17">
        <v>0</v>
      </c>
      <c r="AL80" s="17">
        <v>0</v>
      </c>
      <c r="AM80" s="17">
        <v>0</v>
      </c>
      <c r="AN80" s="17">
        <v>0</v>
      </c>
      <c r="AO80" s="17">
        <v>0</v>
      </c>
      <c r="AP80" s="18">
        <f t="shared" si="1"/>
        <v>23475</v>
      </c>
    </row>
    <row r="81" spans="1:42" ht="15" customHeight="1" x14ac:dyDescent="0.2">
      <c r="A81" s="16" t="s">
        <v>522</v>
      </c>
      <c r="B81" s="16" t="s">
        <v>400</v>
      </c>
      <c r="C81" s="16" t="s">
        <v>400</v>
      </c>
      <c r="D81" s="16" t="s">
        <v>641</v>
      </c>
      <c r="E81" s="17">
        <v>0</v>
      </c>
      <c r="F81" s="17">
        <v>3676</v>
      </c>
      <c r="G81" s="17">
        <v>6747</v>
      </c>
      <c r="H81" s="17">
        <v>6061</v>
      </c>
      <c r="I81" s="17">
        <v>5455</v>
      </c>
      <c r="J81" s="17">
        <v>4879</v>
      </c>
      <c r="K81" s="17">
        <v>5500</v>
      </c>
      <c r="L81" s="17">
        <v>5952</v>
      </c>
      <c r="M81" s="17">
        <v>0</v>
      </c>
      <c r="N81" s="17">
        <v>0</v>
      </c>
      <c r="O81" s="17">
        <v>0</v>
      </c>
      <c r="P81" s="17">
        <v>0</v>
      </c>
      <c r="Q81" s="17">
        <v>0</v>
      </c>
      <c r="R81" s="17">
        <v>0</v>
      </c>
      <c r="S81" s="17">
        <v>0</v>
      </c>
      <c r="T81" s="17">
        <v>0</v>
      </c>
      <c r="U81" s="17">
        <v>0</v>
      </c>
      <c r="V81" s="17">
        <v>0</v>
      </c>
      <c r="W81" s="17">
        <v>0</v>
      </c>
      <c r="X81" s="17">
        <v>0</v>
      </c>
      <c r="Y81" s="17">
        <v>0</v>
      </c>
      <c r="Z81" s="17">
        <v>0</v>
      </c>
      <c r="AA81" s="17">
        <v>0</v>
      </c>
      <c r="AB81" s="17">
        <v>0</v>
      </c>
      <c r="AC81" s="17">
        <v>0</v>
      </c>
      <c r="AD81" s="17">
        <v>0</v>
      </c>
      <c r="AE81" s="17">
        <v>0</v>
      </c>
      <c r="AF81" s="17">
        <v>0</v>
      </c>
      <c r="AG81" s="17">
        <v>0</v>
      </c>
      <c r="AH81" s="17">
        <v>0</v>
      </c>
      <c r="AI81" s="17">
        <v>0</v>
      </c>
      <c r="AJ81" s="17">
        <v>0</v>
      </c>
      <c r="AK81" s="17">
        <v>0</v>
      </c>
      <c r="AL81" s="17">
        <v>0</v>
      </c>
      <c r="AM81" s="17">
        <v>0</v>
      </c>
      <c r="AN81" s="17">
        <v>0</v>
      </c>
      <c r="AO81" s="17">
        <v>0</v>
      </c>
      <c r="AP81" s="18">
        <f t="shared" si="1"/>
        <v>38270</v>
      </c>
    </row>
    <row r="82" spans="1:42" ht="15" customHeight="1" x14ac:dyDescent="0.2">
      <c r="A82" s="16" t="s">
        <v>522</v>
      </c>
      <c r="B82" s="16" t="s">
        <v>405</v>
      </c>
      <c r="C82" s="16" t="s">
        <v>386</v>
      </c>
      <c r="D82" s="16" t="s">
        <v>641</v>
      </c>
      <c r="E82" s="17">
        <v>11649</v>
      </c>
      <c r="F82" s="17">
        <v>50620</v>
      </c>
      <c r="G82" s="17">
        <v>59211</v>
      </c>
      <c r="H82" s="17">
        <v>50471</v>
      </c>
      <c r="I82" s="17">
        <v>43063</v>
      </c>
      <c r="J82" s="17">
        <v>36507</v>
      </c>
      <c r="K82" s="17">
        <v>31004</v>
      </c>
      <c r="L82" s="17">
        <v>26298</v>
      </c>
      <c r="M82" s="17">
        <v>22349</v>
      </c>
      <c r="N82" s="17">
        <v>18871</v>
      </c>
      <c r="O82" s="17">
        <v>15973</v>
      </c>
      <c r="P82" s="17">
        <v>110021</v>
      </c>
      <c r="Q82" s="17">
        <v>0</v>
      </c>
      <c r="R82" s="17">
        <v>0</v>
      </c>
      <c r="S82" s="17">
        <v>0</v>
      </c>
      <c r="T82" s="17">
        <v>0</v>
      </c>
      <c r="U82" s="17">
        <v>0</v>
      </c>
      <c r="V82" s="17">
        <v>0</v>
      </c>
      <c r="W82" s="17">
        <v>0</v>
      </c>
      <c r="X82" s="17">
        <v>0</v>
      </c>
      <c r="Y82" s="17">
        <v>0</v>
      </c>
      <c r="Z82" s="17">
        <v>0</v>
      </c>
      <c r="AA82" s="17">
        <v>0</v>
      </c>
      <c r="AB82" s="17">
        <v>0</v>
      </c>
      <c r="AC82" s="17">
        <v>0</v>
      </c>
      <c r="AD82" s="17">
        <v>0</v>
      </c>
      <c r="AE82" s="17">
        <v>0</v>
      </c>
      <c r="AF82" s="17">
        <v>0</v>
      </c>
      <c r="AG82" s="17">
        <v>0</v>
      </c>
      <c r="AH82" s="17">
        <v>0</v>
      </c>
      <c r="AI82" s="17">
        <v>0</v>
      </c>
      <c r="AJ82" s="17">
        <v>0</v>
      </c>
      <c r="AK82" s="17">
        <v>0</v>
      </c>
      <c r="AL82" s="17">
        <v>0</v>
      </c>
      <c r="AM82" s="17">
        <v>0</v>
      </c>
      <c r="AN82" s="17">
        <v>0</v>
      </c>
      <c r="AO82" s="17">
        <v>0</v>
      </c>
      <c r="AP82" s="18">
        <f t="shared" si="1"/>
        <v>476037</v>
      </c>
    </row>
    <row r="83" spans="1:42" ht="15" customHeight="1" x14ac:dyDescent="0.2">
      <c r="A83" s="16" t="s">
        <v>522</v>
      </c>
      <c r="B83" s="16" t="s">
        <v>405</v>
      </c>
      <c r="C83" s="16" t="s">
        <v>405</v>
      </c>
      <c r="D83" s="16" t="s">
        <v>641</v>
      </c>
      <c r="E83" s="17">
        <v>0</v>
      </c>
      <c r="F83" s="17">
        <v>2524</v>
      </c>
      <c r="G83" s="17">
        <v>4463</v>
      </c>
      <c r="H83" s="17">
        <v>3749</v>
      </c>
      <c r="I83" s="17">
        <v>3158</v>
      </c>
      <c r="J83" s="17">
        <v>2643</v>
      </c>
      <c r="K83" s="17">
        <v>2223</v>
      </c>
      <c r="L83" s="17">
        <v>0</v>
      </c>
      <c r="M83" s="17">
        <v>0</v>
      </c>
      <c r="N83" s="17">
        <v>0</v>
      </c>
      <c r="O83" s="17">
        <v>0</v>
      </c>
      <c r="P83" s="17">
        <v>0</v>
      </c>
      <c r="Q83" s="17">
        <v>0</v>
      </c>
      <c r="R83" s="17">
        <v>0</v>
      </c>
      <c r="S83" s="17">
        <v>0</v>
      </c>
      <c r="T83" s="17">
        <v>0</v>
      </c>
      <c r="U83" s="17">
        <v>0</v>
      </c>
      <c r="V83" s="17">
        <v>0</v>
      </c>
      <c r="W83" s="17">
        <v>0</v>
      </c>
      <c r="X83" s="17">
        <v>0</v>
      </c>
      <c r="Y83" s="17">
        <v>0</v>
      </c>
      <c r="Z83" s="17">
        <v>0</v>
      </c>
      <c r="AA83" s="17">
        <v>0</v>
      </c>
      <c r="AB83" s="17">
        <v>0</v>
      </c>
      <c r="AC83" s="17">
        <v>0</v>
      </c>
      <c r="AD83" s="17">
        <v>0</v>
      </c>
      <c r="AE83" s="17">
        <v>0</v>
      </c>
      <c r="AF83" s="17">
        <v>0</v>
      </c>
      <c r="AG83" s="17">
        <v>0</v>
      </c>
      <c r="AH83" s="17">
        <v>0</v>
      </c>
      <c r="AI83" s="17">
        <v>0</v>
      </c>
      <c r="AJ83" s="17">
        <v>0</v>
      </c>
      <c r="AK83" s="17">
        <v>0</v>
      </c>
      <c r="AL83" s="17">
        <v>0</v>
      </c>
      <c r="AM83" s="17">
        <v>0</v>
      </c>
      <c r="AN83" s="17">
        <v>0</v>
      </c>
      <c r="AO83" s="17">
        <v>0</v>
      </c>
      <c r="AP83" s="18">
        <f t="shared" si="1"/>
        <v>18760</v>
      </c>
    </row>
    <row r="84" spans="1:42" ht="15" customHeight="1" x14ac:dyDescent="0.2">
      <c r="A84" s="16" t="s">
        <v>551</v>
      </c>
      <c r="B84" s="16" t="s">
        <v>155</v>
      </c>
      <c r="C84" s="16" t="s">
        <v>155</v>
      </c>
      <c r="D84" s="16" t="s">
        <v>641</v>
      </c>
      <c r="E84" s="17">
        <v>334.55650000000003</v>
      </c>
      <c r="F84" s="17">
        <v>1939.1351999999999</v>
      </c>
      <c r="G84" s="17">
        <v>3350.3343</v>
      </c>
      <c r="H84" s="17">
        <v>1725.7098000000001</v>
      </c>
      <c r="I84" s="17">
        <v>0</v>
      </c>
      <c r="J84" s="17">
        <v>0</v>
      </c>
      <c r="K84" s="17">
        <v>0</v>
      </c>
      <c r="L84" s="17">
        <v>0</v>
      </c>
      <c r="M84" s="17">
        <v>0</v>
      </c>
      <c r="N84" s="17">
        <v>0</v>
      </c>
      <c r="O84" s="17">
        <v>0</v>
      </c>
      <c r="P84" s="17">
        <v>0</v>
      </c>
      <c r="Q84" s="17">
        <v>0</v>
      </c>
      <c r="R84" s="17">
        <v>0</v>
      </c>
      <c r="S84" s="17">
        <v>0</v>
      </c>
      <c r="T84" s="17">
        <v>0</v>
      </c>
      <c r="U84" s="17">
        <v>0</v>
      </c>
      <c r="V84" s="17">
        <v>0</v>
      </c>
      <c r="W84" s="17">
        <v>0</v>
      </c>
      <c r="X84" s="17">
        <v>0</v>
      </c>
      <c r="Y84" s="17">
        <v>0</v>
      </c>
      <c r="Z84" s="17">
        <v>0</v>
      </c>
      <c r="AA84" s="17">
        <v>0</v>
      </c>
      <c r="AB84" s="17">
        <v>0</v>
      </c>
      <c r="AC84" s="17">
        <v>0</v>
      </c>
      <c r="AD84" s="17">
        <v>0</v>
      </c>
      <c r="AE84" s="17">
        <v>0</v>
      </c>
      <c r="AF84" s="17">
        <v>0</v>
      </c>
      <c r="AG84" s="17">
        <v>0</v>
      </c>
      <c r="AH84" s="17">
        <v>0</v>
      </c>
      <c r="AI84" s="17">
        <v>0</v>
      </c>
      <c r="AJ84" s="17">
        <v>0</v>
      </c>
      <c r="AK84" s="17">
        <v>0</v>
      </c>
      <c r="AL84" s="17">
        <v>0</v>
      </c>
      <c r="AM84" s="17">
        <v>0</v>
      </c>
      <c r="AN84" s="17">
        <v>0</v>
      </c>
      <c r="AO84" s="17">
        <v>0</v>
      </c>
      <c r="AP84" s="18">
        <f t="shared" si="1"/>
        <v>7349.7358000000004</v>
      </c>
    </row>
    <row r="85" spans="1:42" ht="15" customHeight="1" x14ac:dyDescent="0.2">
      <c r="A85" s="16" t="s">
        <v>551</v>
      </c>
      <c r="B85" s="16" t="s">
        <v>155</v>
      </c>
      <c r="C85" s="16" t="s">
        <v>188</v>
      </c>
      <c r="D85" s="16" t="s">
        <v>641</v>
      </c>
      <c r="E85" s="17">
        <v>101.8627</v>
      </c>
      <c r="F85" s="17">
        <v>589.63819999999998</v>
      </c>
      <c r="G85" s="17">
        <v>1016.827</v>
      </c>
      <c r="H85" s="17">
        <v>522.98469999999998</v>
      </c>
      <c r="I85" s="17">
        <v>0</v>
      </c>
      <c r="J85" s="17">
        <v>0</v>
      </c>
      <c r="K85" s="17">
        <v>0</v>
      </c>
      <c r="L85" s="17">
        <v>0</v>
      </c>
      <c r="M85" s="17">
        <v>0</v>
      </c>
      <c r="N85" s="17">
        <v>0</v>
      </c>
      <c r="O85" s="17">
        <v>0</v>
      </c>
      <c r="P85" s="17">
        <v>0</v>
      </c>
      <c r="Q85" s="17">
        <v>0</v>
      </c>
      <c r="R85" s="17">
        <v>0</v>
      </c>
      <c r="S85" s="17">
        <v>0</v>
      </c>
      <c r="T85" s="17">
        <v>0</v>
      </c>
      <c r="U85" s="17">
        <v>0</v>
      </c>
      <c r="V85" s="17">
        <v>0</v>
      </c>
      <c r="W85" s="17">
        <v>0</v>
      </c>
      <c r="X85" s="17">
        <v>0</v>
      </c>
      <c r="Y85" s="17">
        <v>0</v>
      </c>
      <c r="Z85" s="17">
        <v>0</v>
      </c>
      <c r="AA85" s="17">
        <v>0</v>
      </c>
      <c r="AB85" s="17">
        <v>0</v>
      </c>
      <c r="AC85" s="17">
        <v>0</v>
      </c>
      <c r="AD85" s="17">
        <v>0</v>
      </c>
      <c r="AE85" s="17">
        <v>0</v>
      </c>
      <c r="AF85" s="17">
        <v>0</v>
      </c>
      <c r="AG85" s="17">
        <v>0</v>
      </c>
      <c r="AH85" s="17">
        <v>0</v>
      </c>
      <c r="AI85" s="17">
        <v>0</v>
      </c>
      <c r="AJ85" s="17">
        <v>0</v>
      </c>
      <c r="AK85" s="17">
        <v>0</v>
      </c>
      <c r="AL85" s="17">
        <v>0</v>
      </c>
      <c r="AM85" s="17">
        <v>0</v>
      </c>
      <c r="AN85" s="17">
        <v>0</v>
      </c>
      <c r="AO85" s="17">
        <v>0</v>
      </c>
      <c r="AP85" s="18">
        <f t="shared" si="1"/>
        <v>2231.3126000000002</v>
      </c>
    </row>
    <row r="86" spans="1:42" ht="15" customHeight="1" x14ac:dyDescent="0.2">
      <c r="A86" s="16" t="s">
        <v>551</v>
      </c>
      <c r="B86" s="16" t="s">
        <v>155</v>
      </c>
      <c r="C86" s="16" t="s">
        <v>301</v>
      </c>
      <c r="D86" s="16" t="s">
        <v>641</v>
      </c>
      <c r="E86" s="17">
        <v>861.37379999999996</v>
      </c>
      <c r="F86" s="17">
        <v>146214.0618</v>
      </c>
      <c r="G86" s="17">
        <v>136987.4615</v>
      </c>
      <c r="H86" s="17">
        <v>79632.536800000002</v>
      </c>
      <c r="I86" s="17">
        <v>0</v>
      </c>
      <c r="J86" s="17">
        <v>0</v>
      </c>
      <c r="K86" s="17">
        <v>0</v>
      </c>
      <c r="L86" s="17">
        <v>0</v>
      </c>
      <c r="M86" s="17">
        <v>0</v>
      </c>
      <c r="N86" s="17">
        <v>0</v>
      </c>
      <c r="O86" s="17">
        <v>0</v>
      </c>
      <c r="P86" s="17">
        <v>0</v>
      </c>
      <c r="Q86" s="17">
        <v>0</v>
      </c>
      <c r="R86" s="17">
        <v>0</v>
      </c>
      <c r="S86" s="17">
        <v>0</v>
      </c>
      <c r="T86" s="17">
        <v>0</v>
      </c>
      <c r="U86" s="17">
        <v>0</v>
      </c>
      <c r="V86" s="17">
        <v>0</v>
      </c>
      <c r="W86" s="17">
        <v>0</v>
      </c>
      <c r="X86" s="17">
        <v>0</v>
      </c>
      <c r="Y86" s="17">
        <v>0</v>
      </c>
      <c r="Z86" s="17">
        <v>0</v>
      </c>
      <c r="AA86" s="17">
        <v>0</v>
      </c>
      <c r="AB86" s="17">
        <v>0</v>
      </c>
      <c r="AC86" s="17">
        <v>0</v>
      </c>
      <c r="AD86" s="17">
        <v>0</v>
      </c>
      <c r="AE86" s="17">
        <v>0</v>
      </c>
      <c r="AF86" s="17">
        <v>0</v>
      </c>
      <c r="AG86" s="17">
        <v>0</v>
      </c>
      <c r="AH86" s="17">
        <v>0</v>
      </c>
      <c r="AI86" s="17">
        <v>0</v>
      </c>
      <c r="AJ86" s="17">
        <v>0</v>
      </c>
      <c r="AK86" s="17">
        <v>0</v>
      </c>
      <c r="AL86" s="17">
        <v>0</v>
      </c>
      <c r="AM86" s="17">
        <v>0</v>
      </c>
      <c r="AN86" s="17">
        <v>0</v>
      </c>
      <c r="AO86" s="17">
        <v>0</v>
      </c>
      <c r="AP86" s="18">
        <f t="shared" si="1"/>
        <v>363695.4339</v>
      </c>
    </row>
    <row r="87" spans="1:42" ht="15" customHeight="1" x14ac:dyDescent="0.2">
      <c r="A87" s="16" t="s">
        <v>551</v>
      </c>
      <c r="B87" s="16" t="s">
        <v>155</v>
      </c>
      <c r="C87" s="16" t="s">
        <v>423</v>
      </c>
      <c r="D87" s="16" t="s">
        <v>641</v>
      </c>
      <c r="E87" s="17">
        <v>35014.3554</v>
      </c>
      <c r="F87" s="17">
        <v>50400.7673</v>
      </c>
      <c r="G87" s="17">
        <v>46966.8655</v>
      </c>
      <c r="H87" s="17">
        <v>17219.645799999998</v>
      </c>
      <c r="I87" s="17">
        <v>0</v>
      </c>
      <c r="J87" s="17">
        <v>0</v>
      </c>
      <c r="K87" s="17">
        <v>0</v>
      </c>
      <c r="L87" s="17">
        <v>0</v>
      </c>
      <c r="M87" s="17">
        <v>0</v>
      </c>
      <c r="N87" s="17">
        <v>0</v>
      </c>
      <c r="O87" s="17">
        <v>0</v>
      </c>
      <c r="P87" s="17">
        <v>0</v>
      </c>
      <c r="Q87" s="17">
        <v>0</v>
      </c>
      <c r="R87" s="17">
        <v>0</v>
      </c>
      <c r="S87" s="17">
        <v>0</v>
      </c>
      <c r="T87" s="17">
        <v>0</v>
      </c>
      <c r="U87" s="17">
        <v>0</v>
      </c>
      <c r="V87" s="17">
        <v>0</v>
      </c>
      <c r="W87" s="17">
        <v>0</v>
      </c>
      <c r="X87" s="17">
        <v>0</v>
      </c>
      <c r="Y87" s="17">
        <v>0</v>
      </c>
      <c r="Z87" s="17">
        <v>0</v>
      </c>
      <c r="AA87" s="17">
        <v>0</v>
      </c>
      <c r="AB87" s="17">
        <v>0</v>
      </c>
      <c r="AC87" s="17">
        <v>0</v>
      </c>
      <c r="AD87" s="17">
        <v>0</v>
      </c>
      <c r="AE87" s="17">
        <v>0</v>
      </c>
      <c r="AF87" s="17">
        <v>0</v>
      </c>
      <c r="AG87" s="17">
        <v>0</v>
      </c>
      <c r="AH87" s="17">
        <v>0</v>
      </c>
      <c r="AI87" s="17">
        <v>0</v>
      </c>
      <c r="AJ87" s="17">
        <v>0</v>
      </c>
      <c r="AK87" s="17">
        <v>0</v>
      </c>
      <c r="AL87" s="17">
        <v>0</v>
      </c>
      <c r="AM87" s="17">
        <v>0</v>
      </c>
      <c r="AN87" s="17">
        <v>0</v>
      </c>
      <c r="AO87" s="17">
        <v>0</v>
      </c>
      <c r="AP87" s="18">
        <f t="shared" si="1"/>
        <v>149601.63400000002</v>
      </c>
    </row>
    <row r="88" spans="1:42" ht="15" customHeight="1" x14ac:dyDescent="0.2">
      <c r="A88" s="16" t="s">
        <v>551</v>
      </c>
      <c r="B88" s="16" t="s">
        <v>155</v>
      </c>
      <c r="C88" s="16" t="s">
        <v>424</v>
      </c>
      <c r="D88" s="16" t="s">
        <v>641</v>
      </c>
      <c r="E88" s="17">
        <v>36797.493300000002</v>
      </c>
      <c r="F88" s="17">
        <v>101814.2917</v>
      </c>
      <c r="G88" s="17">
        <v>134608.7622</v>
      </c>
      <c r="H88" s="17">
        <v>54963.227400000003</v>
      </c>
      <c r="I88" s="17">
        <v>0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7">
        <v>0</v>
      </c>
      <c r="R88" s="17">
        <v>0</v>
      </c>
      <c r="S88" s="17">
        <v>0</v>
      </c>
      <c r="T88" s="17">
        <v>0</v>
      </c>
      <c r="U88" s="17">
        <v>0</v>
      </c>
      <c r="V88" s="17">
        <v>0</v>
      </c>
      <c r="W88" s="17">
        <v>0</v>
      </c>
      <c r="X88" s="17">
        <v>0</v>
      </c>
      <c r="Y88" s="17">
        <v>0</v>
      </c>
      <c r="Z88" s="17">
        <v>0</v>
      </c>
      <c r="AA88" s="17">
        <v>0</v>
      </c>
      <c r="AB88" s="17">
        <v>0</v>
      </c>
      <c r="AC88" s="17">
        <v>0</v>
      </c>
      <c r="AD88" s="17">
        <v>0</v>
      </c>
      <c r="AE88" s="17">
        <v>0</v>
      </c>
      <c r="AF88" s="17">
        <v>0</v>
      </c>
      <c r="AG88" s="17">
        <v>0</v>
      </c>
      <c r="AH88" s="17">
        <v>0</v>
      </c>
      <c r="AI88" s="17">
        <v>0</v>
      </c>
      <c r="AJ88" s="17">
        <v>0</v>
      </c>
      <c r="AK88" s="17">
        <v>0</v>
      </c>
      <c r="AL88" s="17">
        <v>0</v>
      </c>
      <c r="AM88" s="17">
        <v>0</v>
      </c>
      <c r="AN88" s="17">
        <v>0</v>
      </c>
      <c r="AO88" s="17">
        <v>0</v>
      </c>
      <c r="AP88" s="18">
        <f t="shared" si="1"/>
        <v>328183.7746</v>
      </c>
    </row>
    <row r="89" spans="1:42" ht="15" customHeight="1" x14ac:dyDescent="0.2">
      <c r="A89" s="16" t="s">
        <v>551</v>
      </c>
      <c r="B89" s="16" t="s">
        <v>552</v>
      </c>
      <c r="C89" s="16" t="s">
        <v>315</v>
      </c>
      <c r="D89" s="16" t="s">
        <v>641</v>
      </c>
      <c r="E89" s="17">
        <v>16275.179099999999</v>
      </c>
      <c r="F89" s="17">
        <v>38996.254099999998</v>
      </c>
      <c r="G89" s="17">
        <v>90828.817599999995</v>
      </c>
      <c r="H89" s="17">
        <v>73484.886799999993</v>
      </c>
      <c r="I89" s="17">
        <v>57777.080800000003</v>
      </c>
      <c r="J89" s="17">
        <v>46160.332900000001</v>
      </c>
      <c r="K89" s="17">
        <v>96635.4427</v>
      </c>
      <c r="L89" s="17">
        <v>80164.777100000007</v>
      </c>
      <c r="M89" s="17">
        <v>0</v>
      </c>
      <c r="N89" s="17">
        <v>0</v>
      </c>
      <c r="O89" s="17">
        <v>0</v>
      </c>
      <c r="P89" s="17">
        <v>0</v>
      </c>
      <c r="Q89" s="17">
        <v>0</v>
      </c>
      <c r="R89" s="17">
        <v>0</v>
      </c>
      <c r="S89" s="17">
        <v>0</v>
      </c>
      <c r="T89" s="17">
        <v>0</v>
      </c>
      <c r="U89" s="17">
        <v>0</v>
      </c>
      <c r="V89" s="17">
        <v>0</v>
      </c>
      <c r="W89" s="17">
        <v>0</v>
      </c>
      <c r="X89" s="17">
        <v>0</v>
      </c>
      <c r="Y89" s="17">
        <v>0</v>
      </c>
      <c r="Z89" s="17">
        <v>0</v>
      </c>
      <c r="AA89" s="17">
        <v>0</v>
      </c>
      <c r="AB89" s="17">
        <v>0</v>
      </c>
      <c r="AC89" s="17">
        <v>0</v>
      </c>
      <c r="AD89" s="17">
        <v>0</v>
      </c>
      <c r="AE89" s="17">
        <v>0</v>
      </c>
      <c r="AF89" s="17">
        <v>0</v>
      </c>
      <c r="AG89" s="17">
        <v>0</v>
      </c>
      <c r="AH89" s="17">
        <v>0</v>
      </c>
      <c r="AI89" s="17">
        <v>0</v>
      </c>
      <c r="AJ89" s="17">
        <v>0</v>
      </c>
      <c r="AK89" s="17">
        <v>0</v>
      </c>
      <c r="AL89" s="17">
        <v>0</v>
      </c>
      <c r="AM89" s="17">
        <v>0</v>
      </c>
      <c r="AN89" s="17">
        <v>0</v>
      </c>
      <c r="AO89" s="17">
        <v>0</v>
      </c>
      <c r="AP89" s="18">
        <f t="shared" si="1"/>
        <v>500322.77109999995</v>
      </c>
    </row>
    <row r="90" spans="1:42" ht="15" customHeight="1" x14ac:dyDescent="0.2">
      <c r="A90" s="16" t="s">
        <v>551</v>
      </c>
      <c r="B90" s="16" t="s">
        <v>553</v>
      </c>
      <c r="C90" s="16" t="s">
        <v>170</v>
      </c>
      <c r="D90" s="16" t="s">
        <v>641</v>
      </c>
      <c r="E90" s="17">
        <v>11028.152599999999</v>
      </c>
      <c r="F90" s="17">
        <v>175846.46739999999</v>
      </c>
      <c r="G90" s="17">
        <v>352276.53009999997</v>
      </c>
      <c r="H90" s="17">
        <v>716590.5405</v>
      </c>
      <c r="I90" s="17">
        <v>1242034.0545999999</v>
      </c>
      <c r="J90" s="17">
        <v>2075499.8648999999</v>
      </c>
      <c r="K90" s="17">
        <v>1871772.8602</v>
      </c>
      <c r="L90" s="17">
        <v>1588695.7692</v>
      </c>
      <c r="M90" s="17">
        <v>1336993.6124</v>
      </c>
      <c r="N90" s="17">
        <v>1121937.4055000001</v>
      </c>
      <c r="O90" s="17">
        <v>933628.83519999997</v>
      </c>
      <c r="P90" s="17">
        <v>400720.37569999998</v>
      </c>
      <c r="Q90" s="17">
        <v>0</v>
      </c>
      <c r="R90" s="17">
        <v>0</v>
      </c>
      <c r="S90" s="17">
        <v>0</v>
      </c>
      <c r="T90" s="17">
        <v>0</v>
      </c>
      <c r="U90" s="17">
        <v>0</v>
      </c>
      <c r="V90" s="17">
        <v>0</v>
      </c>
      <c r="W90" s="17">
        <v>0</v>
      </c>
      <c r="X90" s="17">
        <v>0</v>
      </c>
      <c r="Y90" s="17">
        <v>0</v>
      </c>
      <c r="Z90" s="17">
        <v>0</v>
      </c>
      <c r="AA90" s="17">
        <v>0</v>
      </c>
      <c r="AB90" s="17">
        <v>0</v>
      </c>
      <c r="AC90" s="17">
        <v>0</v>
      </c>
      <c r="AD90" s="17">
        <v>0</v>
      </c>
      <c r="AE90" s="17">
        <v>0</v>
      </c>
      <c r="AF90" s="17">
        <v>0</v>
      </c>
      <c r="AG90" s="17">
        <v>0</v>
      </c>
      <c r="AH90" s="17">
        <v>0</v>
      </c>
      <c r="AI90" s="17">
        <v>0</v>
      </c>
      <c r="AJ90" s="17">
        <v>0</v>
      </c>
      <c r="AK90" s="17">
        <v>0</v>
      </c>
      <c r="AL90" s="17">
        <v>0</v>
      </c>
      <c r="AM90" s="17">
        <v>0</v>
      </c>
      <c r="AN90" s="17">
        <v>0</v>
      </c>
      <c r="AO90" s="17">
        <v>0</v>
      </c>
      <c r="AP90" s="18">
        <f t="shared" si="1"/>
        <v>11827024.468300002</v>
      </c>
    </row>
    <row r="91" spans="1:42" ht="24" customHeight="1" x14ac:dyDescent="0.2">
      <c r="A91" s="16" t="s">
        <v>542</v>
      </c>
      <c r="B91" s="16" t="s">
        <v>554</v>
      </c>
      <c r="C91" s="16" t="s">
        <v>138</v>
      </c>
      <c r="D91" s="16" t="s">
        <v>641</v>
      </c>
      <c r="E91" s="17">
        <v>773</v>
      </c>
      <c r="F91" s="17">
        <v>1212</v>
      </c>
      <c r="G91" s="17">
        <v>1781</v>
      </c>
      <c r="H91" s="17">
        <v>2078</v>
      </c>
      <c r="I91" s="17">
        <v>2191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7">
        <v>0</v>
      </c>
      <c r="R91" s="17">
        <v>0</v>
      </c>
      <c r="S91" s="17">
        <v>0</v>
      </c>
      <c r="T91" s="17">
        <v>0</v>
      </c>
      <c r="U91" s="17">
        <v>0</v>
      </c>
      <c r="V91" s="17">
        <v>0</v>
      </c>
      <c r="W91" s="17">
        <v>0</v>
      </c>
      <c r="X91" s="17">
        <v>0</v>
      </c>
      <c r="Y91" s="17">
        <v>0</v>
      </c>
      <c r="Z91" s="17">
        <v>0</v>
      </c>
      <c r="AA91" s="17">
        <v>0</v>
      </c>
      <c r="AB91" s="17">
        <v>0</v>
      </c>
      <c r="AC91" s="17">
        <v>0</v>
      </c>
      <c r="AD91" s="17">
        <v>0</v>
      </c>
      <c r="AE91" s="17">
        <v>0</v>
      </c>
      <c r="AF91" s="17">
        <v>0</v>
      </c>
      <c r="AG91" s="17">
        <v>0</v>
      </c>
      <c r="AH91" s="17">
        <v>0</v>
      </c>
      <c r="AI91" s="17">
        <v>0</v>
      </c>
      <c r="AJ91" s="17">
        <v>0</v>
      </c>
      <c r="AK91" s="17">
        <v>0</v>
      </c>
      <c r="AL91" s="17"/>
      <c r="AM91" s="17"/>
      <c r="AN91" s="17"/>
      <c r="AO91" s="17"/>
      <c r="AP91" s="18">
        <f t="shared" si="1"/>
        <v>8035</v>
      </c>
    </row>
    <row r="92" spans="1:42" ht="24" customHeight="1" x14ac:dyDescent="0.2">
      <c r="A92" s="16" t="s">
        <v>542</v>
      </c>
      <c r="B92" s="16" t="s">
        <v>554</v>
      </c>
      <c r="C92" s="16" t="s">
        <v>428</v>
      </c>
      <c r="D92" s="16" t="s">
        <v>641</v>
      </c>
      <c r="E92" s="17">
        <v>14030</v>
      </c>
      <c r="F92" s="17">
        <v>23635</v>
      </c>
      <c r="G92" s="17">
        <v>18972</v>
      </c>
      <c r="H92" s="17">
        <v>20888</v>
      </c>
      <c r="I92" s="17">
        <v>21126</v>
      </c>
      <c r="J92" s="17">
        <v>21789</v>
      </c>
      <c r="K92" s="17">
        <v>19978</v>
      </c>
      <c r="L92" s="17">
        <v>15981</v>
      </c>
      <c r="M92" s="17">
        <v>15024</v>
      </c>
      <c r="N92" s="17">
        <v>13642</v>
      </c>
      <c r="O92" s="17">
        <v>11801</v>
      </c>
      <c r="P92" s="17">
        <v>32680</v>
      </c>
      <c r="Q92" s="17">
        <v>27165</v>
      </c>
      <c r="R92" s="17">
        <v>0</v>
      </c>
      <c r="S92" s="17">
        <v>0</v>
      </c>
      <c r="T92" s="17">
        <v>0</v>
      </c>
      <c r="U92" s="17">
        <v>0</v>
      </c>
      <c r="V92" s="17">
        <v>0</v>
      </c>
      <c r="W92" s="17">
        <v>0</v>
      </c>
      <c r="X92" s="17">
        <v>0</v>
      </c>
      <c r="Y92" s="17">
        <v>0</v>
      </c>
      <c r="Z92" s="17">
        <v>0</v>
      </c>
      <c r="AA92" s="17">
        <v>0</v>
      </c>
      <c r="AB92" s="17">
        <v>0</v>
      </c>
      <c r="AC92" s="17">
        <v>0</v>
      </c>
      <c r="AD92" s="17">
        <v>0</v>
      </c>
      <c r="AE92" s="17">
        <v>0</v>
      </c>
      <c r="AF92" s="17">
        <v>0</v>
      </c>
      <c r="AG92" s="17">
        <v>0</v>
      </c>
      <c r="AH92" s="17">
        <v>0</v>
      </c>
      <c r="AI92" s="17">
        <v>0</v>
      </c>
      <c r="AJ92" s="17">
        <v>0</v>
      </c>
      <c r="AK92" s="17">
        <v>0</v>
      </c>
      <c r="AL92" s="17"/>
      <c r="AM92" s="17"/>
      <c r="AN92" s="17"/>
      <c r="AO92" s="17"/>
      <c r="AP92" s="18">
        <f t="shared" si="1"/>
        <v>256711</v>
      </c>
    </row>
    <row r="93" spans="1:42" ht="24" customHeight="1" x14ac:dyDescent="0.2">
      <c r="A93" s="16" t="s">
        <v>542</v>
      </c>
      <c r="B93" s="16" t="s">
        <v>555</v>
      </c>
      <c r="C93" s="16" t="s">
        <v>199</v>
      </c>
      <c r="D93" s="16" t="s">
        <v>641</v>
      </c>
      <c r="E93" s="17">
        <v>907</v>
      </c>
      <c r="F93" s="17">
        <v>1319</v>
      </c>
      <c r="G93" s="17">
        <v>1537</v>
      </c>
      <c r="H93" s="17">
        <v>2945</v>
      </c>
      <c r="I93" s="17">
        <v>4123</v>
      </c>
      <c r="J93" s="17">
        <v>3301</v>
      </c>
      <c r="K93" s="17">
        <v>2220</v>
      </c>
      <c r="L93" s="17">
        <v>732</v>
      </c>
      <c r="M93" s="17">
        <v>709</v>
      </c>
      <c r="N93" s="17">
        <v>674</v>
      </c>
      <c r="O93" s="17">
        <v>634</v>
      </c>
      <c r="P93" s="17">
        <v>591</v>
      </c>
      <c r="Q93" s="17">
        <v>548</v>
      </c>
      <c r="R93" s="17">
        <v>3756</v>
      </c>
      <c r="S93" s="17">
        <v>0</v>
      </c>
      <c r="T93" s="17">
        <v>0</v>
      </c>
      <c r="U93" s="17">
        <v>0</v>
      </c>
      <c r="V93" s="17">
        <v>0</v>
      </c>
      <c r="W93" s="17">
        <v>0</v>
      </c>
      <c r="X93" s="17">
        <v>0</v>
      </c>
      <c r="Y93" s="17">
        <v>0</v>
      </c>
      <c r="Z93" s="17">
        <v>0</v>
      </c>
      <c r="AA93" s="17">
        <v>0</v>
      </c>
      <c r="AB93" s="17">
        <v>0</v>
      </c>
      <c r="AC93" s="17">
        <v>0</v>
      </c>
      <c r="AD93" s="17">
        <v>0</v>
      </c>
      <c r="AE93" s="17">
        <v>0</v>
      </c>
      <c r="AF93" s="17">
        <v>0</v>
      </c>
      <c r="AG93" s="17">
        <v>0</v>
      </c>
      <c r="AH93" s="17">
        <v>0</v>
      </c>
      <c r="AI93" s="17">
        <v>0</v>
      </c>
      <c r="AJ93" s="17">
        <v>0</v>
      </c>
      <c r="AK93" s="17">
        <v>0</v>
      </c>
      <c r="AL93" s="17"/>
      <c r="AM93" s="17"/>
      <c r="AN93" s="17"/>
      <c r="AO93" s="17"/>
      <c r="AP93" s="18">
        <f t="shared" si="1"/>
        <v>23996</v>
      </c>
    </row>
    <row r="94" spans="1:42" ht="24" customHeight="1" x14ac:dyDescent="0.2">
      <c r="A94" s="16" t="s">
        <v>542</v>
      </c>
      <c r="B94" s="16" t="s">
        <v>555</v>
      </c>
      <c r="C94" s="16" t="s">
        <v>247</v>
      </c>
      <c r="D94" s="16" t="s">
        <v>641</v>
      </c>
      <c r="E94" s="17">
        <v>457</v>
      </c>
      <c r="F94" s="17">
        <v>784</v>
      </c>
      <c r="G94" s="17">
        <v>1006</v>
      </c>
      <c r="H94" s="17">
        <v>1146</v>
      </c>
      <c r="I94" s="17">
        <v>1230</v>
      </c>
      <c r="J94" s="17">
        <v>1257</v>
      </c>
      <c r="K94" s="17">
        <v>1255</v>
      </c>
      <c r="L94" s="17">
        <v>1227</v>
      </c>
      <c r="M94" s="17">
        <v>1182</v>
      </c>
      <c r="N94" s="17">
        <v>1122</v>
      </c>
      <c r="O94" s="17">
        <v>1053</v>
      </c>
      <c r="P94" s="17">
        <v>983</v>
      </c>
      <c r="Q94" s="17">
        <v>6477</v>
      </c>
      <c r="R94" s="17">
        <v>5554</v>
      </c>
      <c r="S94" s="17">
        <v>0</v>
      </c>
      <c r="T94" s="17">
        <v>0</v>
      </c>
      <c r="U94" s="17">
        <v>0</v>
      </c>
      <c r="V94" s="17">
        <v>0</v>
      </c>
      <c r="W94" s="17">
        <v>0</v>
      </c>
      <c r="X94" s="17">
        <v>0</v>
      </c>
      <c r="Y94" s="17">
        <v>0</v>
      </c>
      <c r="Z94" s="17">
        <v>0</v>
      </c>
      <c r="AA94" s="17">
        <v>0</v>
      </c>
      <c r="AB94" s="17">
        <v>0</v>
      </c>
      <c r="AC94" s="17">
        <v>0</v>
      </c>
      <c r="AD94" s="17">
        <v>0</v>
      </c>
      <c r="AE94" s="17">
        <v>0</v>
      </c>
      <c r="AF94" s="17">
        <v>0</v>
      </c>
      <c r="AG94" s="17">
        <v>0</v>
      </c>
      <c r="AH94" s="17">
        <v>0</v>
      </c>
      <c r="AI94" s="17">
        <v>0</v>
      </c>
      <c r="AJ94" s="17">
        <v>0</v>
      </c>
      <c r="AK94" s="17">
        <v>0</v>
      </c>
      <c r="AL94" s="17"/>
      <c r="AM94" s="17"/>
      <c r="AN94" s="17"/>
      <c r="AO94" s="17"/>
      <c r="AP94" s="18">
        <f t="shared" si="1"/>
        <v>24733</v>
      </c>
    </row>
    <row r="95" spans="1:42" ht="24" customHeight="1" x14ac:dyDescent="0.2">
      <c r="A95" s="16" t="s">
        <v>542</v>
      </c>
      <c r="B95" s="16" t="s">
        <v>555</v>
      </c>
      <c r="C95" s="16" t="s">
        <v>248</v>
      </c>
      <c r="D95" s="16" t="s">
        <v>641</v>
      </c>
      <c r="E95" s="17">
        <v>40</v>
      </c>
      <c r="F95" s="17">
        <v>188</v>
      </c>
      <c r="G95" s="17">
        <v>2030</v>
      </c>
      <c r="H95" s="17">
        <v>10566</v>
      </c>
      <c r="I95" s="17">
        <v>10822</v>
      </c>
      <c r="J95" s="17">
        <v>4793</v>
      </c>
      <c r="K95" s="17">
        <v>0</v>
      </c>
      <c r="L95" s="17">
        <v>0</v>
      </c>
      <c r="M95" s="17">
        <v>0</v>
      </c>
      <c r="N95" s="17">
        <v>0</v>
      </c>
      <c r="O95" s="17">
        <v>0</v>
      </c>
      <c r="P95" s="17">
        <v>0</v>
      </c>
      <c r="Q95" s="17">
        <v>0</v>
      </c>
      <c r="R95" s="17">
        <v>0</v>
      </c>
      <c r="S95" s="17">
        <v>0</v>
      </c>
      <c r="T95" s="17">
        <v>0</v>
      </c>
      <c r="U95" s="17">
        <v>0</v>
      </c>
      <c r="V95" s="17">
        <v>0</v>
      </c>
      <c r="W95" s="17">
        <v>0</v>
      </c>
      <c r="X95" s="17">
        <v>0</v>
      </c>
      <c r="Y95" s="17">
        <v>0</v>
      </c>
      <c r="Z95" s="17">
        <v>0</v>
      </c>
      <c r="AA95" s="17">
        <v>0</v>
      </c>
      <c r="AB95" s="17">
        <v>0</v>
      </c>
      <c r="AC95" s="17">
        <v>0</v>
      </c>
      <c r="AD95" s="17">
        <v>0</v>
      </c>
      <c r="AE95" s="17">
        <v>0</v>
      </c>
      <c r="AF95" s="17">
        <v>0</v>
      </c>
      <c r="AG95" s="17">
        <v>0</v>
      </c>
      <c r="AH95" s="17">
        <v>0</v>
      </c>
      <c r="AI95" s="17">
        <v>0</v>
      </c>
      <c r="AJ95" s="17">
        <v>0</v>
      </c>
      <c r="AK95" s="17">
        <v>0</v>
      </c>
      <c r="AL95" s="17"/>
      <c r="AM95" s="17"/>
      <c r="AN95" s="17"/>
      <c r="AO95" s="17"/>
      <c r="AP95" s="18">
        <f t="shared" si="1"/>
        <v>28439</v>
      </c>
    </row>
    <row r="96" spans="1:42" ht="24" customHeight="1" x14ac:dyDescent="0.2">
      <c r="A96" s="16" t="s">
        <v>542</v>
      </c>
      <c r="B96" s="16" t="s">
        <v>555</v>
      </c>
      <c r="C96" s="16" t="s">
        <v>259</v>
      </c>
      <c r="D96" s="16" t="s">
        <v>641</v>
      </c>
      <c r="E96" s="17">
        <v>56</v>
      </c>
      <c r="F96" s="17">
        <v>2807</v>
      </c>
      <c r="G96" s="17">
        <v>5310</v>
      </c>
      <c r="H96" s="17">
        <v>0</v>
      </c>
      <c r="I96" s="17">
        <v>0</v>
      </c>
      <c r="J96" s="17">
        <v>0</v>
      </c>
      <c r="K96" s="17">
        <v>0</v>
      </c>
      <c r="L96" s="17">
        <v>0</v>
      </c>
      <c r="M96" s="17">
        <v>0</v>
      </c>
      <c r="N96" s="17">
        <v>0</v>
      </c>
      <c r="O96" s="17">
        <v>0</v>
      </c>
      <c r="P96" s="17">
        <v>0</v>
      </c>
      <c r="Q96" s="17">
        <v>0</v>
      </c>
      <c r="R96" s="17">
        <v>0</v>
      </c>
      <c r="S96" s="17">
        <v>0</v>
      </c>
      <c r="T96" s="17">
        <v>0</v>
      </c>
      <c r="U96" s="17">
        <v>0</v>
      </c>
      <c r="V96" s="17">
        <v>0</v>
      </c>
      <c r="W96" s="17">
        <v>0</v>
      </c>
      <c r="X96" s="17">
        <v>0</v>
      </c>
      <c r="Y96" s="17">
        <v>0</v>
      </c>
      <c r="Z96" s="17">
        <v>0</v>
      </c>
      <c r="AA96" s="17">
        <v>0</v>
      </c>
      <c r="AB96" s="17">
        <v>0</v>
      </c>
      <c r="AC96" s="17">
        <v>0</v>
      </c>
      <c r="AD96" s="17">
        <v>0</v>
      </c>
      <c r="AE96" s="17">
        <v>0</v>
      </c>
      <c r="AF96" s="17">
        <v>0</v>
      </c>
      <c r="AG96" s="17">
        <v>0</v>
      </c>
      <c r="AH96" s="17">
        <v>0</v>
      </c>
      <c r="AI96" s="17">
        <v>0</v>
      </c>
      <c r="AJ96" s="17">
        <v>0</v>
      </c>
      <c r="AK96" s="17">
        <v>0</v>
      </c>
      <c r="AL96" s="17"/>
      <c r="AM96" s="17"/>
      <c r="AN96" s="17"/>
      <c r="AO96" s="17"/>
      <c r="AP96" s="18">
        <f t="shared" si="1"/>
        <v>8173</v>
      </c>
    </row>
    <row r="97" spans="1:42" ht="24" customHeight="1" x14ac:dyDescent="0.2">
      <c r="A97" s="16" t="s">
        <v>542</v>
      </c>
      <c r="B97" s="16" t="s">
        <v>555</v>
      </c>
      <c r="C97" s="16" t="s">
        <v>260</v>
      </c>
      <c r="D97" s="16" t="s">
        <v>641</v>
      </c>
      <c r="E97" s="17">
        <v>1162</v>
      </c>
      <c r="F97" s="17">
        <v>1155</v>
      </c>
      <c r="G97" s="17">
        <v>1099</v>
      </c>
      <c r="H97" s="17">
        <v>4328</v>
      </c>
      <c r="I97" s="17">
        <v>6425</v>
      </c>
      <c r="J97" s="17">
        <v>5098</v>
      </c>
      <c r="K97" s="17">
        <v>4056</v>
      </c>
      <c r="L97" s="17">
        <v>3229</v>
      </c>
      <c r="M97" s="17">
        <v>4697</v>
      </c>
      <c r="N97" s="17">
        <v>3686</v>
      </c>
      <c r="O97" s="17">
        <v>2903</v>
      </c>
      <c r="P97" s="17">
        <v>0</v>
      </c>
      <c r="Q97" s="17">
        <v>0</v>
      </c>
      <c r="R97" s="17">
        <v>0</v>
      </c>
      <c r="S97" s="17">
        <v>0</v>
      </c>
      <c r="T97" s="17">
        <v>0</v>
      </c>
      <c r="U97" s="17">
        <v>0</v>
      </c>
      <c r="V97" s="17">
        <v>0</v>
      </c>
      <c r="W97" s="17">
        <v>0</v>
      </c>
      <c r="X97" s="17">
        <v>0</v>
      </c>
      <c r="Y97" s="17">
        <v>0</v>
      </c>
      <c r="Z97" s="17">
        <v>0</v>
      </c>
      <c r="AA97" s="17">
        <v>0</v>
      </c>
      <c r="AB97" s="17">
        <v>0</v>
      </c>
      <c r="AC97" s="17">
        <v>0</v>
      </c>
      <c r="AD97" s="17">
        <v>0</v>
      </c>
      <c r="AE97" s="17">
        <v>0</v>
      </c>
      <c r="AF97" s="17">
        <v>0</v>
      </c>
      <c r="AG97" s="17">
        <v>0</v>
      </c>
      <c r="AH97" s="17">
        <v>0</v>
      </c>
      <c r="AI97" s="17">
        <v>0</v>
      </c>
      <c r="AJ97" s="17">
        <v>0</v>
      </c>
      <c r="AK97" s="17">
        <v>0</v>
      </c>
      <c r="AL97" s="17"/>
      <c r="AM97" s="17"/>
      <c r="AN97" s="17"/>
      <c r="AO97" s="17"/>
      <c r="AP97" s="18">
        <f t="shared" si="1"/>
        <v>37838</v>
      </c>
    </row>
    <row r="98" spans="1:42" ht="24" customHeight="1" x14ac:dyDescent="0.2">
      <c r="A98" s="16" t="s">
        <v>542</v>
      </c>
      <c r="B98" s="16" t="s">
        <v>556</v>
      </c>
      <c r="C98" s="16" t="s">
        <v>157</v>
      </c>
      <c r="D98" s="16" t="s">
        <v>641</v>
      </c>
      <c r="E98" s="17">
        <v>2136</v>
      </c>
      <c r="F98" s="17">
        <v>68829</v>
      </c>
      <c r="G98" s="17">
        <v>522080</v>
      </c>
      <c r="H98" s="17">
        <v>337826</v>
      </c>
      <c r="I98" s="17">
        <v>210087</v>
      </c>
      <c r="J98" s="17">
        <v>133119</v>
      </c>
      <c r="K98" s="17">
        <v>84808</v>
      </c>
      <c r="L98" s="17">
        <v>54138</v>
      </c>
      <c r="M98" s="17">
        <v>34703</v>
      </c>
      <c r="N98" s="17">
        <v>22165</v>
      </c>
      <c r="O98" s="17">
        <v>14233</v>
      </c>
      <c r="P98" s="17">
        <v>0</v>
      </c>
      <c r="Q98" s="17">
        <v>0</v>
      </c>
      <c r="R98" s="17">
        <v>0</v>
      </c>
      <c r="S98" s="17">
        <v>0</v>
      </c>
      <c r="T98" s="17">
        <v>0</v>
      </c>
      <c r="U98" s="17">
        <v>0</v>
      </c>
      <c r="V98" s="17">
        <v>0</v>
      </c>
      <c r="W98" s="17">
        <v>0</v>
      </c>
      <c r="X98" s="17">
        <v>0</v>
      </c>
      <c r="Y98" s="17">
        <v>0</v>
      </c>
      <c r="Z98" s="17">
        <v>0</v>
      </c>
      <c r="AA98" s="17">
        <v>0</v>
      </c>
      <c r="AB98" s="17">
        <v>0</v>
      </c>
      <c r="AC98" s="17">
        <v>0</v>
      </c>
      <c r="AD98" s="17">
        <v>0</v>
      </c>
      <c r="AE98" s="17">
        <v>0</v>
      </c>
      <c r="AF98" s="17">
        <v>0</v>
      </c>
      <c r="AG98" s="17">
        <v>0</v>
      </c>
      <c r="AH98" s="17">
        <v>0</v>
      </c>
      <c r="AI98" s="17">
        <v>0</v>
      </c>
      <c r="AJ98" s="17">
        <v>0</v>
      </c>
      <c r="AK98" s="17">
        <v>0</v>
      </c>
      <c r="AL98" s="17"/>
      <c r="AM98" s="17"/>
      <c r="AN98" s="17"/>
      <c r="AO98" s="17"/>
      <c r="AP98" s="18">
        <f t="shared" si="1"/>
        <v>1484124</v>
      </c>
    </row>
    <row r="99" spans="1:42" ht="24" customHeight="1" x14ac:dyDescent="0.2">
      <c r="A99" s="16" t="s">
        <v>542</v>
      </c>
      <c r="B99" s="16" t="s">
        <v>557</v>
      </c>
      <c r="C99" s="16" t="s">
        <v>306</v>
      </c>
      <c r="D99" s="16" t="s">
        <v>641</v>
      </c>
      <c r="E99" s="17">
        <v>9414</v>
      </c>
      <c r="F99" s="17">
        <v>193514</v>
      </c>
      <c r="G99" s="17">
        <v>140495</v>
      </c>
      <c r="H99" s="17">
        <v>103078</v>
      </c>
      <c r="I99" s="17">
        <v>76766</v>
      </c>
      <c r="J99" s="17">
        <v>57709</v>
      </c>
      <c r="K99" s="17">
        <v>44261</v>
      </c>
      <c r="L99" s="17">
        <v>35045</v>
      </c>
      <c r="M99" s="17">
        <v>28709</v>
      </c>
      <c r="N99" s="17">
        <v>21843</v>
      </c>
      <c r="O99" s="17">
        <v>19138</v>
      </c>
      <c r="P99" s="17">
        <v>17383</v>
      </c>
      <c r="Q99" s="17">
        <v>38864</v>
      </c>
      <c r="R99" s="17">
        <v>32656</v>
      </c>
      <c r="S99" s="17">
        <v>0</v>
      </c>
      <c r="T99" s="17">
        <v>0</v>
      </c>
      <c r="U99" s="17">
        <v>0</v>
      </c>
      <c r="V99" s="17">
        <v>0</v>
      </c>
      <c r="W99" s="17">
        <v>0</v>
      </c>
      <c r="X99" s="17">
        <v>0</v>
      </c>
      <c r="Y99" s="17">
        <v>0</v>
      </c>
      <c r="Z99" s="17">
        <v>0</v>
      </c>
      <c r="AA99" s="17">
        <v>0</v>
      </c>
      <c r="AB99" s="17">
        <v>0</v>
      </c>
      <c r="AC99" s="17">
        <v>0</v>
      </c>
      <c r="AD99" s="17">
        <v>0</v>
      </c>
      <c r="AE99" s="17">
        <v>0</v>
      </c>
      <c r="AF99" s="17">
        <v>0</v>
      </c>
      <c r="AG99" s="17">
        <v>0</v>
      </c>
      <c r="AH99" s="17">
        <v>0</v>
      </c>
      <c r="AI99" s="17">
        <v>0</v>
      </c>
      <c r="AJ99" s="17">
        <v>0</v>
      </c>
      <c r="AK99" s="17">
        <v>0</v>
      </c>
      <c r="AL99" s="17"/>
      <c r="AM99" s="17"/>
      <c r="AN99" s="17"/>
      <c r="AO99" s="17"/>
      <c r="AP99" s="18">
        <f t="shared" si="1"/>
        <v>818875</v>
      </c>
    </row>
    <row r="100" spans="1:42" ht="24" customHeight="1" x14ac:dyDescent="0.2">
      <c r="A100" s="16" t="s">
        <v>542</v>
      </c>
      <c r="B100" s="16" t="s">
        <v>557</v>
      </c>
      <c r="C100" s="16" t="s">
        <v>354</v>
      </c>
      <c r="D100" s="16" t="s">
        <v>641</v>
      </c>
      <c r="E100" s="17">
        <v>10279</v>
      </c>
      <c r="F100" s="17">
        <v>10968</v>
      </c>
      <c r="G100" s="17">
        <v>11735</v>
      </c>
      <c r="H100" s="17">
        <v>9877</v>
      </c>
      <c r="I100" s="17">
        <v>10515</v>
      </c>
      <c r="J100" s="17">
        <v>8139</v>
      </c>
      <c r="K100" s="17">
        <v>9102</v>
      </c>
      <c r="L100" s="17">
        <v>8071</v>
      </c>
      <c r="M100" s="17">
        <v>6574</v>
      </c>
      <c r="N100" s="17">
        <v>13615</v>
      </c>
      <c r="O100" s="17">
        <v>0</v>
      </c>
      <c r="P100" s="17">
        <v>0</v>
      </c>
      <c r="Q100" s="17">
        <v>0</v>
      </c>
      <c r="R100" s="17">
        <v>0</v>
      </c>
      <c r="S100" s="17">
        <v>0</v>
      </c>
      <c r="T100" s="17">
        <v>0</v>
      </c>
      <c r="U100" s="17">
        <v>0</v>
      </c>
      <c r="V100" s="17">
        <v>0</v>
      </c>
      <c r="W100" s="17">
        <v>0</v>
      </c>
      <c r="X100" s="17">
        <v>0</v>
      </c>
      <c r="Y100" s="17">
        <v>0</v>
      </c>
      <c r="Z100" s="17">
        <v>0</v>
      </c>
      <c r="AA100" s="17">
        <v>0</v>
      </c>
      <c r="AB100" s="17">
        <v>0</v>
      </c>
      <c r="AC100" s="17">
        <v>0</v>
      </c>
      <c r="AD100" s="17">
        <v>0</v>
      </c>
      <c r="AE100" s="17">
        <v>0</v>
      </c>
      <c r="AF100" s="17">
        <v>0</v>
      </c>
      <c r="AG100" s="17">
        <v>0</v>
      </c>
      <c r="AH100" s="17">
        <v>0</v>
      </c>
      <c r="AI100" s="17">
        <v>0</v>
      </c>
      <c r="AJ100" s="17">
        <v>0</v>
      </c>
      <c r="AK100" s="17">
        <v>0</v>
      </c>
      <c r="AL100" s="17"/>
      <c r="AM100" s="17"/>
      <c r="AN100" s="17"/>
      <c r="AO100" s="17"/>
      <c r="AP100" s="18">
        <f t="shared" si="1"/>
        <v>98875</v>
      </c>
    </row>
    <row r="101" spans="1:42" ht="24" customHeight="1" x14ac:dyDescent="0.2">
      <c r="A101" s="16" t="s">
        <v>542</v>
      </c>
      <c r="B101" s="16" t="s">
        <v>557</v>
      </c>
      <c r="C101" s="16" t="s">
        <v>432</v>
      </c>
      <c r="D101" s="16" t="s">
        <v>641</v>
      </c>
      <c r="E101" s="17">
        <v>13327</v>
      </c>
      <c r="F101" s="17">
        <v>15038</v>
      </c>
      <c r="G101" s="17">
        <v>16382</v>
      </c>
      <c r="H101" s="17">
        <v>19022</v>
      </c>
      <c r="I101" s="17">
        <v>17867</v>
      </c>
      <c r="J101" s="17">
        <v>16762</v>
      </c>
      <c r="K101" s="17">
        <v>15466</v>
      </c>
      <c r="L101" s="17">
        <v>15342</v>
      </c>
      <c r="M101" s="17">
        <v>32587</v>
      </c>
      <c r="N101" s="17">
        <v>26601</v>
      </c>
      <c r="O101" s="17">
        <v>0</v>
      </c>
      <c r="P101" s="17">
        <v>0</v>
      </c>
      <c r="Q101" s="17">
        <v>0</v>
      </c>
      <c r="R101" s="17">
        <v>0</v>
      </c>
      <c r="S101" s="17">
        <v>0</v>
      </c>
      <c r="T101" s="17">
        <v>0</v>
      </c>
      <c r="U101" s="17">
        <v>0</v>
      </c>
      <c r="V101" s="17">
        <v>0</v>
      </c>
      <c r="W101" s="17">
        <v>0</v>
      </c>
      <c r="X101" s="17">
        <v>0</v>
      </c>
      <c r="Y101" s="17">
        <v>0</v>
      </c>
      <c r="Z101" s="17">
        <v>0</v>
      </c>
      <c r="AA101" s="17">
        <v>0</v>
      </c>
      <c r="AB101" s="17">
        <v>0</v>
      </c>
      <c r="AC101" s="17">
        <v>0</v>
      </c>
      <c r="AD101" s="17">
        <v>0</v>
      </c>
      <c r="AE101" s="17">
        <v>0</v>
      </c>
      <c r="AF101" s="17">
        <v>0</v>
      </c>
      <c r="AG101" s="17">
        <v>0</v>
      </c>
      <c r="AH101" s="17">
        <v>0</v>
      </c>
      <c r="AI101" s="17">
        <v>0</v>
      </c>
      <c r="AJ101" s="17">
        <v>0</v>
      </c>
      <c r="AK101" s="17">
        <v>0</v>
      </c>
      <c r="AL101" s="17"/>
      <c r="AM101" s="17"/>
      <c r="AN101" s="17"/>
      <c r="AO101" s="17"/>
      <c r="AP101" s="18">
        <f t="shared" si="1"/>
        <v>188394</v>
      </c>
    </row>
    <row r="102" spans="1:42" ht="24" customHeight="1" x14ac:dyDescent="0.2">
      <c r="A102" s="16" t="s">
        <v>542</v>
      </c>
      <c r="B102" s="16" t="s">
        <v>558</v>
      </c>
      <c r="C102" s="16" t="s">
        <v>180</v>
      </c>
      <c r="D102" s="16" t="s">
        <v>641</v>
      </c>
      <c r="E102" s="17">
        <v>1239</v>
      </c>
      <c r="F102" s="17">
        <v>1165</v>
      </c>
      <c r="G102" s="17">
        <v>1067</v>
      </c>
      <c r="H102" s="17">
        <v>955</v>
      </c>
      <c r="I102" s="17">
        <v>840</v>
      </c>
      <c r="J102" s="17">
        <v>0</v>
      </c>
      <c r="K102" s="17">
        <v>0</v>
      </c>
      <c r="L102" s="17">
        <v>0</v>
      </c>
      <c r="M102" s="17">
        <v>0</v>
      </c>
      <c r="N102" s="17">
        <v>0</v>
      </c>
      <c r="O102" s="17">
        <v>0</v>
      </c>
      <c r="P102" s="17">
        <v>0</v>
      </c>
      <c r="Q102" s="17">
        <v>0</v>
      </c>
      <c r="R102" s="17">
        <v>0</v>
      </c>
      <c r="S102" s="17">
        <v>0</v>
      </c>
      <c r="T102" s="17">
        <v>0</v>
      </c>
      <c r="U102" s="17">
        <v>0</v>
      </c>
      <c r="V102" s="17">
        <v>0</v>
      </c>
      <c r="W102" s="17">
        <v>0</v>
      </c>
      <c r="X102" s="17">
        <v>0</v>
      </c>
      <c r="Y102" s="17">
        <v>0</v>
      </c>
      <c r="Z102" s="17">
        <v>0</v>
      </c>
      <c r="AA102" s="17">
        <v>0</v>
      </c>
      <c r="AB102" s="17">
        <v>0</v>
      </c>
      <c r="AC102" s="17">
        <v>0</v>
      </c>
      <c r="AD102" s="17">
        <v>0</v>
      </c>
      <c r="AE102" s="17">
        <v>0</v>
      </c>
      <c r="AF102" s="17">
        <v>0</v>
      </c>
      <c r="AG102" s="17">
        <v>0</v>
      </c>
      <c r="AH102" s="17">
        <v>0</v>
      </c>
      <c r="AI102" s="17">
        <v>0</v>
      </c>
      <c r="AJ102" s="17">
        <v>0</v>
      </c>
      <c r="AK102" s="17">
        <v>0</v>
      </c>
      <c r="AL102" s="17"/>
      <c r="AM102" s="17"/>
      <c r="AN102" s="17"/>
      <c r="AO102" s="17"/>
      <c r="AP102" s="18">
        <f t="shared" si="1"/>
        <v>5266</v>
      </c>
    </row>
    <row r="103" spans="1:42" ht="24" customHeight="1" x14ac:dyDescent="0.2">
      <c r="A103" s="16" t="s">
        <v>542</v>
      </c>
      <c r="B103" s="16" t="s">
        <v>558</v>
      </c>
      <c r="C103" s="16" t="s">
        <v>206</v>
      </c>
      <c r="D103" s="16" t="s">
        <v>641</v>
      </c>
      <c r="E103" s="17">
        <v>1207</v>
      </c>
      <c r="F103" s="17">
        <v>1295</v>
      </c>
      <c r="G103" s="17">
        <v>1306</v>
      </c>
      <c r="H103" s="17">
        <v>1266</v>
      </c>
      <c r="I103" s="17">
        <v>1199</v>
      </c>
      <c r="J103" s="17">
        <v>11281</v>
      </c>
      <c r="K103" s="17">
        <v>0</v>
      </c>
      <c r="L103" s="17">
        <v>0</v>
      </c>
      <c r="M103" s="17">
        <v>0</v>
      </c>
      <c r="N103" s="17">
        <v>0</v>
      </c>
      <c r="O103" s="17">
        <v>0</v>
      </c>
      <c r="P103" s="17">
        <v>0</v>
      </c>
      <c r="Q103" s="17">
        <v>0</v>
      </c>
      <c r="R103" s="17">
        <v>0</v>
      </c>
      <c r="S103" s="17">
        <v>0</v>
      </c>
      <c r="T103" s="17">
        <v>0</v>
      </c>
      <c r="U103" s="17">
        <v>0</v>
      </c>
      <c r="V103" s="17">
        <v>0</v>
      </c>
      <c r="W103" s="17">
        <v>0</v>
      </c>
      <c r="X103" s="17">
        <v>0</v>
      </c>
      <c r="Y103" s="17">
        <v>0</v>
      </c>
      <c r="Z103" s="17">
        <v>0</v>
      </c>
      <c r="AA103" s="17">
        <v>0</v>
      </c>
      <c r="AB103" s="17">
        <v>0</v>
      </c>
      <c r="AC103" s="17">
        <v>0</v>
      </c>
      <c r="AD103" s="17">
        <v>0</v>
      </c>
      <c r="AE103" s="17">
        <v>0</v>
      </c>
      <c r="AF103" s="17">
        <v>0</v>
      </c>
      <c r="AG103" s="17">
        <v>0</v>
      </c>
      <c r="AH103" s="17">
        <v>0</v>
      </c>
      <c r="AI103" s="17">
        <v>0</v>
      </c>
      <c r="AJ103" s="17">
        <v>0</v>
      </c>
      <c r="AK103" s="17">
        <v>0</v>
      </c>
      <c r="AL103" s="17"/>
      <c r="AM103" s="17"/>
      <c r="AN103" s="17"/>
      <c r="AO103" s="17"/>
      <c r="AP103" s="18">
        <f t="shared" si="1"/>
        <v>17554</v>
      </c>
    </row>
    <row r="104" spans="1:42" ht="24" customHeight="1" x14ac:dyDescent="0.2">
      <c r="A104" s="16" t="s">
        <v>542</v>
      </c>
      <c r="B104" s="16" t="s">
        <v>558</v>
      </c>
      <c r="C104" s="16" t="s">
        <v>207</v>
      </c>
      <c r="D104" s="16" t="s">
        <v>641</v>
      </c>
      <c r="E104" s="17">
        <v>666</v>
      </c>
      <c r="F104" s="17">
        <v>804</v>
      </c>
      <c r="G104" s="17">
        <v>10416</v>
      </c>
      <c r="H104" s="17">
        <v>0</v>
      </c>
      <c r="I104" s="17">
        <v>0</v>
      </c>
      <c r="J104" s="17">
        <v>0</v>
      </c>
      <c r="K104" s="17">
        <v>0</v>
      </c>
      <c r="L104" s="17">
        <v>0</v>
      </c>
      <c r="M104" s="17">
        <v>0</v>
      </c>
      <c r="N104" s="17">
        <v>0</v>
      </c>
      <c r="O104" s="17">
        <v>0</v>
      </c>
      <c r="P104" s="17">
        <v>0</v>
      </c>
      <c r="Q104" s="17">
        <v>0</v>
      </c>
      <c r="R104" s="17">
        <v>0</v>
      </c>
      <c r="S104" s="17">
        <v>0</v>
      </c>
      <c r="T104" s="17">
        <v>0</v>
      </c>
      <c r="U104" s="17">
        <v>0</v>
      </c>
      <c r="V104" s="17">
        <v>0</v>
      </c>
      <c r="W104" s="17">
        <v>0</v>
      </c>
      <c r="X104" s="17">
        <v>0</v>
      </c>
      <c r="Y104" s="17">
        <v>0</v>
      </c>
      <c r="Z104" s="17">
        <v>0</v>
      </c>
      <c r="AA104" s="17">
        <v>0</v>
      </c>
      <c r="AB104" s="17">
        <v>0</v>
      </c>
      <c r="AC104" s="17">
        <v>0</v>
      </c>
      <c r="AD104" s="17">
        <v>0</v>
      </c>
      <c r="AE104" s="17">
        <v>0</v>
      </c>
      <c r="AF104" s="17">
        <v>0</v>
      </c>
      <c r="AG104" s="17">
        <v>0</v>
      </c>
      <c r="AH104" s="17">
        <v>0</v>
      </c>
      <c r="AI104" s="17">
        <v>0</v>
      </c>
      <c r="AJ104" s="17">
        <v>0</v>
      </c>
      <c r="AK104" s="17">
        <v>0</v>
      </c>
      <c r="AL104" s="17"/>
      <c r="AM104" s="17"/>
      <c r="AN104" s="17"/>
      <c r="AO104" s="17"/>
      <c r="AP104" s="18">
        <f t="shared" si="1"/>
        <v>11886</v>
      </c>
    </row>
    <row r="105" spans="1:42" ht="24" customHeight="1" x14ac:dyDescent="0.2">
      <c r="A105" s="16" t="s">
        <v>542</v>
      </c>
      <c r="B105" s="16" t="s">
        <v>558</v>
      </c>
      <c r="C105" s="16" t="s">
        <v>208</v>
      </c>
      <c r="D105" s="16" t="s">
        <v>641</v>
      </c>
      <c r="E105" s="17">
        <v>1926</v>
      </c>
      <c r="F105" s="17">
        <v>2071</v>
      </c>
      <c r="G105" s="17">
        <v>2045</v>
      </c>
      <c r="H105" s="17">
        <v>3028</v>
      </c>
      <c r="I105" s="17">
        <v>5431</v>
      </c>
      <c r="J105" s="17">
        <v>11910</v>
      </c>
      <c r="K105" s="17">
        <v>0</v>
      </c>
      <c r="L105" s="17">
        <v>0</v>
      </c>
      <c r="M105" s="17">
        <v>0</v>
      </c>
      <c r="N105" s="17">
        <v>0</v>
      </c>
      <c r="O105" s="17">
        <v>0</v>
      </c>
      <c r="P105" s="17">
        <v>0</v>
      </c>
      <c r="Q105" s="17">
        <v>0</v>
      </c>
      <c r="R105" s="17">
        <v>0</v>
      </c>
      <c r="S105" s="17">
        <v>0</v>
      </c>
      <c r="T105" s="17">
        <v>0</v>
      </c>
      <c r="U105" s="17">
        <v>0</v>
      </c>
      <c r="V105" s="17">
        <v>0</v>
      </c>
      <c r="W105" s="17">
        <v>0</v>
      </c>
      <c r="X105" s="17">
        <v>0</v>
      </c>
      <c r="Y105" s="17">
        <v>0</v>
      </c>
      <c r="Z105" s="17">
        <v>0</v>
      </c>
      <c r="AA105" s="17">
        <v>0</v>
      </c>
      <c r="AB105" s="17">
        <v>0</v>
      </c>
      <c r="AC105" s="17">
        <v>0</v>
      </c>
      <c r="AD105" s="17">
        <v>0</v>
      </c>
      <c r="AE105" s="17">
        <v>0</v>
      </c>
      <c r="AF105" s="17">
        <v>0</v>
      </c>
      <c r="AG105" s="17">
        <v>0</v>
      </c>
      <c r="AH105" s="17">
        <v>0</v>
      </c>
      <c r="AI105" s="17">
        <v>0</v>
      </c>
      <c r="AJ105" s="17">
        <v>0</v>
      </c>
      <c r="AK105" s="17">
        <v>0</v>
      </c>
      <c r="AL105" s="17"/>
      <c r="AM105" s="17"/>
      <c r="AN105" s="17"/>
      <c r="AO105" s="17"/>
      <c r="AP105" s="18">
        <f t="shared" si="1"/>
        <v>26411</v>
      </c>
    </row>
    <row r="106" spans="1:42" ht="24" customHeight="1" x14ac:dyDescent="0.2">
      <c r="A106" s="16" t="s">
        <v>542</v>
      </c>
      <c r="B106" s="16" t="s">
        <v>558</v>
      </c>
      <c r="C106" s="16" t="s">
        <v>209</v>
      </c>
      <c r="D106" s="16" t="s">
        <v>641</v>
      </c>
      <c r="E106" s="17">
        <v>1697</v>
      </c>
      <c r="F106" s="17">
        <v>1687</v>
      </c>
      <c r="G106" s="17">
        <v>1635</v>
      </c>
      <c r="H106" s="17">
        <v>0</v>
      </c>
      <c r="I106" s="17">
        <v>0</v>
      </c>
      <c r="J106" s="17">
        <v>0</v>
      </c>
      <c r="K106" s="17">
        <v>0</v>
      </c>
      <c r="L106" s="17">
        <v>0</v>
      </c>
      <c r="M106" s="17">
        <v>0</v>
      </c>
      <c r="N106" s="17">
        <v>0</v>
      </c>
      <c r="O106" s="17">
        <v>0</v>
      </c>
      <c r="P106" s="17">
        <v>0</v>
      </c>
      <c r="Q106" s="17">
        <v>0</v>
      </c>
      <c r="R106" s="17">
        <v>0</v>
      </c>
      <c r="S106" s="17">
        <v>0</v>
      </c>
      <c r="T106" s="17">
        <v>0</v>
      </c>
      <c r="U106" s="17">
        <v>0</v>
      </c>
      <c r="V106" s="17">
        <v>0</v>
      </c>
      <c r="W106" s="17">
        <v>0</v>
      </c>
      <c r="X106" s="17">
        <v>0</v>
      </c>
      <c r="Y106" s="17">
        <v>0</v>
      </c>
      <c r="Z106" s="17">
        <v>0</v>
      </c>
      <c r="AA106" s="17">
        <v>0</v>
      </c>
      <c r="AB106" s="17">
        <v>0</v>
      </c>
      <c r="AC106" s="17">
        <v>0</v>
      </c>
      <c r="AD106" s="17">
        <v>0</v>
      </c>
      <c r="AE106" s="17">
        <v>0</v>
      </c>
      <c r="AF106" s="17">
        <v>0</v>
      </c>
      <c r="AG106" s="17">
        <v>0</v>
      </c>
      <c r="AH106" s="17">
        <v>0</v>
      </c>
      <c r="AI106" s="17">
        <v>0</v>
      </c>
      <c r="AJ106" s="17">
        <v>0</v>
      </c>
      <c r="AK106" s="17">
        <v>0</v>
      </c>
      <c r="AL106" s="17"/>
      <c r="AM106" s="17"/>
      <c r="AN106" s="17"/>
      <c r="AO106" s="17"/>
      <c r="AP106" s="18">
        <f t="shared" si="1"/>
        <v>5019</v>
      </c>
    </row>
    <row r="107" spans="1:42" ht="24" customHeight="1" x14ac:dyDescent="0.2">
      <c r="A107" s="16" t="s">
        <v>542</v>
      </c>
      <c r="B107" s="16" t="s">
        <v>559</v>
      </c>
      <c r="C107" s="16" t="s">
        <v>258</v>
      </c>
      <c r="D107" s="16" t="s">
        <v>641</v>
      </c>
      <c r="E107" s="17">
        <v>91597</v>
      </c>
      <c r="F107" s="17">
        <v>673786</v>
      </c>
      <c r="G107" s="17">
        <v>1140764</v>
      </c>
      <c r="H107" s="17">
        <v>1384062</v>
      </c>
      <c r="I107" s="17">
        <v>1568529</v>
      </c>
      <c r="J107" s="17">
        <v>1504973</v>
      </c>
      <c r="K107" s="17">
        <v>1349243</v>
      </c>
      <c r="L107" s="17">
        <v>1112700</v>
      </c>
      <c r="M107" s="17">
        <v>929668</v>
      </c>
      <c r="N107" s="17">
        <v>785483</v>
      </c>
      <c r="O107" s="17">
        <v>811080</v>
      </c>
      <c r="P107" s="17">
        <v>804132</v>
      </c>
      <c r="Q107" s="17">
        <v>729199</v>
      </c>
      <c r="R107" s="17">
        <v>727945</v>
      </c>
      <c r="S107" s="17">
        <v>473417</v>
      </c>
      <c r="T107" s="17">
        <v>319032</v>
      </c>
      <c r="U107" s="17">
        <v>219040</v>
      </c>
      <c r="V107" s="17">
        <v>153673</v>
      </c>
      <c r="W107" s="17">
        <v>0</v>
      </c>
      <c r="X107" s="17">
        <v>0</v>
      </c>
      <c r="Y107" s="17">
        <v>0</v>
      </c>
      <c r="Z107" s="17">
        <v>0</v>
      </c>
      <c r="AA107" s="17">
        <v>0</v>
      </c>
      <c r="AB107" s="17">
        <v>0</v>
      </c>
      <c r="AC107" s="17">
        <v>0</v>
      </c>
      <c r="AD107" s="17">
        <v>0</v>
      </c>
      <c r="AE107" s="17">
        <v>0</v>
      </c>
      <c r="AF107" s="17">
        <v>0</v>
      </c>
      <c r="AG107" s="17">
        <v>0</v>
      </c>
      <c r="AH107" s="17">
        <v>0</v>
      </c>
      <c r="AI107" s="17">
        <v>0</v>
      </c>
      <c r="AJ107" s="17">
        <v>0</v>
      </c>
      <c r="AK107" s="17">
        <v>0</v>
      </c>
      <c r="AL107" s="17"/>
      <c r="AM107" s="17"/>
      <c r="AN107" s="17"/>
      <c r="AO107" s="17"/>
      <c r="AP107" s="18">
        <f t="shared" si="1"/>
        <v>14778323</v>
      </c>
    </row>
    <row r="108" spans="1:42" ht="24" customHeight="1" x14ac:dyDescent="0.2">
      <c r="A108" s="16" t="s">
        <v>542</v>
      </c>
      <c r="B108" s="16" t="s">
        <v>560</v>
      </c>
      <c r="C108" s="16" t="s">
        <v>142</v>
      </c>
      <c r="D108" s="16" t="s">
        <v>641</v>
      </c>
      <c r="E108" s="17">
        <v>462</v>
      </c>
      <c r="F108" s="17">
        <v>711</v>
      </c>
      <c r="G108" s="17">
        <v>802</v>
      </c>
      <c r="H108" s="17">
        <v>1015</v>
      </c>
      <c r="I108" s="17">
        <v>19506</v>
      </c>
      <c r="J108" s="17">
        <v>14140</v>
      </c>
      <c r="K108" s="17">
        <v>10304</v>
      </c>
      <c r="L108" s="17">
        <v>7008</v>
      </c>
      <c r="M108" s="17">
        <v>0</v>
      </c>
      <c r="N108" s="17">
        <v>0</v>
      </c>
      <c r="O108" s="17">
        <v>0</v>
      </c>
      <c r="P108" s="17">
        <v>0</v>
      </c>
      <c r="Q108" s="17">
        <v>0</v>
      </c>
      <c r="R108" s="17">
        <v>0</v>
      </c>
      <c r="S108" s="17">
        <v>0</v>
      </c>
      <c r="T108" s="17">
        <v>0</v>
      </c>
      <c r="U108" s="17">
        <v>0</v>
      </c>
      <c r="V108" s="17">
        <v>0</v>
      </c>
      <c r="W108" s="17">
        <v>0</v>
      </c>
      <c r="X108" s="17">
        <v>0</v>
      </c>
      <c r="Y108" s="17">
        <v>0</v>
      </c>
      <c r="Z108" s="17">
        <v>0</v>
      </c>
      <c r="AA108" s="17">
        <v>0</v>
      </c>
      <c r="AB108" s="17">
        <v>0</v>
      </c>
      <c r="AC108" s="17">
        <v>0</v>
      </c>
      <c r="AD108" s="17">
        <v>0</v>
      </c>
      <c r="AE108" s="17">
        <v>0</v>
      </c>
      <c r="AF108" s="17">
        <v>0</v>
      </c>
      <c r="AG108" s="17">
        <v>0</v>
      </c>
      <c r="AH108" s="17">
        <v>0</v>
      </c>
      <c r="AI108" s="17">
        <v>0</v>
      </c>
      <c r="AJ108" s="17">
        <v>0</v>
      </c>
      <c r="AK108" s="17">
        <v>0</v>
      </c>
      <c r="AL108" s="17"/>
      <c r="AM108" s="17"/>
      <c r="AN108" s="17"/>
      <c r="AO108" s="17"/>
      <c r="AP108" s="18">
        <f t="shared" si="1"/>
        <v>53948</v>
      </c>
    </row>
    <row r="109" spans="1:42" ht="24" customHeight="1" x14ac:dyDescent="0.2">
      <c r="A109" s="16" t="s">
        <v>542</v>
      </c>
      <c r="B109" s="16" t="s">
        <v>560</v>
      </c>
      <c r="C109" s="16" t="s">
        <v>177</v>
      </c>
      <c r="D109" s="16" t="s">
        <v>641</v>
      </c>
      <c r="E109" s="17">
        <v>1557</v>
      </c>
      <c r="F109" s="17">
        <v>4457</v>
      </c>
      <c r="G109" s="17">
        <v>7422</v>
      </c>
      <c r="H109" s="17">
        <v>7586</v>
      </c>
      <c r="I109" s="17">
        <v>6199</v>
      </c>
      <c r="J109" s="17">
        <v>5166</v>
      </c>
      <c r="K109" s="17">
        <v>22080</v>
      </c>
      <c r="L109" s="17">
        <v>0</v>
      </c>
      <c r="M109" s="17">
        <v>0</v>
      </c>
      <c r="N109" s="17">
        <v>0</v>
      </c>
      <c r="O109" s="17">
        <v>0</v>
      </c>
      <c r="P109" s="17">
        <v>0</v>
      </c>
      <c r="Q109" s="17">
        <v>0</v>
      </c>
      <c r="R109" s="17">
        <v>0</v>
      </c>
      <c r="S109" s="17">
        <v>0</v>
      </c>
      <c r="T109" s="17">
        <v>0</v>
      </c>
      <c r="U109" s="17">
        <v>0</v>
      </c>
      <c r="V109" s="17">
        <v>0</v>
      </c>
      <c r="W109" s="17">
        <v>0</v>
      </c>
      <c r="X109" s="17">
        <v>0</v>
      </c>
      <c r="Y109" s="17">
        <v>0</v>
      </c>
      <c r="Z109" s="17">
        <v>0</v>
      </c>
      <c r="AA109" s="17">
        <v>0</v>
      </c>
      <c r="AB109" s="17">
        <v>0</v>
      </c>
      <c r="AC109" s="17">
        <v>0</v>
      </c>
      <c r="AD109" s="17">
        <v>0</v>
      </c>
      <c r="AE109" s="17">
        <v>0</v>
      </c>
      <c r="AF109" s="17">
        <v>0</v>
      </c>
      <c r="AG109" s="17">
        <v>0</v>
      </c>
      <c r="AH109" s="17">
        <v>0</v>
      </c>
      <c r="AI109" s="17">
        <v>0</v>
      </c>
      <c r="AJ109" s="17">
        <v>0</v>
      </c>
      <c r="AK109" s="17">
        <v>0</v>
      </c>
      <c r="AL109" s="17"/>
      <c r="AM109" s="17"/>
      <c r="AN109" s="17"/>
      <c r="AO109" s="17"/>
      <c r="AP109" s="18">
        <f t="shared" si="1"/>
        <v>54467</v>
      </c>
    </row>
    <row r="110" spans="1:42" ht="24" customHeight="1" x14ac:dyDescent="0.2">
      <c r="A110" s="16" t="s">
        <v>542</v>
      </c>
      <c r="B110" s="16" t="s">
        <v>560</v>
      </c>
      <c r="C110" s="16" t="s">
        <v>311</v>
      </c>
      <c r="D110" s="16" t="s">
        <v>641</v>
      </c>
      <c r="E110" s="17">
        <v>334</v>
      </c>
      <c r="F110" s="17">
        <v>457</v>
      </c>
      <c r="G110" s="17">
        <v>457</v>
      </c>
      <c r="H110" s="17">
        <v>405</v>
      </c>
      <c r="I110" s="17">
        <v>336</v>
      </c>
      <c r="J110" s="17">
        <v>0</v>
      </c>
      <c r="K110" s="17">
        <v>0</v>
      </c>
      <c r="L110" s="17">
        <v>0</v>
      </c>
      <c r="M110" s="17">
        <v>0</v>
      </c>
      <c r="N110" s="17">
        <v>0</v>
      </c>
      <c r="O110" s="17">
        <v>0</v>
      </c>
      <c r="P110" s="17">
        <v>0</v>
      </c>
      <c r="Q110" s="17">
        <v>0</v>
      </c>
      <c r="R110" s="17">
        <v>0</v>
      </c>
      <c r="S110" s="17">
        <v>0</v>
      </c>
      <c r="T110" s="17">
        <v>0</v>
      </c>
      <c r="U110" s="17">
        <v>0</v>
      </c>
      <c r="V110" s="17">
        <v>0</v>
      </c>
      <c r="W110" s="17">
        <v>0</v>
      </c>
      <c r="X110" s="17">
        <v>0</v>
      </c>
      <c r="Y110" s="17">
        <v>0</v>
      </c>
      <c r="Z110" s="17">
        <v>0</v>
      </c>
      <c r="AA110" s="17">
        <v>0</v>
      </c>
      <c r="AB110" s="17">
        <v>0</v>
      </c>
      <c r="AC110" s="17">
        <v>0</v>
      </c>
      <c r="AD110" s="17">
        <v>0</v>
      </c>
      <c r="AE110" s="17">
        <v>0</v>
      </c>
      <c r="AF110" s="17">
        <v>0</v>
      </c>
      <c r="AG110" s="17">
        <v>0</v>
      </c>
      <c r="AH110" s="17">
        <v>0</v>
      </c>
      <c r="AI110" s="17">
        <v>0</v>
      </c>
      <c r="AJ110" s="17">
        <v>0</v>
      </c>
      <c r="AK110" s="17">
        <v>0</v>
      </c>
      <c r="AL110" s="17"/>
      <c r="AM110" s="17"/>
      <c r="AN110" s="17"/>
      <c r="AO110" s="17"/>
      <c r="AP110" s="18">
        <f t="shared" si="1"/>
        <v>1989</v>
      </c>
    </row>
    <row r="111" spans="1:42" ht="24" customHeight="1" x14ac:dyDescent="0.2">
      <c r="A111" s="16" t="s">
        <v>542</v>
      </c>
      <c r="B111" s="16" t="s">
        <v>560</v>
      </c>
      <c r="C111" s="16" t="s">
        <v>383</v>
      </c>
      <c r="D111" s="16" t="s">
        <v>641</v>
      </c>
      <c r="E111" s="17">
        <v>28</v>
      </c>
      <c r="F111" s="17">
        <v>40</v>
      </c>
      <c r="G111" s="17">
        <v>47</v>
      </c>
      <c r="H111" s="17">
        <v>48</v>
      </c>
      <c r="I111" s="17">
        <v>48</v>
      </c>
      <c r="J111" s="17">
        <v>3203</v>
      </c>
      <c r="K111" s="17">
        <v>4343</v>
      </c>
      <c r="L111" s="17">
        <v>3393</v>
      </c>
      <c r="M111" s="17">
        <v>2655</v>
      </c>
      <c r="N111" s="17">
        <v>0</v>
      </c>
      <c r="O111" s="17">
        <v>0</v>
      </c>
      <c r="P111" s="17">
        <v>0</v>
      </c>
      <c r="Q111" s="17">
        <v>0</v>
      </c>
      <c r="R111" s="17">
        <v>0</v>
      </c>
      <c r="S111" s="17">
        <v>0</v>
      </c>
      <c r="T111" s="17">
        <v>0</v>
      </c>
      <c r="U111" s="17">
        <v>0</v>
      </c>
      <c r="V111" s="17">
        <v>0</v>
      </c>
      <c r="W111" s="17">
        <v>0</v>
      </c>
      <c r="X111" s="17">
        <v>0</v>
      </c>
      <c r="Y111" s="17">
        <v>0</v>
      </c>
      <c r="Z111" s="17">
        <v>0</v>
      </c>
      <c r="AA111" s="17">
        <v>0</v>
      </c>
      <c r="AB111" s="17">
        <v>0</v>
      </c>
      <c r="AC111" s="17">
        <v>0</v>
      </c>
      <c r="AD111" s="17">
        <v>0</v>
      </c>
      <c r="AE111" s="17">
        <v>0</v>
      </c>
      <c r="AF111" s="17">
        <v>0</v>
      </c>
      <c r="AG111" s="17">
        <v>0</v>
      </c>
      <c r="AH111" s="17">
        <v>0</v>
      </c>
      <c r="AI111" s="17">
        <v>0</v>
      </c>
      <c r="AJ111" s="17">
        <v>0</v>
      </c>
      <c r="AK111" s="17">
        <v>0</v>
      </c>
      <c r="AL111" s="17"/>
      <c r="AM111" s="17"/>
      <c r="AN111" s="17"/>
      <c r="AO111" s="17"/>
      <c r="AP111" s="18">
        <f t="shared" si="1"/>
        <v>13805</v>
      </c>
    </row>
    <row r="112" spans="1:42" ht="24" customHeight="1" x14ac:dyDescent="0.2">
      <c r="A112" s="16" t="s">
        <v>542</v>
      </c>
      <c r="B112" s="16" t="s">
        <v>560</v>
      </c>
      <c r="C112" s="16" t="s">
        <v>433</v>
      </c>
      <c r="D112" s="16" t="s">
        <v>641</v>
      </c>
      <c r="E112" s="17">
        <v>4414</v>
      </c>
      <c r="F112" s="17">
        <v>219373</v>
      </c>
      <c r="G112" s="17">
        <v>292252</v>
      </c>
      <c r="H112" s="17">
        <v>206388</v>
      </c>
      <c r="I112" s="17">
        <v>147231</v>
      </c>
      <c r="J112" s="17">
        <v>105693</v>
      </c>
      <c r="K112" s="17">
        <v>79563</v>
      </c>
      <c r="L112" s="17">
        <v>60410</v>
      </c>
      <c r="M112" s="17">
        <v>48726</v>
      </c>
      <c r="N112" s="17">
        <v>34748</v>
      </c>
      <c r="O112" s="17">
        <v>24768</v>
      </c>
      <c r="P112" s="17">
        <v>19430</v>
      </c>
      <c r="Q112" s="17">
        <v>15768</v>
      </c>
      <c r="R112" s="17">
        <v>40199</v>
      </c>
      <c r="S112" s="17">
        <v>35227</v>
      </c>
      <c r="T112" s="17">
        <v>29266</v>
      </c>
      <c r="U112" s="17">
        <v>25069</v>
      </c>
      <c r="V112" s="17">
        <v>0</v>
      </c>
      <c r="W112" s="17">
        <v>0</v>
      </c>
      <c r="X112" s="17">
        <v>0</v>
      </c>
      <c r="Y112" s="17">
        <v>0</v>
      </c>
      <c r="Z112" s="17">
        <v>0</v>
      </c>
      <c r="AA112" s="17">
        <v>0</v>
      </c>
      <c r="AB112" s="17">
        <v>0</v>
      </c>
      <c r="AC112" s="17">
        <v>0</v>
      </c>
      <c r="AD112" s="17">
        <v>0</v>
      </c>
      <c r="AE112" s="17">
        <v>0</v>
      </c>
      <c r="AF112" s="17">
        <v>0</v>
      </c>
      <c r="AG112" s="17">
        <v>0</v>
      </c>
      <c r="AH112" s="17">
        <v>0</v>
      </c>
      <c r="AI112" s="17">
        <v>0</v>
      </c>
      <c r="AJ112" s="17">
        <v>0</v>
      </c>
      <c r="AK112" s="17">
        <v>0</v>
      </c>
      <c r="AL112" s="17"/>
      <c r="AM112" s="17"/>
      <c r="AN112" s="17"/>
      <c r="AO112" s="17"/>
      <c r="AP112" s="18">
        <f t="shared" si="1"/>
        <v>1388525</v>
      </c>
    </row>
    <row r="113" spans="1:42" ht="24" customHeight="1" x14ac:dyDescent="0.2">
      <c r="A113" s="16" t="s">
        <v>542</v>
      </c>
      <c r="B113" s="16" t="s">
        <v>561</v>
      </c>
      <c r="C113" s="16" t="s">
        <v>173</v>
      </c>
      <c r="D113" s="16" t="s">
        <v>641</v>
      </c>
      <c r="E113" s="17">
        <v>578</v>
      </c>
      <c r="F113" s="17">
        <v>4250</v>
      </c>
      <c r="G113" s="17">
        <v>5433</v>
      </c>
      <c r="H113" s="17">
        <v>6200</v>
      </c>
      <c r="I113" s="17">
        <v>6088</v>
      </c>
      <c r="J113" s="17">
        <v>2824</v>
      </c>
      <c r="K113" s="17">
        <v>9469</v>
      </c>
      <c r="L113" s="17">
        <v>0</v>
      </c>
      <c r="M113" s="17">
        <v>0</v>
      </c>
      <c r="N113" s="17">
        <v>0</v>
      </c>
      <c r="O113" s="17">
        <v>0</v>
      </c>
      <c r="P113" s="17">
        <v>0</v>
      </c>
      <c r="Q113" s="17">
        <v>0</v>
      </c>
      <c r="R113" s="17">
        <v>0</v>
      </c>
      <c r="S113" s="17">
        <v>0</v>
      </c>
      <c r="T113" s="17">
        <v>0</v>
      </c>
      <c r="U113" s="17">
        <v>0</v>
      </c>
      <c r="V113" s="17">
        <v>0</v>
      </c>
      <c r="W113" s="17">
        <v>0</v>
      </c>
      <c r="X113" s="17">
        <v>0</v>
      </c>
      <c r="Y113" s="17">
        <v>0</v>
      </c>
      <c r="Z113" s="17">
        <v>0</v>
      </c>
      <c r="AA113" s="17">
        <v>0</v>
      </c>
      <c r="AB113" s="17">
        <v>0</v>
      </c>
      <c r="AC113" s="17">
        <v>0</v>
      </c>
      <c r="AD113" s="17">
        <v>0</v>
      </c>
      <c r="AE113" s="17">
        <v>0</v>
      </c>
      <c r="AF113" s="17">
        <v>0</v>
      </c>
      <c r="AG113" s="17">
        <v>0</v>
      </c>
      <c r="AH113" s="17">
        <v>0</v>
      </c>
      <c r="AI113" s="17">
        <v>0</v>
      </c>
      <c r="AJ113" s="17">
        <v>0</v>
      </c>
      <c r="AK113" s="17">
        <v>0</v>
      </c>
      <c r="AL113" s="17"/>
      <c r="AM113" s="17"/>
      <c r="AN113" s="17"/>
      <c r="AO113" s="17"/>
      <c r="AP113" s="18">
        <f t="shared" si="1"/>
        <v>34842</v>
      </c>
    </row>
    <row r="114" spans="1:42" ht="24" customHeight="1" x14ac:dyDescent="0.2">
      <c r="A114" s="16" t="s">
        <v>542</v>
      </c>
      <c r="B114" s="16" t="s">
        <v>561</v>
      </c>
      <c r="C114" s="16" t="s">
        <v>189</v>
      </c>
      <c r="D114" s="16" t="s">
        <v>641</v>
      </c>
      <c r="E114" s="17">
        <v>2158</v>
      </c>
      <c r="F114" s="17">
        <v>2371</v>
      </c>
      <c r="G114" s="17">
        <v>3388</v>
      </c>
      <c r="H114" s="17">
        <v>3450</v>
      </c>
      <c r="I114" s="17">
        <v>2191</v>
      </c>
      <c r="J114" s="17">
        <v>2243</v>
      </c>
      <c r="K114" s="17">
        <v>477</v>
      </c>
      <c r="L114" s="17">
        <v>0</v>
      </c>
      <c r="M114" s="17">
        <v>0</v>
      </c>
      <c r="N114" s="17">
        <v>0</v>
      </c>
      <c r="O114" s="17">
        <v>0</v>
      </c>
      <c r="P114" s="17">
        <v>0</v>
      </c>
      <c r="Q114" s="17">
        <v>0</v>
      </c>
      <c r="R114" s="17">
        <v>0</v>
      </c>
      <c r="S114" s="17">
        <v>0</v>
      </c>
      <c r="T114" s="17">
        <v>0</v>
      </c>
      <c r="U114" s="17">
        <v>0</v>
      </c>
      <c r="V114" s="17">
        <v>0</v>
      </c>
      <c r="W114" s="17">
        <v>0</v>
      </c>
      <c r="X114" s="17">
        <v>0</v>
      </c>
      <c r="Y114" s="17">
        <v>0</v>
      </c>
      <c r="Z114" s="17">
        <v>0</v>
      </c>
      <c r="AA114" s="17">
        <v>0</v>
      </c>
      <c r="AB114" s="17">
        <v>0</v>
      </c>
      <c r="AC114" s="17">
        <v>0</v>
      </c>
      <c r="AD114" s="17">
        <v>0</v>
      </c>
      <c r="AE114" s="17">
        <v>0</v>
      </c>
      <c r="AF114" s="17">
        <v>0</v>
      </c>
      <c r="AG114" s="17">
        <v>0</v>
      </c>
      <c r="AH114" s="17">
        <v>0</v>
      </c>
      <c r="AI114" s="17">
        <v>0</v>
      </c>
      <c r="AJ114" s="17">
        <v>0</v>
      </c>
      <c r="AK114" s="17">
        <v>0</v>
      </c>
      <c r="AL114" s="17"/>
      <c r="AM114" s="17"/>
      <c r="AN114" s="17"/>
      <c r="AO114" s="17"/>
      <c r="AP114" s="18">
        <f t="shared" si="1"/>
        <v>16278</v>
      </c>
    </row>
    <row r="115" spans="1:42" ht="24" customHeight="1" x14ac:dyDescent="0.2">
      <c r="A115" s="16" t="s">
        <v>542</v>
      </c>
      <c r="B115" s="16" t="s">
        <v>561</v>
      </c>
      <c r="C115" s="16" t="s">
        <v>203</v>
      </c>
      <c r="D115" s="16" t="s">
        <v>641</v>
      </c>
      <c r="E115" s="17">
        <v>26007</v>
      </c>
      <c r="F115" s="17">
        <v>145528</v>
      </c>
      <c r="G115" s="17">
        <v>441835</v>
      </c>
      <c r="H115" s="17">
        <v>787352</v>
      </c>
      <c r="I115" s="17">
        <v>1523936</v>
      </c>
      <c r="J115" s="17">
        <v>1853859</v>
      </c>
      <c r="K115" s="17">
        <v>1292094</v>
      </c>
      <c r="L115" s="17">
        <v>883259</v>
      </c>
      <c r="M115" s="17">
        <v>580758</v>
      </c>
      <c r="N115" s="17">
        <v>387013</v>
      </c>
      <c r="O115" s="17">
        <v>275811</v>
      </c>
      <c r="P115" s="17">
        <v>184778</v>
      </c>
      <c r="Q115" s="17">
        <v>139652</v>
      </c>
      <c r="R115" s="17">
        <v>121632</v>
      </c>
      <c r="S115" s="17">
        <v>0</v>
      </c>
      <c r="T115" s="17">
        <v>0</v>
      </c>
      <c r="U115" s="17">
        <v>0</v>
      </c>
      <c r="V115" s="17">
        <v>0</v>
      </c>
      <c r="W115" s="17">
        <v>0</v>
      </c>
      <c r="X115" s="17">
        <v>0</v>
      </c>
      <c r="Y115" s="17">
        <v>0</v>
      </c>
      <c r="Z115" s="17">
        <v>0</v>
      </c>
      <c r="AA115" s="17">
        <v>0</v>
      </c>
      <c r="AB115" s="17">
        <v>0</v>
      </c>
      <c r="AC115" s="17">
        <v>0</v>
      </c>
      <c r="AD115" s="17">
        <v>0</v>
      </c>
      <c r="AE115" s="17">
        <v>0</v>
      </c>
      <c r="AF115" s="17">
        <v>0</v>
      </c>
      <c r="AG115" s="17">
        <v>0</v>
      </c>
      <c r="AH115" s="17">
        <v>0</v>
      </c>
      <c r="AI115" s="17">
        <v>0</v>
      </c>
      <c r="AJ115" s="17">
        <v>0</v>
      </c>
      <c r="AK115" s="17">
        <v>0</v>
      </c>
      <c r="AL115" s="17"/>
      <c r="AM115" s="17"/>
      <c r="AN115" s="17"/>
      <c r="AO115" s="17"/>
      <c r="AP115" s="18">
        <f t="shared" si="1"/>
        <v>8643514</v>
      </c>
    </row>
    <row r="116" spans="1:42" ht="24" customHeight="1" x14ac:dyDescent="0.2">
      <c r="A116" s="16" t="s">
        <v>542</v>
      </c>
      <c r="B116" s="16" t="s">
        <v>561</v>
      </c>
      <c r="C116" s="16" t="s">
        <v>351</v>
      </c>
      <c r="D116" s="16" t="s">
        <v>641</v>
      </c>
      <c r="E116" s="17">
        <v>1726</v>
      </c>
      <c r="F116" s="17">
        <v>2609</v>
      </c>
      <c r="G116" s="17">
        <v>29769</v>
      </c>
      <c r="H116" s="17">
        <v>41404</v>
      </c>
      <c r="I116" s="17">
        <v>31202</v>
      </c>
      <c r="J116" s="17">
        <v>23623</v>
      </c>
      <c r="K116" s="17">
        <v>18101</v>
      </c>
      <c r="L116" s="17">
        <v>13977</v>
      </c>
      <c r="M116" s="17">
        <v>10465</v>
      </c>
      <c r="N116" s="17">
        <v>7742</v>
      </c>
      <c r="O116" s="17">
        <v>6887</v>
      </c>
      <c r="P116" s="17">
        <v>4587</v>
      </c>
      <c r="Q116" s="17">
        <v>3680</v>
      </c>
      <c r="R116" s="17">
        <v>2935</v>
      </c>
      <c r="S116" s="17">
        <v>0</v>
      </c>
      <c r="T116" s="17">
        <v>0</v>
      </c>
      <c r="U116" s="17">
        <v>0</v>
      </c>
      <c r="V116" s="17">
        <v>0</v>
      </c>
      <c r="W116" s="17">
        <v>0</v>
      </c>
      <c r="X116" s="17">
        <v>0</v>
      </c>
      <c r="Y116" s="17">
        <v>0</v>
      </c>
      <c r="Z116" s="17">
        <v>0</v>
      </c>
      <c r="AA116" s="17">
        <v>0</v>
      </c>
      <c r="AB116" s="17">
        <v>0</v>
      </c>
      <c r="AC116" s="17">
        <v>0</v>
      </c>
      <c r="AD116" s="17">
        <v>0</v>
      </c>
      <c r="AE116" s="17">
        <v>0</v>
      </c>
      <c r="AF116" s="17">
        <v>0</v>
      </c>
      <c r="AG116" s="17">
        <v>0</v>
      </c>
      <c r="AH116" s="17">
        <v>0</v>
      </c>
      <c r="AI116" s="17">
        <v>0</v>
      </c>
      <c r="AJ116" s="17">
        <v>0</v>
      </c>
      <c r="AK116" s="17">
        <v>0</v>
      </c>
      <c r="AL116" s="17"/>
      <c r="AM116" s="17"/>
      <c r="AN116" s="17"/>
      <c r="AO116" s="17"/>
      <c r="AP116" s="18">
        <f t="shared" si="1"/>
        <v>198707</v>
      </c>
    </row>
    <row r="117" spans="1:42" ht="24" customHeight="1" x14ac:dyDescent="0.2">
      <c r="A117" s="16" t="s">
        <v>542</v>
      </c>
      <c r="B117" s="16" t="s">
        <v>561</v>
      </c>
      <c r="C117" s="16" t="s">
        <v>402</v>
      </c>
      <c r="D117" s="16" t="s">
        <v>641</v>
      </c>
      <c r="E117" s="17">
        <v>889</v>
      </c>
      <c r="F117" s="17">
        <v>1473</v>
      </c>
      <c r="G117" s="17">
        <v>1827</v>
      </c>
      <c r="H117" s="17">
        <v>2014</v>
      </c>
      <c r="I117" s="17">
        <v>2084</v>
      </c>
      <c r="J117" s="17">
        <v>2062</v>
      </c>
      <c r="K117" s="17">
        <v>1987</v>
      </c>
      <c r="L117" s="17">
        <v>1877</v>
      </c>
      <c r="M117" s="17">
        <v>1752</v>
      </c>
      <c r="N117" s="17">
        <v>1953</v>
      </c>
      <c r="O117" s="17">
        <v>3002</v>
      </c>
      <c r="P117" s="17">
        <v>2552</v>
      </c>
      <c r="Q117" s="17">
        <v>2175</v>
      </c>
      <c r="R117" s="17">
        <v>0</v>
      </c>
      <c r="S117" s="17">
        <v>0</v>
      </c>
      <c r="T117" s="17">
        <v>0</v>
      </c>
      <c r="U117" s="17">
        <v>0</v>
      </c>
      <c r="V117" s="17">
        <v>0</v>
      </c>
      <c r="W117" s="17">
        <v>0</v>
      </c>
      <c r="X117" s="17">
        <v>0</v>
      </c>
      <c r="Y117" s="17">
        <v>0</v>
      </c>
      <c r="Z117" s="17">
        <v>0</v>
      </c>
      <c r="AA117" s="17">
        <v>0</v>
      </c>
      <c r="AB117" s="17">
        <v>0</v>
      </c>
      <c r="AC117" s="17">
        <v>0</v>
      </c>
      <c r="AD117" s="17">
        <v>0</v>
      </c>
      <c r="AE117" s="17">
        <v>0</v>
      </c>
      <c r="AF117" s="17">
        <v>0</v>
      </c>
      <c r="AG117" s="17">
        <v>0</v>
      </c>
      <c r="AH117" s="17">
        <v>0</v>
      </c>
      <c r="AI117" s="17">
        <v>0</v>
      </c>
      <c r="AJ117" s="17">
        <v>0</v>
      </c>
      <c r="AK117" s="17">
        <v>0</v>
      </c>
      <c r="AL117" s="17"/>
      <c r="AM117" s="17"/>
      <c r="AN117" s="17"/>
      <c r="AO117" s="17"/>
      <c r="AP117" s="18">
        <f t="shared" si="1"/>
        <v>25647</v>
      </c>
    </row>
    <row r="118" spans="1:42" ht="24" customHeight="1" x14ac:dyDescent="0.2">
      <c r="A118" s="16" t="s">
        <v>542</v>
      </c>
      <c r="B118" s="16" t="s">
        <v>438</v>
      </c>
      <c r="C118" s="16" t="s">
        <v>159</v>
      </c>
      <c r="D118" s="16" t="s">
        <v>641</v>
      </c>
      <c r="E118" s="17">
        <v>16833</v>
      </c>
      <c r="F118" s="17">
        <v>21756</v>
      </c>
      <c r="G118" s="17">
        <v>22172</v>
      </c>
      <c r="H118" s="17">
        <v>20382</v>
      </c>
      <c r="I118" s="17">
        <v>19738</v>
      </c>
      <c r="J118" s="17">
        <v>17756</v>
      </c>
      <c r="K118" s="17">
        <v>16135</v>
      </c>
      <c r="L118" s="17">
        <v>19018</v>
      </c>
      <c r="M118" s="17">
        <v>0</v>
      </c>
      <c r="N118" s="17">
        <v>0</v>
      </c>
      <c r="O118" s="17">
        <v>0</v>
      </c>
      <c r="P118" s="17">
        <v>0</v>
      </c>
      <c r="Q118" s="17">
        <v>0</v>
      </c>
      <c r="R118" s="17">
        <v>0</v>
      </c>
      <c r="S118" s="17">
        <v>0</v>
      </c>
      <c r="T118" s="17">
        <v>0</v>
      </c>
      <c r="U118" s="17">
        <v>0</v>
      </c>
      <c r="V118" s="17">
        <v>0</v>
      </c>
      <c r="W118" s="17">
        <v>0</v>
      </c>
      <c r="X118" s="17">
        <v>0</v>
      </c>
      <c r="Y118" s="17">
        <v>0</v>
      </c>
      <c r="Z118" s="17">
        <v>0</v>
      </c>
      <c r="AA118" s="17">
        <v>0</v>
      </c>
      <c r="AB118" s="17">
        <v>0</v>
      </c>
      <c r="AC118" s="17">
        <v>0</v>
      </c>
      <c r="AD118" s="17">
        <v>0</v>
      </c>
      <c r="AE118" s="17">
        <v>0</v>
      </c>
      <c r="AF118" s="17">
        <v>0</v>
      </c>
      <c r="AG118" s="17">
        <v>0</v>
      </c>
      <c r="AH118" s="17">
        <v>0</v>
      </c>
      <c r="AI118" s="17">
        <v>0</v>
      </c>
      <c r="AJ118" s="17">
        <v>0</v>
      </c>
      <c r="AK118" s="17">
        <v>0</v>
      </c>
      <c r="AL118" s="17"/>
      <c r="AM118" s="17"/>
      <c r="AN118" s="17"/>
      <c r="AO118" s="17"/>
      <c r="AP118" s="18">
        <f t="shared" si="1"/>
        <v>153790</v>
      </c>
    </row>
    <row r="119" spans="1:42" ht="24" customHeight="1" x14ac:dyDescent="0.2">
      <c r="A119" s="16" t="s">
        <v>542</v>
      </c>
      <c r="B119" s="16" t="s">
        <v>438</v>
      </c>
      <c r="C119" s="16" t="s">
        <v>187</v>
      </c>
      <c r="D119" s="16" t="s">
        <v>641</v>
      </c>
      <c r="E119" s="17">
        <v>91511</v>
      </c>
      <c r="F119" s="17">
        <v>115718</v>
      </c>
      <c r="G119" s="17">
        <v>116492</v>
      </c>
      <c r="H119" s="17">
        <v>107831</v>
      </c>
      <c r="I119" s="17">
        <v>166885</v>
      </c>
      <c r="J119" s="17">
        <v>265309</v>
      </c>
      <c r="K119" s="17">
        <v>283560</v>
      </c>
      <c r="L119" s="17">
        <v>218845</v>
      </c>
      <c r="M119" s="17">
        <v>149491</v>
      </c>
      <c r="N119" s="17">
        <v>0</v>
      </c>
      <c r="O119" s="17">
        <v>0</v>
      </c>
      <c r="P119" s="17">
        <v>0</v>
      </c>
      <c r="Q119" s="17">
        <v>0</v>
      </c>
      <c r="R119" s="17">
        <v>0</v>
      </c>
      <c r="S119" s="17">
        <v>0</v>
      </c>
      <c r="T119" s="17">
        <v>0</v>
      </c>
      <c r="U119" s="17">
        <v>0</v>
      </c>
      <c r="V119" s="17">
        <v>0</v>
      </c>
      <c r="W119" s="17">
        <v>0</v>
      </c>
      <c r="X119" s="17">
        <v>0</v>
      </c>
      <c r="Y119" s="17">
        <v>0</v>
      </c>
      <c r="Z119" s="17">
        <v>0</v>
      </c>
      <c r="AA119" s="17">
        <v>0</v>
      </c>
      <c r="AB119" s="17">
        <v>0</v>
      </c>
      <c r="AC119" s="17">
        <v>0</v>
      </c>
      <c r="AD119" s="17">
        <v>0</v>
      </c>
      <c r="AE119" s="17">
        <v>0</v>
      </c>
      <c r="AF119" s="17">
        <v>0</v>
      </c>
      <c r="AG119" s="17">
        <v>0</v>
      </c>
      <c r="AH119" s="17">
        <v>0</v>
      </c>
      <c r="AI119" s="17">
        <v>0</v>
      </c>
      <c r="AJ119" s="17">
        <v>0</v>
      </c>
      <c r="AK119" s="17">
        <v>0</v>
      </c>
      <c r="AL119" s="17"/>
      <c r="AM119" s="17"/>
      <c r="AN119" s="17"/>
      <c r="AO119" s="17"/>
      <c r="AP119" s="18">
        <f t="shared" si="1"/>
        <v>1515642</v>
      </c>
    </row>
    <row r="120" spans="1:42" ht="24" customHeight="1" x14ac:dyDescent="0.2">
      <c r="A120" s="16" t="s">
        <v>542</v>
      </c>
      <c r="B120" s="16" t="s">
        <v>438</v>
      </c>
      <c r="C120" s="16" t="s">
        <v>431</v>
      </c>
      <c r="D120" s="16" t="s">
        <v>641</v>
      </c>
      <c r="E120" s="17">
        <v>83866</v>
      </c>
      <c r="F120" s="17">
        <v>382304</v>
      </c>
      <c r="G120" s="17">
        <v>589796</v>
      </c>
      <c r="H120" s="17">
        <v>498850</v>
      </c>
      <c r="I120" s="17">
        <v>387113</v>
      </c>
      <c r="J120" s="17">
        <v>291621</v>
      </c>
      <c r="K120" s="17">
        <v>223242</v>
      </c>
      <c r="L120" s="17">
        <v>170176</v>
      </c>
      <c r="M120" s="17">
        <v>129638</v>
      </c>
      <c r="N120" s="17">
        <v>119172</v>
      </c>
      <c r="O120" s="17">
        <v>89605</v>
      </c>
      <c r="P120" s="17">
        <v>64824</v>
      </c>
      <c r="Q120" s="17">
        <v>0</v>
      </c>
      <c r="R120" s="17">
        <v>0</v>
      </c>
      <c r="S120" s="17">
        <v>0</v>
      </c>
      <c r="T120" s="17">
        <v>0</v>
      </c>
      <c r="U120" s="17">
        <v>0</v>
      </c>
      <c r="V120" s="17">
        <v>0</v>
      </c>
      <c r="W120" s="17">
        <v>0</v>
      </c>
      <c r="X120" s="17">
        <v>0</v>
      </c>
      <c r="Y120" s="17">
        <v>0</v>
      </c>
      <c r="Z120" s="17">
        <v>0</v>
      </c>
      <c r="AA120" s="17">
        <v>0</v>
      </c>
      <c r="AB120" s="17">
        <v>0</v>
      </c>
      <c r="AC120" s="17">
        <v>0</v>
      </c>
      <c r="AD120" s="17">
        <v>0</v>
      </c>
      <c r="AE120" s="17">
        <v>0</v>
      </c>
      <c r="AF120" s="17">
        <v>0</v>
      </c>
      <c r="AG120" s="17">
        <v>0</v>
      </c>
      <c r="AH120" s="17">
        <v>0</v>
      </c>
      <c r="AI120" s="17">
        <v>0</v>
      </c>
      <c r="AJ120" s="17">
        <v>0</v>
      </c>
      <c r="AK120" s="17">
        <v>0</v>
      </c>
      <c r="AL120" s="17"/>
      <c r="AM120" s="17"/>
      <c r="AN120" s="17"/>
      <c r="AO120" s="17"/>
      <c r="AP120" s="18">
        <f t="shared" si="1"/>
        <v>3030207</v>
      </c>
    </row>
    <row r="121" spans="1:42" ht="24" customHeight="1" x14ac:dyDescent="0.2">
      <c r="A121" s="16" t="s">
        <v>542</v>
      </c>
      <c r="B121" s="16" t="s">
        <v>382</v>
      </c>
      <c r="C121" s="16" t="s">
        <v>190</v>
      </c>
      <c r="D121" s="16" t="s">
        <v>641</v>
      </c>
      <c r="E121" s="17">
        <v>639</v>
      </c>
      <c r="F121" s="17">
        <v>8254</v>
      </c>
      <c r="G121" s="17">
        <v>18275</v>
      </c>
      <c r="H121" s="17">
        <v>23687</v>
      </c>
      <c r="I121" s="17">
        <v>35360</v>
      </c>
      <c r="J121" s="17">
        <v>84302</v>
      </c>
      <c r="K121" s="17">
        <v>86470</v>
      </c>
      <c r="L121" s="17">
        <v>83848</v>
      </c>
      <c r="M121" s="17">
        <v>103645</v>
      </c>
      <c r="N121" s="17">
        <v>103678</v>
      </c>
      <c r="O121" s="17">
        <v>71135</v>
      </c>
      <c r="P121" s="17">
        <v>46061</v>
      </c>
      <c r="Q121" s="17">
        <v>22687</v>
      </c>
      <c r="R121" s="17">
        <v>0</v>
      </c>
      <c r="S121" s="17">
        <v>0</v>
      </c>
      <c r="T121" s="17">
        <v>0</v>
      </c>
      <c r="U121" s="17">
        <v>0</v>
      </c>
      <c r="V121" s="17">
        <v>0</v>
      </c>
      <c r="W121" s="17">
        <v>0</v>
      </c>
      <c r="X121" s="17">
        <v>0</v>
      </c>
      <c r="Y121" s="17">
        <v>0</v>
      </c>
      <c r="Z121" s="17">
        <v>0</v>
      </c>
      <c r="AA121" s="17">
        <v>0</v>
      </c>
      <c r="AB121" s="17">
        <v>0</v>
      </c>
      <c r="AC121" s="17">
        <v>0</v>
      </c>
      <c r="AD121" s="17">
        <v>0</v>
      </c>
      <c r="AE121" s="17">
        <v>0</v>
      </c>
      <c r="AF121" s="17">
        <v>0</v>
      </c>
      <c r="AG121" s="17">
        <v>0</v>
      </c>
      <c r="AH121" s="17">
        <v>0</v>
      </c>
      <c r="AI121" s="17">
        <v>0</v>
      </c>
      <c r="AJ121" s="17">
        <v>0</v>
      </c>
      <c r="AK121" s="17">
        <v>0</v>
      </c>
      <c r="AL121" s="17"/>
      <c r="AM121" s="17"/>
      <c r="AN121" s="17"/>
      <c r="AO121" s="17"/>
      <c r="AP121" s="18">
        <f t="shared" si="1"/>
        <v>688041</v>
      </c>
    </row>
    <row r="122" spans="1:42" ht="24" customHeight="1" x14ac:dyDescent="0.2">
      <c r="A122" s="16" t="s">
        <v>542</v>
      </c>
      <c r="B122" s="16" t="s">
        <v>382</v>
      </c>
      <c r="C122" s="16" t="s">
        <v>382</v>
      </c>
      <c r="D122" s="16" t="s">
        <v>641</v>
      </c>
      <c r="E122" s="17">
        <v>17516</v>
      </c>
      <c r="F122" s="17">
        <v>121120</v>
      </c>
      <c r="G122" s="17">
        <v>269554</v>
      </c>
      <c r="H122" s="17">
        <v>313385</v>
      </c>
      <c r="I122" s="17">
        <v>292054</v>
      </c>
      <c r="J122" s="17">
        <v>257172</v>
      </c>
      <c r="K122" s="17">
        <v>195935</v>
      </c>
      <c r="L122" s="17">
        <v>144161</v>
      </c>
      <c r="M122" s="17">
        <v>100729</v>
      </c>
      <c r="N122" s="17">
        <v>57220</v>
      </c>
      <c r="O122" s="17">
        <v>52607</v>
      </c>
      <c r="P122" s="17">
        <v>0</v>
      </c>
      <c r="Q122" s="17">
        <v>0</v>
      </c>
      <c r="R122" s="17">
        <v>0</v>
      </c>
      <c r="S122" s="17">
        <v>0</v>
      </c>
      <c r="T122" s="17">
        <v>0</v>
      </c>
      <c r="U122" s="17">
        <v>0</v>
      </c>
      <c r="V122" s="17">
        <v>0</v>
      </c>
      <c r="W122" s="17">
        <v>0</v>
      </c>
      <c r="X122" s="17">
        <v>0</v>
      </c>
      <c r="Y122" s="17">
        <v>0</v>
      </c>
      <c r="Z122" s="17">
        <v>0</v>
      </c>
      <c r="AA122" s="17">
        <v>0</v>
      </c>
      <c r="AB122" s="17">
        <v>0</v>
      </c>
      <c r="AC122" s="17">
        <v>0</v>
      </c>
      <c r="AD122" s="17">
        <v>0</v>
      </c>
      <c r="AE122" s="17">
        <v>0</v>
      </c>
      <c r="AF122" s="17">
        <v>0</v>
      </c>
      <c r="AG122" s="17">
        <v>0</v>
      </c>
      <c r="AH122" s="17">
        <v>0</v>
      </c>
      <c r="AI122" s="17">
        <v>0</v>
      </c>
      <c r="AJ122" s="17">
        <v>0</v>
      </c>
      <c r="AK122" s="17">
        <v>0</v>
      </c>
      <c r="AL122" s="17"/>
      <c r="AM122" s="17"/>
      <c r="AN122" s="17"/>
      <c r="AO122" s="17"/>
      <c r="AP122" s="18">
        <f t="shared" si="1"/>
        <v>1821453</v>
      </c>
    </row>
    <row r="123" spans="1:42" ht="24" customHeight="1" x14ac:dyDescent="0.2">
      <c r="A123" s="16" t="s">
        <v>542</v>
      </c>
      <c r="B123" s="16" t="s">
        <v>382</v>
      </c>
      <c r="C123" s="16" t="s">
        <v>392</v>
      </c>
      <c r="D123" s="16" t="s">
        <v>641</v>
      </c>
      <c r="E123" s="17">
        <v>0</v>
      </c>
      <c r="F123" s="17">
        <v>1644</v>
      </c>
      <c r="G123" s="17">
        <v>43980</v>
      </c>
      <c r="H123" s="17">
        <v>64330</v>
      </c>
      <c r="I123" s="17">
        <v>66757</v>
      </c>
      <c r="J123" s="17">
        <v>74722</v>
      </c>
      <c r="K123" s="17">
        <v>77514</v>
      </c>
      <c r="L123" s="17">
        <v>86442</v>
      </c>
      <c r="M123" s="17">
        <v>69107</v>
      </c>
      <c r="N123" s="17">
        <v>43460</v>
      </c>
      <c r="O123" s="17">
        <v>31495</v>
      </c>
      <c r="P123" s="17">
        <v>23274</v>
      </c>
      <c r="Q123" s="17">
        <v>14013</v>
      </c>
      <c r="R123" s="17">
        <v>0</v>
      </c>
      <c r="S123" s="17">
        <v>0</v>
      </c>
      <c r="T123" s="17">
        <v>0</v>
      </c>
      <c r="U123" s="17">
        <v>0</v>
      </c>
      <c r="V123" s="17">
        <v>0</v>
      </c>
      <c r="W123" s="17">
        <v>0</v>
      </c>
      <c r="X123" s="17">
        <v>0</v>
      </c>
      <c r="Y123" s="17">
        <v>0</v>
      </c>
      <c r="Z123" s="17">
        <v>0</v>
      </c>
      <c r="AA123" s="17">
        <v>0</v>
      </c>
      <c r="AB123" s="17">
        <v>0</v>
      </c>
      <c r="AC123" s="17">
        <v>0</v>
      </c>
      <c r="AD123" s="17">
        <v>0</v>
      </c>
      <c r="AE123" s="17">
        <v>0</v>
      </c>
      <c r="AF123" s="17">
        <v>0</v>
      </c>
      <c r="AG123" s="17">
        <v>0</v>
      </c>
      <c r="AH123" s="17">
        <v>0</v>
      </c>
      <c r="AI123" s="17">
        <v>0</v>
      </c>
      <c r="AJ123" s="17">
        <v>0</v>
      </c>
      <c r="AK123" s="17">
        <v>0</v>
      </c>
      <c r="AL123" s="17"/>
      <c r="AM123" s="17"/>
      <c r="AN123" s="17"/>
      <c r="AO123" s="17"/>
      <c r="AP123" s="18">
        <f t="shared" si="1"/>
        <v>596738</v>
      </c>
    </row>
    <row r="124" spans="1:42" ht="15" customHeight="1" x14ac:dyDescent="0.2">
      <c r="A124" s="16" t="s">
        <v>562</v>
      </c>
      <c r="B124" s="16" t="s">
        <v>563</v>
      </c>
      <c r="C124" s="16" t="s">
        <v>196</v>
      </c>
      <c r="D124" s="16" t="s">
        <v>641</v>
      </c>
      <c r="E124" s="17">
        <v>220454.0822</v>
      </c>
      <c r="F124" s="17">
        <v>344931.86810000002</v>
      </c>
      <c r="G124" s="17">
        <v>256930.8818</v>
      </c>
      <c r="H124" s="17">
        <v>198511.6863</v>
      </c>
      <c r="I124" s="17">
        <v>157862.75030000001</v>
      </c>
      <c r="J124" s="17">
        <v>128482.82859999999</v>
      </c>
      <c r="K124" s="17">
        <v>106577.2499</v>
      </c>
      <c r="L124" s="17">
        <v>89817.636700000003</v>
      </c>
      <c r="M124" s="17">
        <v>76713.7016</v>
      </c>
      <c r="N124" s="17">
        <v>66276.760899999994</v>
      </c>
      <c r="O124" s="17">
        <v>57830.455300000001</v>
      </c>
      <c r="P124" s="17">
        <v>54867.24</v>
      </c>
      <c r="Q124" s="17">
        <v>41175.163200000003</v>
      </c>
      <c r="R124" s="17">
        <v>40309.1613</v>
      </c>
      <c r="S124" s="17">
        <v>36211.663500000002</v>
      </c>
      <c r="T124" s="17">
        <v>32708.1633</v>
      </c>
      <c r="U124" s="17">
        <v>29689.2402</v>
      </c>
      <c r="V124" s="17">
        <v>27069.538799999998</v>
      </c>
      <c r="W124" s="17">
        <v>17000</v>
      </c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8">
        <f t="shared" si="1"/>
        <v>1983420.0719999999</v>
      </c>
    </row>
    <row r="125" spans="1:42" ht="15" customHeight="1" x14ac:dyDescent="0.2">
      <c r="A125" s="16" t="s">
        <v>562</v>
      </c>
      <c r="B125" s="16" t="s">
        <v>563</v>
      </c>
      <c r="C125" s="16" t="s">
        <v>249</v>
      </c>
      <c r="D125" s="16" t="s">
        <v>641</v>
      </c>
      <c r="E125" s="17">
        <v>172213.5246</v>
      </c>
      <c r="F125" s="17">
        <v>178476.20619999999</v>
      </c>
      <c r="G125" s="17">
        <v>98615.3177</v>
      </c>
      <c r="H125" s="17">
        <v>66083.634699999995</v>
      </c>
      <c r="I125" s="17">
        <v>55570.033799999997</v>
      </c>
      <c r="J125" s="17">
        <v>44893.746099999997</v>
      </c>
      <c r="K125" s="17">
        <v>40283.754999999997</v>
      </c>
      <c r="L125" s="17">
        <v>25637.420699999999</v>
      </c>
      <c r="M125" s="17">
        <v>21576.095399999998</v>
      </c>
      <c r="N125" s="17">
        <v>12580.438099999999</v>
      </c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8">
        <f t="shared" si="1"/>
        <v>715930.17230000009</v>
      </c>
    </row>
    <row r="126" spans="1:42" ht="15" customHeight="1" x14ac:dyDescent="0.2">
      <c r="A126" s="16" t="s">
        <v>562</v>
      </c>
      <c r="B126" s="16" t="s">
        <v>563</v>
      </c>
      <c r="C126" s="16" t="s">
        <v>265</v>
      </c>
      <c r="D126" s="16" t="s">
        <v>641</v>
      </c>
      <c r="E126" s="17">
        <v>28547.554899999999</v>
      </c>
      <c r="F126" s="17">
        <v>754783.86919999996</v>
      </c>
      <c r="G126" s="17">
        <v>908195.11780000001</v>
      </c>
      <c r="H126" s="17">
        <v>567934.33909999998</v>
      </c>
      <c r="I126" s="17">
        <v>402784.19459999999</v>
      </c>
      <c r="J126" s="17">
        <v>326058.17</v>
      </c>
      <c r="K126" s="17">
        <v>240075.03630000001</v>
      </c>
      <c r="L126" s="17">
        <v>199071.71040000001</v>
      </c>
      <c r="M126" s="17">
        <v>169159.20319999999</v>
      </c>
      <c r="N126" s="17">
        <v>146469.59080000001</v>
      </c>
      <c r="O126" s="17">
        <v>133960.7683</v>
      </c>
      <c r="P126" s="17">
        <v>114048.984</v>
      </c>
      <c r="Q126" s="17">
        <v>110551.50810000001</v>
      </c>
      <c r="R126" s="17">
        <v>84766.750199999995</v>
      </c>
      <c r="S126" s="17">
        <v>84739.036699999997</v>
      </c>
      <c r="T126" s="17">
        <v>88206.058199999999</v>
      </c>
      <c r="U126" s="17">
        <v>81413.372099999993</v>
      </c>
      <c r="V126" s="17">
        <v>76405</v>
      </c>
      <c r="W126" s="17">
        <v>47350</v>
      </c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8">
        <f t="shared" si="1"/>
        <v>4564520.2639000006</v>
      </c>
    </row>
    <row r="127" spans="1:42" ht="15" customHeight="1" x14ac:dyDescent="0.2">
      <c r="A127" s="16" t="s">
        <v>562</v>
      </c>
      <c r="B127" s="16" t="s">
        <v>563</v>
      </c>
      <c r="C127" s="16" t="s">
        <v>266</v>
      </c>
      <c r="D127" s="16" t="s">
        <v>641</v>
      </c>
      <c r="E127" s="17">
        <v>1798092.5961</v>
      </c>
      <c r="F127" s="17">
        <v>3599307.2614000002</v>
      </c>
      <c r="G127" s="17">
        <v>3843161.5576999998</v>
      </c>
      <c r="H127" s="17">
        <v>3152948.8933999999</v>
      </c>
      <c r="I127" s="17">
        <v>2632901.6483</v>
      </c>
      <c r="J127" s="17">
        <v>2269786.0339000002</v>
      </c>
      <c r="K127" s="17">
        <v>2076290.088</v>
      </c>
      <c r="L127" s="17">
        <v>1799984.3329</v>
      </c>
      <c r="M127" s="17">
        <v>1638446.3914000001</v>
      </c>
      <c r="N127" s="17">
        <v>1514643.4985</v>
      </c>
      <c r="O127" s="17">
        <v>1392864.9153</v>
      </c>
      <c r="P127" s="17">
        <v>1357449.1206</v>
      </c>
      <c r="Q127" s="17">
        <v>1253506.4187</v>
      </c>
      <c r="R127" s="17">
        <v>1127212.7827999999</v>
      </c>
      <c r="S127" s="17">
        <v>1082672.0989999999</v>
      </c>
      <c r="T127" s="17">
        <v>1019519.8025</v>
      </c>
      <c r="U127" s="17">
        <v>971350.91319999995</v>
      </c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8">
        <f t="shared" si="1"/>
        <v>32530138.353699993</v>
      </c>
    </row>
    <row r="128" spans="1:42" ht="15" customHeight="1" x14ac:dyDescent="0.2">
      <c r="A128" s="16" t="s">
        <v>562</v>
      </c>
      <c r="B128" s="16" t="s">
        <v>563</v>
      </c>
      <c r="C128" s="16" t="s">
        <v>401</v>
      </c>
      <c r="D128" s="16" t="s">
        <v>641</v>
      </c>
      <c r="E128" s="17">
        <v>1294350.3430999999</v>
      </c>
      <c r="F128" s="17">
        <v>2516902.8424999998</v>
      </c>
      <c r="G128" s="17">
        <v>2587079.7551000002</v>
      </c>
      <c r="H128" s="17">
        <v>2084864.9531</v>
      </c>
      <c r="I128" s="17">
        <v>1776630.7455</v>
      </c>
      <c r="J128" s="17">
        <v>1528843.6869999999</v>
      </c>
      <c r="K128" s="17">
        <v>1417134.1107999999</v>
      </c>
      <c r="L128" s="17">
        <v>1243569.5593999999</v>
      </c>
      <c r="M128" s="17">
        <v>1156885.4188000001</v>
      </c>
      <c r="N128" s="17">
        <v>1080022.7825</v>
      </c>
      <c r="O128" s="17">
        <v>1010332.8903</v>
      </c>
      <c r="P128" s="17">
        <v>934783.29729999998</v>
      </c>
      <c r="Q128" s="17">
        <v>864959.61340000003</v>
      </c>
      <c r="R128" s="17">
        <v>839982.37860000005</v>
      </c>
      <c r="S128" s="17">
        <v>831232.18030000001</v>
      </c>
      <c r="T128" s="17">
        <v>906390.57499999995</v>
      </c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8">
        <f t="shared" si="1"/>
        <v>22073965.1327</v>
      </c>
    </row>
    <row r="129" spans="1:42" ht="15" customHeight="1" x14ac:dyDescent="0.2">
      <c r="A129" s="16" t="s">
        <v>562</v>
      </c>
      <c r="B129" s="16" t="s">
        <v>563</v>
      </c>
      <c r="C129" s="16" t="s">
        <v>415</v>
      </c>
      <c r="D129" s="16" t="s">
        <v>641</v>
      </c>
      <c r="E129" s="17">
        <v>238852.32509999999</v>
      </c>
      <c r="F129" s="17">
        <v>367428.3897</v>
      </c>
      <c r="G129" s="17">
        <v>272600.72730000003</v>
      </c>
      <c r="H129" s="17">
        <v>219677.4185</v>
      </c>
      <c r="I129" s="17">
        <v>168297.829</v>
      </c>
      <c r="J129" s="17">
        <v>139209.7248</v>
      </c>
      <c r="K129" s="17">
        <v>117491.1403</v>
      </c>
      <c r="L129" s="17">
        <v>106103.137</v>
      </c>
      <c r="M129" s="17">
        <v>116336.0907</v>
      </c>
      <c r="N129" s="17">
        <v>85849.657500000001</v>
      </c>
      <c r="O129" s="17">
        <v>59855.93</v>
      </c>
      <c r="P129" s="17">
        <v>35244.205300000001</v>
      </c>
      <c r="Q129" s="17">
        <v>25477.116099999999</v>
      </c>
      <c r="R129" s="17">
        <v>25021.088400000001</v>
      </c>
      <c r="S129" s="17">
        <v>22543.4048</v>
      </c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8">
        <f t="shared" si="1"/>
        <v>1999988.1845</v>
      </c>
    </row>
    <row r="130" spans="1:42" ht="24" customHeight="1" x14ac:dyDescent="0.2">
      <c r="A130" s="16" t="s">
        <v>564</v>
      </c>
      <c r="B130" s="16" t="s">
        <v>565</v>
      </c>
      <c r="C130" s="16" t="s">
        <v>214</v>
      </c>
      <c r="D130" s="16" t="s">
        <v>641</v>
      </c>
      <c r="E130" s="17">
        <v>362261.36339999997</v>
      </c>
      <c r="F130" s="17">
        <v>716518.78689999995</v>
      </c>
      <c r="G130" s="17">
        <v>882896.03469999996</v>
      </c>
      <c r="H130" s="17">
        <v>1264480.2080999999</v>
      </c>
      <c r="I130" s="17">
        <v>1171745.798</v>
      </c>
      <c r="J130" s="17">
        <v>857355.82409999997</v>
      </c>
      <c r="K130" s="17">
        <v>592537.0196</v>
      </c>
      <c r="L130" s="17">
        <v>429514.24229999998</v>
      </c>
      <c r="M130" s="17">
        <v>391760.83750000002</v>
      </c>
      <c r="N130" s="17">
        <v>87433.728900000002</v>
      </c>
      <c r="O130" s="17">
        <v>0</v>
      </c>
      <c r="P130" s="17">
        <v>0</v>
      </c>
      <c r="Q130" s="17">
        <v>0</v>
      </c>
      <c r="R130" s="17">
        <v>0</v>
      </c>
      <c r="S130" s="17">
        <v>0</v>
      </c>
      <c r="T130" s="17">
        <v>0</v>
      </c>
      <c r="U130" s="17">
        <v>0</v>
      </c>
      <c r="V130" s="17">
        <v>0</v>
      </c>
      <c r="W130" s="17">
        <v>0</v>
      </c>
      <c r="X130" s="17">
        <v>0</v>
      </c>
      <c r="Y130" s="17">
        <v>0</v>
      </c>
      <c r="Z130" s="17">
        <v>0</v>
      </c>
      <c r="AA130" s="17">
        <v>0</v>
      </c>
      <c r="AB130" s="17">
        <v>0</v>
      </c>
      <c r="AC130" s="17">
        <v>0</v>
      </c>
      <c r="AD130" s="17">
        <v>0</v>
      </c>
      <c r="AE130" s="17">
        <v>0</v>
      </c>
      <c r="AF130" s="17">
        <v>0</v>
      </c>
      <c r="AG130" s="17">
        <v>0</v>
      </c>
      <c r="AH130" s="17">
        <v>0</v>
      </c>
      <c r="AI130" s="17">
        <v>0</v>
      </c>
      <c r="AJ130" s="17">
        <v>0</v>
      </c>
      <c r="AK130" s="17">
        <v>0</v>
      </c>
      <c r="AL130" s="17">
        <v>0</v>
      </c>
      <c r="AM130" s="17">
        <v>0</v>
      </c>
      <c r="AN130" s="17">
        <v>0</v>
      </c>
      <c r="AO130" s="17">
        <v>0</v>
      </c>
      <c r="AP130" s="18">
        <f t="shared" ref="AP130:AP193" si="2">SUM(E130:AO130)</f>
        <v>6756503.8435000004</v>
      </c>
    </row>
    <row r="131" spans="1:42" ht="24" customHeight="1" x14ac:dyDescent="0.2">
      <c r="A131" s="16" t="s">
        <v>564</v>
      </c>
      <c r="B131" s="16" t="s">
        <v>565</v>
      </c>
      <c r="C131" s="16" t="s">
        <v>317</v>
      </c>
      <c r="D131" s="16" t="s">
        <v>641</v>
      </c>
      <c r="E131" s="17">
        <v>52611.3776</v>
      </c>
      <c r="F131" s="17">
        <v>127928.64230000001</v>
      </c>
      <c r="G131" s="17">
        <v>137819.61060000001</v>
      </c>
      <c r="H131" s="17">
        <v>137220.0944</v>
      </c>
      <c r="I131" s="17">
        <v>156409.23540000001</v>
      </c>
      <c r="J131" s="17">
        <v>168775.5411</v>
      </c>
      <c r="K131" s="17">
        <v>161165.86410000001</v>
      </c>
      <c r="L131" s="17">
        <v>150587.94899999999</v>
      </c>
      <c r="M131" s="17">
        <v>141257.86790000001</v>
      </c>
      <c r="N131" s="17">
        <v>142358.20300000001</v>
      </c>
      <c r="O131" s="17">
        <v>139340.72870000001</v>
      </c>
      <c r="P131" s="17">
        <v>125447.694</v>
      </c>
      <c r="Q131" s="17">
        <v>134769.26130000001</v>
      </c>
      <c r="R131" s="17">
        <v>79842.479500000001</v>
      </c>
      <c r="S131" s="17">
        <v>0</v>
      </c>
      <c r="T131" s="17">
        <v>0</v>
      </c>
      <c r="U131" s="17">
        <v>0</v>
      </c>
      <c r="V131" s="17">
        <v>0</v>
      </c>
      <c r="W131" s="17">
        <v>0</v>
      </c>
      <c r="X131" s="17">
        <v>0</v>
      </c>
      <c r="Y131" s="17">
        <v>0</v>
      </c>
      <c r="Z131" s="17">
        <v>0</v>
      </c>
      <c r="AA131" s="17">
        <v>0</v>
      </c>
      <c r="AB131" s="17">
        <v>0</v>
      </c>
      <c r="AC131" s="17">
        <v>0</v>
      </c>
      <c r="AD131" s="17">
        <v>0</v>
      </c>
      <c r="AE131" s="17">
        <v>0</v>
      </c>
      <c r="AF131" s="17">
        <v>0</v>
      </c>
      <c r="AG131" s="17">
        <v>0</v>
      </c>
      <c r="AH131" s="17">
        <v>0</v>
      </c>
      <c r="AI131" s="17">
        <v>0</v>
      </c>
      <c r="AJ131" s="17">
        <v>0</v>
      </c>
      <c r="AK131" s="17">
        <v>0</v>
      </c>
      <c r="AL131" s="17">
        <v>0</v>
      </c>
      <c r="AM131" s="17">
        <v>0</v>
      </c>
      <c r="AN131" s="17">
        <v>0</v>
      </c>
      <c r="AO131" s="17">
        <v>0</v>
      </c>
      <c r="AP131" s="18">
        <f t="shared" si="2"/>
        <v>1855534.5488999998</v>
      </c>
    </row>
    <row r="132" spans="1:42" ht="24" customHeight="1" x14ac:dyDescent="0.2">
      <c r="A132" s="16" t="s">
        <v>564</v>
      </c>
      <c r="B132" s="16" t="s">
        <v>257</v>
      </c>
      <c r="C132" s="16" t="s">
        <v>257</v>
      </c>
      <c r="D132" s="16" t="s">
        <v>641</v>
      </c>
      <c r="E132" s="17">
        <v>6184.4058999999997</v>
      </c>
      <c r="F132" s="17">
        <v>9301.9413000000004</v>
      </c>
      <c r="G132" s="17">
        <v>11196.328</v>
      </c>
      <c r="H132" s="17">
        <v>12308.659299999999</v>
      </c>
      <c r="I132" s="17">
        <v>12950.152700000001</v>
      </c>
      <c r="J132" s="17">
        <v>36501.338400000001</v>
      </c>
      <c r="K132" s="17">
        <v>49280.800000000003</v>
      </c>
      <c r="L132" s="17">
        <v>45162.504699999998</v>
      </c>
      <c r="M132" s="17">
        <v>41688.137499999997</v>
      </c>
      <c r="N132" s="17">
        <v>0</v>
      </c>
      <c r="O132" s="17">
        <v>0</v>
      </c>
      <c r="P132" s="17">
        <v>0</v>
      </c>
      <c r="Q132" s="17">
        <v>0</v>
      </c>
      <c r="R132" s="17">
        <v>0</v>
      </c>
      <c r="S132" s="17">
        <v>0</v>
      </c>
      <c r="T132" s="17">
        <v>0</v>
      </c>
      <c r="U132" s="17">
        <v>0</v>
      </c>
      <c r="V132" s="17">
        <v>0</v>
      </c>
      <c r="W132" s="17">
        <v>0</v>
      </c>
      <c r="X132" s="17">
        <v>0</v>
      </c>
      <c r="Y132" s="17">
        <v>0</v>
      </c>
      <c r="Z132" s="17">
        <v>0</v>
      </c>
      <c r="AA132" s="17">
        <v>0</v>
      </c>
      <c r="AB132" s="17">
        <v>0</v>
      </c>
      <c r="AC132" s="17">
        <v>0</v>
      </c>
      <c r="AD132" s="17">
        <v>0</v>
      </c>
      <c r="AE132" s="17">
        <v>0</v>
      </c>
      <c r="AF132" s="17">
        <v>0</v>
      </c>
      <c r="AG132" s="17">
        <v>0</v>
      </c>
      <c r="AH132" s="17">
        <v>0</v>
      </c>
      <c r="AI132" s="17">
        <v>0</v>
      </c>
      <c r="AJ132" s="17">
        <v>0</v>
      </c>
      <c r="AK132" s="17">
        <v>0</v>
      </c>
      <c r="AL132" s="17">
        <v>0</v>
      </c>
      <c r="AM132" s="17">
        <v>0</v>
      </c>
      <c r="AN132" s="17">
        <v>0</v>
      </c>
      <c r="AO132" s="17">
        <v>0</v>
      </c>
      <c r="AP132" s="18">
        <f t="shared" si="2"/>
        <v>224574.26779999997</v>
      </c>
    </row>
    <row r="133" spans="1:42" ht="24" customHeight="1" x14ac:dyDescent="0.2">
      <c r="A133" s="16" t="s">
        <v>564</v>
      </c>
      <c r="B133" s="16" t="s">
        <v>257</v>
      </c>
      <c r="C133" s="16" t="s">
        <v>271</v>
      </c>
      <c r="D133" s="16" t="s">
        <v>641</v>
      </c>
      <c r="E133" s="17">
        <v>3432.1397000000002</v>
      </c>
      <c r="F133" s="17">
        <v>8164.1061</v>
      </c>
      <c r="G133" s="17">
        <v>5286.5261</v>
      </c>
      <c r="H133" s="17">
        <v>5943.3077000000003</v>
      </c>
      <c r="I133" s="17">
        <v>6397.8563999999997</v>
      </c>
      <c r="J133" s="17">
        <v>6665.7662</v>
      </c>
      <c r="K133" s="17">
        <v>2234.7111</v>
      </c>
      <c r="L133" s="17">
        <v>0</v>
      </c>
      <c r="M133" s="17">
        <v>0</v>
      </c>
      <c r="N133" s="17">
        <v>0</v>
      </c>
      <c r="O133" s="17">
        <v>0</v>
      </c>
      <c r="P133" s="17">
        <v>0</v>
      </c>
      <c r="Q133" s="17">
        <v>0</v>
      </c>
      <c r="R133" s="17">
        <v>0</v>
      </c>
      <c r="S133" s="17">
        <v>0</v>
      </c>
      <c r="T133" s="17">
        <v>0</v>
      </c>
      <c r="U133" s="17">
        <v>0</v>
      </c>
      <c r="V133" s="17">
        <v>0</v>
      </c>
      <c r="W133" s="17">
        <v>0</v>
      </c>
      <c r="X133" s="17">
        <v>0</v>
      </c>
      <c r="Y133" s="17">
        <v>0</v>
      </c>
      <c r="Z133" s="17">
        <v>0</v>
      </c>
      <c r="AA133" s="17">
        <v>0</v>
      </c>
      <c r="AB133" s="17">
        <v>0</v>
      </c>
      <c r="AC133" s="17">
        <v>0</v>
      </c>
      <c r="AD133" s="17">
        <v>0</v>
      </c>
      <c r="AE133" s="17">
        <v>0</v>
      </c>
      <c r="AF133" s="17">
        <v>0</v>
      </c>
      <c r="AG133" s="17">
        <v>0</v>
      </c>
      <c r="AH133" s="17">
        <v>0</v>
      </c>
      <c r="AI133" s="17">
        <v>0</v>
      </c>
      <c r="AJ133" s="17">
        <v>0</v>
      </c>
      <c r="AK133" s="17">
        <v>0</v>
      </c>
      <c r="AL133" s="17">
        <v>0</v>
      </c>
      <c r="AM133" s="17">
        <v>0</v>
      </c>
      <c r="AN133" s="17">
        <v>0</v>
      </c>
      <c r="AO133" s="17">
        <v>0</v>
      </c>
      <c r="AP133" s="18">
        <f t="shared" si="2"/>
        <v>38124.4133</v>
      </c>
    </row>
    <row r="134" spans="1:42" ht="24" customHeight="1" x14ac:dyDescent="0.2">
      <c r="A134" s="16" t="s">
        <v>564</v>
      </c>
      <c r="B134" s="16" t="s">
        <v>566</v>
      </c>
      <c r="C134" s="16" t="s">
        <v>202</v>
      </c>
      <c r="D134" s="16" t="s">
        <v>641</v>
      </c>
      <c r="E134" s="17">
        <v>641.79949999999997</v>
      </c>
      <c r="F134" s="17">
        <v>1509.6036999999999</v>
      </c>
      <c r="G134" s="17">
        <v>2226.6120999999998</v>
      </c>
      <c r="H134" s="17">
        <v>2810.0113000000001</v>
      </c>
      <c r="I134" s="17">
        <v>3285.9263999999998</v>
      </c>
      <c r="J134" s="17">
        <v>3642.0239000000001</v>
      </c>
      <c r="K134" s="17">
        <v>3918.8852000000002</v>
      </c>
      <c r="L134" s="17">
        <v>4120.7097999999996</v>
      </c>
      <c r="M134" s="17">
        <v>5156.3409000000001</v>
      </c>
      <c r="N134" s="17">
        <v>5724.7467999999999</v>
      </c>
      <c r="O134" s="17">
        <v>15321.2829</v>
      </c>
      <c r="P134" s="17">
        <v>0</v>
      </c>
      <c r="Q134" s="17">
        <v>0</v>
      </c>
      <c r="R134" s="17">
        <v>0</v>
      </c>
      <c r="S134" s="17">
        <v>0</v>
      </c>
      <c r="T134" s="17">
        <v>0</v>
      </c>
      <c r="U134" s="17">
        <v>0</v>
      </c>
      <c r="V134" s="17">
        <v>0</v>
      </c>
      <c r="W134" s="17">
        <v>0</v>
      </c>
      <c r="X134" s="17">
        <v>0</v>
      </c>
      <c r="Y134" s="17">
        <v>0</v>
      </c>
      <c r="Z134" s="17">
        <v>0</v>
      </c>
      <c r="AA134" s="17">
        <v>0</v>
      </c>
      <c r="AB134" s="17">
        <v>0</v>
      </c>
      <c r="AC134" s="17">
        <v>0</v>
      </c>
      <c r="AD134" s="17">
        <v>0</v>
      </c>
      <c r="AE134" s="17">
        <v>0</v>
      </c>
      <c r="AF134" s="17">
        <v>0</v>
      </c>
      <c r="AG134" s="17">
        <v>0</v>
      </c>
      <c r="AH134" s="17">
        <v>0</v>
      </c>
      <c r="AI134" s="17">
        <v>0</v>
      </c>
      <c r="AJ134" s="17">
        <v>0</v>
      </c>
      <c r="AK134" s="17">
        <v>0</v>
      </c>
      <c r="AL134" s="17">
        <v>0</v>
      </c>
      <c r="AM134" s="17">
        <v>0</v>
      </c>
      <c r="AN134" s="17">
        <v>0</v>
      </c>
      <c r="AO134" s="17">
        <v>0</v>
      </c>
      <c r="AP134" s="18">
        <f t="shared" si="2"/>
        <v>48357.942499999997</v>
      </c>
    </row>
    <row r="135" spans="1:42" ht="24" customHeight="1" x14ac:dyDescent="0.2">
      <c r="A135" s="16" t="s">
        <v>564</v>
      </c>
      <c r="B135" s="16" t="s">
        <v>566</v>
      </c>
      <c r="C135" s="16" t="s">
        <v>272</v>
      </c>
      <c r="D135" s="16" t="s">
        <v>641</v>
      </c>
      <c r="E135" s="17">
        <v>1327.9209000000001</v>
      </c>
      <c r="F135" s="17">
        <v>2756.3227000000002</v>
      </c>
      <c r="G135" s="17">
        <v>3720.9702000000002</v>
      </c>
      <c r="H135" s="17">
        <v>77547.6106</v>
      </c>
      <c r="I135" s="17">
        <v>186413.06789999999</v>
      </c>
      <c r="J135" s="17">
        <v>172492.73800000001</v>
      </c>
      <c r="K135" s="17">
        <v>146249.23439999999</v>
      </c>
      <c r="L135" s="17">
        <v>124050.1784</v>
      </c>
      <c r="M135" s="17">
        <v>105533.3437</v>
      </c>
      <c r="N135" s="17">
        <v>89332.858099999998</v>
      </c>
      <c r="O135" s="17">
        <v>75883.703899999993</v>
      </c>
      <c r="P135" s="17">
        <v>64495.779000000002</v>
      </c>
      <c r="Q135" s="17">
        <v>52950.0844</v>
      </c>
      <c r="R135" s="17">
        <v>43616.328300000001</v>
      </c>
      <c r="S135" s="17">
        <v>37168.334999999999</v>
      </c>
      <c r="T135" s="17">
        <v>31699.4198</v>
      </c>
      <c r="U135" s="17">
        <v>0</v>
      </c>
      <c r="V135" s="17">
        <v>0</v>
      </c>
      <c r="W135" s="17">
        <v>0</v>
      </c>
      <c r="X135" s="17">
        <v>0</v>
      </c>
      <c r="Y135" s="17">
        <v>0</v>
      </c>
      <c r="Z135" s="17">
        <v>0</v>
      </c>
      <c r="AA135" s="17">
        <v>0</v>
      </c>
      <c r="AB135" s="17">
        <v>0</v>
      </c>
      <c r="AC135" s="17">
        <v>0</v>
      </c>
      <c r="AD135" s="17">
        <v>0</v>
      </c>
      <c r="AE135" s="17">
        <v>0</v>
      </c>
      <c r="AF135" s="17">
        <v>0</v>
      </c>
      <c r="AG135" s="17">
        <v>0</v>
      </c>
      <c r="AH135" s="17">
        <v>0</v>
      </c>
      <c r="AI135" s="17">
        <v>0</v>
      </c>
      <c r="AJ135" s="17">
        <v>0</v>
      </c>
      <c r="AK135" s="17">
        <v>0</v>
      </c>
      <c r="AL135" s="17">
        <v>0</v>
      </c>
      <c r="AM135" s="17">
        <v>0</v>
      </c>
      <c r="AN135" s="17">
        <v>0</v>
      </c>
      <c r="AO135" s="17">
        <v>0</v>
      </c>
      <c r="AP135" s="18">
        <f t="shared" si="2"/>
        <v>1215237.8953</v>
      </c>
    </row>
    <row r="136" spans="1:42" ht="24" customHeight="1" x14ac:dyDescent="0.2">
      <c r="A136" s="16" t="s">
        <v>564</v>
      </c>
      <c r="B136" s="16" t="s">
        <v>567</v>
      </c>
      <c r="C136" s="16" t="s">
        <v>118</v>
      </c>
      <c r="D136" s="16" t="s">
        <v>641</v>
      </c>
      <c r="E136" s="17">
        <v>306307.17660000001</v>
      </c>
      <c r="F136" s="17">
        <v>727468.6825</v>
      </c>
      <c r="G136" s="17">
        <v>991469.78980000003</v>
      </c>
      <c r="H136" s="17">
        <v>1158430.72</v>
      </c>
      <c r="I136" s="17">
        <v>1081163.2693</v>
      </c>
      <c r="J136" s="17">
        <v>945165.57779999997</v>
      </c>
      <c r="K136" s="17">
        <v>837152.32270000002</v>
      </c>
      <c r="L136" s="17">
        <v>754608.14210000006</v>
      </c>
      <c r="M136" s="17">
        <v>668951.68850000005</v>
      </c>
      <c r="N136" s="17">
        <v>541910.50560000003</v>
      </c>
      <c r="O136" s="17">
        <v>484919.08769999997</v>
      </c>
      <c r="P136" s="17">
        <v>446953.0968</v>
      </c>
      <c r="Q136" s="17">
        <v>430505.19520000002</v>
      </c>
      <c r="R136" s="17">
        <v>626405.978</v>
      </c>
      <c r="S136" s="17">
        <v>690030.54130000004</v>
      </c>
      <c r="T136" s="17">
        <v>549424.48580000002</v>
      </c>
      <c r="U136" s="17">
        <v>0</v>
      </c>
      <c r="V136" s="17">
        <v>0</v>
      </c>
      <c r="W136" s="17">
        <v>0</v>
      </c>
      <c r="X136" s="17">
        <v>0</v>
      </c>
      <c r="Y136" s="17">
        <v>0</v>
      </c>
      <c r="Z136" s="17">
        <v>0</v>
      </c>
      <c r="AA136" s="17">
        <v>0</v>
      </c>
      <c r="AB136" s="17">
        <v>0</v>
      </c>
      <c r="AC136" s="17">
        <v>0</v>
      </c>
      <c r="AD136" s="17">
        <v>0</v>
      </c>
      <c r="AE136" s="17">
        <v>0</v>
      </c>
      <c r="AF136" s="17">
        <v>0</v>
      </c>
      <c r="AG136" s="17">
        <v>0</v>
      </c>
      <c r="AH136" s="17">
        <v>0</v>
      </c>
      <c r="AI136" s="17">
        <v>0</v>
      </c>
      <c r="AJ136" s="17">
        <v>0</v>
      </c>
      <c r="AK136" s="17">
        <v>0</v>
      </c>
      <c r="AL136" s="17">
        <v>0</v>
      </c>
      <c r="AM136" s="17">
        <v>0</v>
      </c>
      <c r="AN136" s="17">
        <v>0</v>
      </c>
      <c r="AO136" s="17">
        <v>0</v>
      </c>
      <c r="AP136" s="18">
        <f t="shared" si="2"/>
        <v>11240866.2597</v>
      </c>
    </row>
    <row r="137" spans="1:42" ht="24" customHeight="1" x14ac:dyDescent="0.2">
      <c r="A137" s="16" t="s">
        <v>564</v>
      </c>
      <c r="B137" s="16" t="s">
        <v>567</v>
      </c>
      <c r="C137" s="16" t="s">
        <v>197</v>
      </c>
      <c r="D137" s="16" t="s">
        <v>641</v>
      </c>
      <c r="E137" s="17">
        <v>730.31659999999999</v>
      </c>
      <c r="F137" s="17">
        <v>58831.430999999997</v>
      </c>
      <c r="G137" s="17">
        <v>159555.014</v>
      </c>
      <c r="H137" s="17">
        <v>295891.52189999999</v>
      </c>
      <c r="I137" s="17">
        <v>324475.54940000002</v>
      </c>
      <c r="J137" s="17">
        <v>275022.0442</v>
      </c>
      <c r="K137" s="17">
        <v>232287.67860000001</v>
      </c>
      <c r="L137" s="17">
        <v>194561.4657</v>
      </c>
      <c r="M137" s="17">
        <v>164370.6048</v>
      </c>
      <c r="N137" s="17">
        <v>138017.59529999999</v>
      </c>
      <c r="O137" s="17">
        <v>116218.0281</v>
      </c>
      <c r="P137" s="17">
        <v>97894.364600000001</v>
      </c>
      <c r="Q137" s="17">
        <v>82735.127800000002</v>
      </c>
      <c r="R137" s="17">
        <v>70924.641399999993</v>
      </c>
      <c r="S137" s="17">
        <v>65008.143300000003</v>
      </c>
      <c r="T137" s="17">
        <v>64705.365299999998</v>
      </c>
      <c r="U137" s="17">
        <v>55217.983899999999</v>
      </c>
      <c r="V137" s="17">
        <v>47067.507400000002</v>
      </c>
      <c r="W137" s="17">
        <v>40426.289700000001</v>
      </c>
      <c r="X137" s="17">
        <v>33319.544900000001</v>
      </c>
      <c r="Y137" s="17">
        <v>24244.476500000001</v>
      </c>
      <c r="Z137" s="17">
        <v>15215.712299999999</v>
      </c>
      <c r="AA137" s="17">
        <v>11154.078299999999</v>
      </c>
      <c r="AB137" s="17">
        <v>921.0702</v>
      </c>
      <c r="AC137" s="17">
        <v>0</v>
      </c>
      <c r="AD137" s="17">
        <v>0</v>
      </c>
      <c r="AE137" s="17">
        <v>0</v>
      </c>
      <c r="AF137" s="17">
        <v>0</v>
      </c>
      <c r="AG137" s="17">
        <v>0</v>
      </c>
      <c r="AH137" s="17">
        <v>0</v>
      </c>
      <c r="AI137" s="17">
        <v>0</v>
      </c>
      <c r="AJ137" s="17">
        <v>0</v>
      </c>
      <c r="AK137" s="17">
        <v>0</v>
      </c>
      <c r="AL137" s="17">
        <v>0</v>
      </c>
      <c r="AM137" s="17">
        <v>0</v>
      </c>
      <c r="AN137" s="17">
        <v>0</v>
      </c>
      <c r="AO137" s="17">
        <v>0</v>
      </c>
      <c r="AP137" s="18">
        <f t="shared" si="2"/>
        <v>2568795.5552000003</v>
      </c>
    </row>
    <row r="138" spans="1:42" ht="24" customHeight="1" x14ac:dyDescent="0.2">
      <c r="A138" s="16" t="s">
        <v>564</v>
      </c>
      <c r="B138" s="16" t="s">
        <v>568</v>
      </c>
      <c r="C138" s="16" t="s">
        <v>321</v>
      </c>
      <c r="D138" s="16" t="s">
        <v>641</v>
      </c>
      <c r="E138" s="17">
        <v>864.06</v>
      </c>
      <c r="F138" s="17">
        <v>2031.0844</v>
      </c>
      <c r="G138" s="17">
        <v>3052.1963000000001</v>
      </c>
      <c r="H138" s="17">
        <v>3939.0677000000001</v>
      </c>
      <c r="I138" s="17">
        <v>4717.2731000000003</v>
      </c>
      <c r="J138" s="17">
        <v>5358.0909000000001</v>
      </c>
      <c r="K138" s="17">
        <v>5909.933</v>
      </c>
      <c r="L138" s="17">
        <v>6370.6990999999998</v>
      </c>
      <c r="M138" s="17">
        <v>10825.6828</v>
      </c>
      <c r="N138" s="17">
        <v>29966.424800000001</v>
      </c>
      <c r="O138" s="17">
        <v>23471.4899</v>
      </c>
      <c r="P138" s="17">
        <v>0</v>
      </c>
      <c r="Q138" s="17">
        <v>0</v>
      </c>
      <c r="R138" s="17">
        <v>0</v>
      </c>
      <c r="S138" s="17">
        <v>0</v>
      </c>
      <c r="T138" s="17">
        <v>0</v>
      </c>
      <c r="U138" s="17">
        <v>0</v>
      </c>
      <c r="V138" s="17">
        <v>0</v>
      </c>
      <c r="W138" s="17">
        <v>0</v>
      </c>
      <c r="X138" s="17">
        <v>0</v>
      </c>
      <c r="Y138" s="17">
        <v>0</v>
      </c>
      <c r="Z138" s="17">
        <v>0</v>
      </c>
      <c r="AA138" s="17">
        <v>0</v>
      </c>
      <c r="AB138" s="17">
        <v>0</v>
      </c>
      <c r="AC138" s="17">
        <v>0</v>
      </c>
      <c r="AD138" s="17">
        <v>0</v>
      </c>
      <c r="AE138" s="17">
        <v>0</v>
      </c>
      <c r="AF138" s="17">
        <v>0</v>
      </c>
      <c r="AG138" s="17">
        <v>0</v>
      </c>
      <c r="AH138" s="17">
        <v>0</v>
      </c>
      <c r="AI138" s="17">
        <v>0</v>
      </c>
      <c r="AJ138" s="17">
        <v>0</v>
      </c>
      <c r="AK138" s="17">
        <v>0</v>
      </c>
      <c r="AL138" s="17">
        <v>0</v>
      </c>
      <c r="AM138" s="17">
        <v>0</v>
      </c>
      <c r="AN138" s="17">
        <v>0</v>
      </c>
      <c r="AO138" s="17">
        <v>0</v>
      </c>
      <c r="AP138" s="18">
        <f t="shared" si="2"/>
        <v>96506.002000000008</v>
      </c>
    </row>
    <row r="139" spans="1:42" ht="24" customHeight="1" x14ac:dyDescent="0.2">
      <c r="A139" s="16" t="s">
        <v>564</v>
      </c>
      <c r="B139" s="16" t="s">
        <v>642</v>
      </c>
      <c r="C139" s="16" t="s">
        <v>643</v>
      </c>
      <c r="D139" s="16" t="s">
        <v>641</v>
      </c>
      <c r="E139" s="17">
        <v>0</v>
      </c>
      <c r="F139" s="17">
        <v>0</v>
      </c>
      <c r="G139" s="17">
        <v>0</v>
      </c>
      <c r="H139" s="17">
        <v>0</v>
      </c>
      <c r="I139" s="17">
        <v>0</v>
      </c>
      <c r="J139" s="17">
        <v>395808.17099999997</v>
      </c>
      <c r="K139" s="17">
        <v>502654.4179</v>
      </c>
      <c r="L139" s="17">
        <v>280692.23680000001</v>
      </c>
      <c r="M139" s="17">
        <v>183213.84409999999</v>
      </c>
      <c r="N139" s="17">
        <v>47226.224300000002</v>
      </c>
      <c r="O139" s="17">
        <v>0</v>
      </c>
      <c r="P139" s="17">
        <v>0</v>
      </c>
      <c r="Q139" s="17">
        <v>0</v>
      </c>
      <c r="R139" s="17">
        <v>0</v>
      </c>
      <c r="S139" s="17">
        <v>0</v>
      </c>
      <c r="T139" s="17">
        <v>0</v>
      </c>
      <c r="U139" s="17">
        <v>0</v>
      </c>
      <c r="V139" s="17">
        <v>0</v>
      </c>
      <c r="W139" s="17">
        <v>0</v>
      </c>
      <c r="X139" s="17">
        <v>0</v>
      </c>
      <c r="Y139" s="17">
        <v>0</v>
      </c>
      <c r="Z139" s="17">
        <v>0</v>
      </c>
      <c r="AA139" s="17">
        <v>0</v>
      </c>
      <c r="AB139" s="17">
        <v>0</v>
      </c>
      <c r="AC139" s="17">
        <v>0</v>
      </c>
      <c r="AD139" s="17">
        <v>0</v>
      </c>
      <c r="AE139" s="17">
        <v>0</v>
      </c>
      <c r="AF139" s="17">
        <v>0</v>
      </c>
      <c r="AG139" s="17">
        <v>0</v>
      </c>
      <c r="AH139" s="17">
        <v>0</v>
      </c>
      <c r="AI139" s="17">
        <v>0</v>
      </c>
      <c r="AJ139" s="17">
        <v>0</v>
      </c>
      <c r="AK139" s="17">
        <v>0</v>
      </c>
      <c r="AL139" s="17">
        <v>0</v>
      </c>
      <c r="AM139" s="17">
        <v>0</v>
      </c>
      <c r="AN139" s="17">
        <v>0</v>
      </c>
      <c r="AO139" s="17">
        <v>0</v>
      </c>
      <c r="AP139" s="18">
        <f t="shared" si="2"/>
        <v>1409594.8940999997</v>
      </c>
    </row>
    <row r="140" spans="1:42" ht="24" customHeight="1" x14ac:dyDescent="0.2">
      <c r="A140" s="16" t="s">
        <v>564</v>
      </c>
      <c r="B140" s="16" t="s">
        <v>569</v>
      </c>
      <c r="C140" s="16" t="s">
        <v>308</v>
      </c>
      <c r="D140" s="16" t="s">
        <v>641</v>
      </c>
      <c r="E140" s="17">
        <v>1454.3061</v>
      </c>
      <c r="F140" s="17">
        <v>3110.8710000000001</v>
      </c>
      <c r="G140" s="17">
        <v>7951.0793999999996</v>
      </c>
      <c r="H140" s="17">
        <v>11182.301100000001</v>
      </c>
      <c r="I140" s="17">
        <v>12417.775600000001</v>
      </c>
      <c r="J140" s="17">
        <v>16877.137599999998</v>
      </c>
      <c r="K140" s="17">
        <v>7821.5501000000004</v>
      </c>
      <c r="L140" s="17">
        <v>0</v>
      </c>
      <c r="M140" s="17">
        <v>0</v>
      </c>
      <c r="N140" s="17">
        <v>0</v>
      </c>
      <c r="O140" s="17">
        <v>0</v>
      </c>
      <c r="P140" s="17">
        <v>0</v>
      </c>
      <c r="Q140" s="17">
        <v>0</v>
      </c>
      <c r="R140" s="17">
        <v>0</v>
      </c>
      <c r="S140" s="17">
        <v>0</v>
      </c>
      <c r="T140" s="17">
        <v>0</v>
      </c>
      <c r="U140" s="17">
        <v>0</v>
      </c>
      <c r="V140" s="17">
        <v>0</v>
      </c>
      <c r="W140" s="17">
        <v>0</v>
      </c>
      <c r="X140" s="17">
        <v>0</v>
      </c>
      <c r="Y140" s="17">
        <v>0</v>
      </c>
      <c r="Z140" s="17">
        <v>0</v>
      </c>
      <c r="AA140" s="17">
        <v>0</v>
      </c>
      <c r="AB140" s="17">
        <v>0</v>
      </c>
      <c r="AC140" s="17">
        <v>0</v>
      </c>
      <c r="AD140" s="17">
        <v>0</v>
      </c>
      <c r="AE140" s="17">
        <v>0</v>
      </c>
      <c r="AF140" s="17">
        <v>0</v>
      </c>
      <c r="AG140" s="17">
        <v>0</v>
      </c>
      <c r="AH140" s="17">
        <v>0</v>
      </c>
      <c r="AI140" s="17">
        <v>0</v>
      </c>
      <c r="AJ140" s="17">
        <v>0</v>
      </c>
      <c r="AK140" s="17">
        <v>0</v>
      </c>
      <c r="AL140" s="17">
        <v>0</v>
      </c>
      <c r="AM140" s="17">
        <v>0</v>
      </c>
      <c r="AN140" s="17">
        <v>0</v>
      </c>
      <c r="AO140" s="17">
        <v>0</v>
      </c>
      <c r="AP140" s="18">
        <f t="shared" si="2"/>
        <v>60815.020899999996</v>
      </c>
    </row>
    <row r="141" spans="1:42" ht="24" customHeight="1" x14ac:dyDescent="0.2">
      <c r="A141" s="16" t="s">
        <v>564</v>
      </c>
      <c r="B141" s="16" t="s">
        <v>569</v>
      </c>
      <c r="C141" s="16" t="s">
        <v>412</v>
      </c>
      <c r="D141" s="16" t="s">
        <v>641</v>
      </c>
      <c r="E141" s="17">
        <v>2451.3018999999999</v>
      </c>
      <c r="F141" s="17">
        <v>3920.3492999999999</v>
      </c>
      <c r="G141" s="17">
        <v>4973.2129999999997</v>
      </c>
      <c r="H141" s="17">
        <v>5726.0807999999997</v>
      </c>
      <c r="I141" s="17">
        <v>12526.875700000001</v>
      </c>
      <c r="J141" s="17">
        <v>42119.914199999999</v>
      </c>
      <c r="K141" s="17">
        <v>26512.300299999999</v>
      </c>
      <c r="L141" s="17">
        <v>0</v>
      </c>
      <c r="M141" s="17">
        <v>0</v>
      </c>
      <c r="N141" s="17">
        <v>0</v>
      </c>
      <c r="O141" s="17">
        <v>0</v>
      </c>
      <c r="P141" s="17">
        <v>0</v>
      </c>
      <c r="Q141" s="17">
        <v>0</v>
      </c>
      <c r="R141" s="17">
        <v>0</v>
      </c>
      <c r="S141" s="17">
        <v>0</v>
      </c>
      <c r="T141" s="17">
        <v>0</v>
      </c>
      <c r="U141" s="17">
        <v>0</v>
      </c>
      <c r="V141" s="17">
        <v>0</v>
      </c>
      <c r="W141" s="17">
        <v>0</v>
      </c>
      <c r="X141" s="17">
        <v>0</v>
      </c>
      <c r="Y141" s="17">
        <v>0</v>
      </c>
      <c r="Z141" s="17">
        <v>0</v>
      </c>
      <c r="AA141" s="17">
        <v>0</v>
      </c>
      <c r="AB141" s="17">
        <v>0</v>
      </c>
      <c r="AC141" s="17">
        <v>0</v>
      </c>
      <c r="AD141" s="17">
        <v>0</v>
      </c>
      <c r="AE141" s="17">
        <v>0</v>
      </c>
      <c r="AF141" s="17">
        <v>0</v>
      </c>
      <c r="AG141" s="17">
        <v>0</v>
      </c>
      <c r="AH141" s="17">
        <v>0</v>
      </c>
      <c r="AI141" s="17">
        <v>0</v>
      </c>
      <c r="AJ141" s="17">
        <v>0</v>
      </c>
      <c r="AK141" s="17">
        <v>0</v>
      </c>
      <c r="AL141" s="17">
        <v>0</v>
      </c>
      <c r="AM141" s="17">
        <v>0</v>
      </c>
      <c r="AN141" s="17">
        <v>0</v>
      </c>
      <c r="AO141" s="17">
        <v>0</v>
      </c>
      <c r="AP141" s="18">
        <f t="shared" si="2"/>
        <v>98230.035199999998</v>
      </c>
    </row>
    <row r="142" spans="1:42" ht="24" customHeight="1" x14ac:dyDescent="0.2">
      <c r="A142" s="16" t="s">
        <v>564</v>
      </c>
      <c r="B142" s="16" t="s">
        <v>405</v>
      </c>
      <c r="C142" s="16" t="s">
        <v>299</v>
      </c>
      <c r="D142" s="16" t="s">
        <v>641</v>
      </c>
      <c r="E142" s="17">
        <v>2100.201</v>
      </c>
      <c r="F142" s="17">
        <v>4587.6674999999996</v>
      </c>
      <c r="G142" s="17">
        <v>6388.4450999999999</v>
      </c>
      <c r="H142" s="17">
        <v>7646.2862999999998</v>
      </c>
      <c r="I142" s="17">
        <v>9532.0090999999993</v>
      </c>
      <c r="J142" s="17">
        <v>9805.0990000000002</v>
      </c>
      <c r="K142" s="17">
        <v>10501.91</v>
      </c>
      <c r="L142" s="17">
        <v>10208.5679</v>
      </c>
      <c r="M142" s="17">
        <v>9731.9608000000007</v>
      </c>
      <c r="N142" s="17">
        <v>9418.9426999999996</v>
      </c>
      <c r="O142" s="17">
        <v>8938.2464999999993</v>
      </c>
      <c r="P142" s="17">
        <v>30381.128799999999</v>
      </c>
      <c r="Q142" s="17">
        <v>28811.468199999999</v>
      </c>
      <c r="R142" s="17">
        <v>10991.7785</v>
      </c>
      <c r="S142" s="17">
        <v>0</v>
      </c>
      <c r="T142" s="17">
        <v>0</v>
      </c>
      <c r="U142" s="17">
        <v>0</v>
      </c>
      <c r="V142" s="17">
        <v>0</v>
      </c>
      <c r="W142" s="17">
        <v>0</v>
      </c>
      <c r="X142" s="17">
        <v>0</v>
      </c>
      <c r="Y142" s="17">
        <v>0</v>
      </c>
      <c r="Z142" s="17">
        <v>0</v>
      </c>
      <c r="AA142" s="17">
        <v>0</v>
      </c>
      <c r="AB142" s="17">
        <v>0</v>
      </c>
      <c r="AC142" s="17">
        <v>0</v>
      </c>
      <c r="AD142" s="17">
        <v>0</v>
      </c>
      <c r="AE142" s="17">
        <v>0</v>
      </c>
      <c r="AF142" s="17">
        <v>0</v>
      </c>
      <c r="AG142" s="17">
        <v>0</v>
      </c>
      <c r="AH142" s="17">
        <v>0</v>
      </c>
      <c r="AI142" s="17">
        <v>0</v>
      </c>
      <c r="AJ142" s="17">
        <v>0</v>
      </c>
      <c r="AK142" s="17">
        <v>0</v>
      </c>
      <c r="AL142" s="17">
        <v>0</v>
      </c>
      <c r="AM142" s="17">
        <v>0</v>
      </c>
      <c r="AN142" s="17">
        <v>0</v>
      </c>
      <c r="AO142" s="17">
        <v>0</v>
      </c>
      <c r="AP142" s="18">
        <f t="shared" si="2"/>
        <v>159043.71140000003</v>
      </c>
    </row>
    <row r="143" spans="1:42" ht="24" customHeight="1" x14ac:dyDescent="0.2">
      <c r="A143" s="16" t="s">
        <v>564</v>
      </c>
      <c r="B143" s="16" t="s">
        <v>405</v>
      </c>
      <c r="C143" s="16" t="s">
        <v>360</v>
      </c>
      <c r="D143" s="16" t="s">
        <v>641</v>
      </c>
      <c r="E143" s="17">
        <v>0</v>
      </c>
      <c r="F143" s="17">
        <v>0</v>
      </c>
      <c r="G143" s="17">
        <v>465.72699999999998</v>
      </c>
      <c r="H143" s="17">
        <v>1348.9109000000001</v>
      </c>
      <c r="I143" s="17">
        <v>1939.0216</v>
      </c>
      <c r="J143" s="17">
        <v>2290.7835</v>
      </c>
      <c r="K143" s="17">
        <v>2479.1527999999998</v>
      </c>
      <c r="L143" s="17">
        <v>2545.2327</v>
      </c>
      <c r="M143" s="17">
        <v>5291.9575000000004</v>
      </c>
      <c r="N143" s="17">
        <v>4158.3931000000002</v>
      </c>
      <c r="O143" s="17">
        <v>4753.2897000000003</v>
      </c>
      <c r="P143" s="17">
        <v>4050.9166</v>
      </c>
      <c r="Q143" s="17">
        <v>315.13279999999997</v>
      </c>
      <c r="R143" s="17">
        <v>0</v>
      </c>
      <c r="S143" s="17">
        <v>0</v>
      </c>
      <c r="T143" s="17">
        <v>0</v>
      </c>
      <c r="U143" s="17">
        <v>0</v>
      </c>
      <c r="V143" s="17">
        <v>0</v>
      </c>
      <c r="W143" s="17">
        <v>0</v>
      </c>
      <c r="X143" s="17">
        <v>0</v>
      </c>
      <c r="Y143" s="17">
        <v>0</v>
      </c>
      <c r="Z143" s="17">
        <v>0</v>
      </c>
      <c r="AA143" s="17">
        <v>0</v>
      </c>
      <c r="AB143" s="17">
        <v>0</v>
      </c>
      <c r="AC143" s="17">
        <v>0</v>
      </c>
      <c r="AD143" s="17">
        <v>0</v>
      </c>
      <c r="AE143" s="17">
        <v>0</v>
      </c>
      <c r="AF143" s="17">
        <v>0</v>
      </c>
      <c r="AG143" s="17">
        <v>0</v>
      </c>
      <c r="AH143" s="17">
        <v>0</v>
      </c>
      <c r="AI143" s="17">
        <v>0</v>
      </c>
      <c r="AJ143" s="17">
        <v>0</v>
      </c>
      <c r="AK143" s="17">
        <v>0</v>
      </c>
      <c r="AL143" s="17">
        <v>0</v>
      </c>
      <c r="AM143" s="17">
        <v>0</v>
      </c>
      <c r="AN143" s="17">
        <v>0</v>
      </c>
      <c r="AO143" s="17">
        <v>0</v>
      </c>
      <c r="AP143" s="18">
        <f t="shared" si="2"/>
        <v>29638.518200000002</v>
      </c>
    </row>
    <row r="144" spans="1:42" ht="24" customHeight="1" x14ac:dyDescent="0.2">
      <c r="A144" s="16" t="s">
        <v>564</v>
      </c>
      <c r="B144" s="16" t="s">
        <v>405</v>
      </c>
      <c r="C144" s="16" t="s">
        <v>387</v>
      </c>
      <c r="D144" s="16" t="s">
        <v>641</v>
      </c>
      <c r="E144" s="17">
        <v>2152.2192</v>
      </c>
      <c r="F144" s="17">
        <v>6126.192</v>
      </c>
      <c r="G144" s="17">
        <v>6333.5915000000005</v>
      </c>
      <c r="H144" s="17">
        <v>8066.6559999999999</v>
      </c>
      <c r="I144" s="17">
        <v>9537.7993999999999</v>
      </c>
      <c r="J144" s="17">
        <v>10700.799000000001</v>
      </c>
      <c r="K144" s="17">
        <v>11663.2201</v>
      </c>
      <c r="L144" s="17">
        <v>12428.2166</v>
      </c>
      <c r="M144" s="17">
        <v>13056.569100000001</v>
      </c>
      <c r="N144" s="17">
        <v>13462.0826</v>
      </c>
      <c r="O144" s="17">
        <v>13770.860199999999</v>
      </c>
      <c r="P144" s="17">
        <v>13965.289199999999</v>
      </c>
      <c r="Q144" s="17">
        <v>14099.361999999999</v>
      </c>
      <c r="R144" s="17">
        <v>14070.993200000001</v>
      </c>
      <c r="S144" s="17">
        <v>14008.0476</v>
      </c>
      <c r="T144" s="17">
        <v>13882.888000000001</v>
      </c>
      <c r="U144" s="17">
        <v>13742.340099999999</v>
      </c>
      <c r="V144" s="17">
        <v>17387.411</v>
      </c>
      <c r="W144" s="17">
        <v>23272.873500000002</v>
      </c>
      <c r="X144" s="17">
        <v>22028.233499999998</v>
      </c>
      <c r="Y144" s="17">
        <v>20905.721300000001</v>
      </c>
      <c r="Z144" s="17">
        <v>19732.1132</v>
      </c>
      <c r="AA144" s="17">
        <v>18676.8341</v>
      </c>
      <c r="AB144" s="17">
        <v>17677.991600000001</v>
      </c>
      <c r="AC144" s="17">
        <v>16777.158500000001</v>
      </c>
      <c r="AD144" s="17">
        <v>15835.3202</v>
      </c>
      <c r="AE144" s="17">
        <v>14988.4427</v>
      </c>
      <c r="AF144" s="17">
        <v>14186.8565</v>
      </c>
      <c r="AG144" s="17">
        <v>13463.924300000001</v>
      </c>
      <c r="AH144" s="17">
        <v>12708.084800000001</v>
      </c>
      <c r="AI144" s="17">
        <v>12028.4527</v>
      </c>
      <c r="AJ144" s="17">
        <v>11385.167600000001</v>
      </c>
      <c r="AK144" s="17">
        <v>1812.3726999999999</v>
      </c>
      <c r="AL144" s="17">
        <v>0</v>
      </c>
      <c r="AM144" s="17">
        <v>0</v>
      </c>
      <c r="AN144" s="17">
        <v>0</v>
      </c>
      <c r="AO144" s="17">
        <v>0</v>
      </c>
      <c r="AP144" s="18">
        <f t="shared" si="2"/>
        <v>443934.08400000009</v>
      </c>
    </row>
    <row r="145" spans="1:42" ht="15" customHeight="1" x14ac:dyDescent="0.2">
      <c r="A145" s="16" t="s">
        <v>570</v>
      </c>
      <c r="B145" s="16" t="s">
        <v>571</v>
      </c>
      <c r="C145" s="16" t="s">
        <v>220</v>
      </c>
      <c r="D145" s="16" t="s">
        <v>641</v>
      </c>
      <c r="E145" s="17">
        <v>4255.6814999999997</v>
      </c>
      <c r="F145" s="17">
        <v>9463.2402999999995</v>
      </c>
      <c r="G145" s="17">
        <v>30537.967000000001</v>
      </c>
      <c r="H145" s="17">
        <v>137164.38810000001</v>
      </c>
      <c r="I145" s="17">
        <v>524953.51150000002</v>
      </c>
      <c r="J145" s="17">
        <v>924202.88939999999</v>
      </c>
      <c r="K145" s="17">
        <v>723254.25089999998</v>
      </c>
      <c r="L145" s="17">
        <v>575422.05660000001</v>
      </c>
      <c r="M145" s="17">
        <v>465534.34769999998</v>
      </c>
      <c r="N145" s="17">
        <v>379300.7096</v>
      </c>
      <c r="O145" s="17">
        <v>316795.01449999999</v>
      </c>
      <c r="P145" s="17">
        <v>264699.19410000002</v>
      </c>
      <c r="Q145" s="17">
        <v>223484.0716</v>
      </c>
      <c r="R145" s="17">
        <v>189193.6819</v>
      </c>
      <c r="S145" s="17">
        <v>204913.96189999999</v>
      </c>
      <c r="T145" s="17">
        <v>179947.0667</v>
      </c>
      <c r="U145" s="17">
        <v>156128.99040000001</v>
      </c>
      <c r="V145" s="17">
        <v>12242.164199999999</v>
      </c>
      <c r="W145" s="17">
        <v>0</v>
      </c>
      <c r="X145" s="17">
        <v>0</v>
      </c>
      <c r="Y145" s="17">
        <v>0</v>
      </c>
      <c r="Z145" s="17">
        <v>0</v>
      </c>
      <c r="AA145" s="17">
        <v>0</v>
      </c>
      <c r="AB145" s="17">
        <v>0</v>
      </c>
      <c r="AC145" s="17">
        <v>0</v>
      </c>
      <c r="AD145" s="17">
        <v>0</v>
      </c>
      <c r="AE145" s="17">
        <v>0</v>
      </c>
      <c r="AF145" s="17">
        <v>0</v>
      </c>
      <c r="AG145" s="17">
        <v>0</v>
      </c>
      <c r="AH145" s="17">
        <v>0</v>
      </c>
      <c r="AI145" s="17">
        <v>0</v>
      </c>
      <c r="AJ145" s="17">
        <v>0</v>
      </c>
      <c r="AK145" s="17">
        <v>0</v>
      </c>
      <c r="AL145" s="17">
        <v>0</v>
      </c>
      <c r="AM145" s="17">
        <v>0</v>
      </c>
      <c r="AN145" s="17">
        <v>0</v>
      </c>
      <c r="AO145" s="17">
        <v>0</v>
      </c>
      <c r="AP145" s="18">
        <f t="shared" si="2"/>
        <v>5321493.1879000012</v>
      </c>
    </row>
    <row r="146" spans="1:42" ht="15" customHeight="1" x14ac:dyDescent="0.2">
      <c r="A146" s="16" t="s">
        <v>570</v>
      </c>
      <c r="B146" s="16" t="s">
        <v>572</v>
      </c>
      <c r="C146" s="16" t="s">
        <v>316</v>
      </c>
      <c r="D146" s="16" t="s">
        <v>641</v>
      </c>
      <c r="E146" s="17">
        <v>2220.0066000000002</v>
      </c>
      <c r="F146" s="17">
        <v>4603.5066999999999</v>
      </c>
      <c r="G146" s="17">
        <v>24043.572100000001</v>
      </c>
      <c r="H146" s="17">
        <v>49601.288200000003</v>
      </c>
      <c r="I146" s="17">
        <v>57154.205600000001</v>
      </c>
      <c r="J146" s="17">
        <v>52709.279300000002</v>
      </c>
      <c r="K146" s="17">
        <v>46277.885300000002</v>
      </c>
      <c r="L146" s="17">
        <v>54139.4951</v>
      </c>
      <c r="M146" s="17">
        <v>64534.8315</v>
      </c>
      <c r="N146" s="17">
        <v>32002.702399999998</v>
      </c>
      <c r="O146" s="17">
        <v>0</v>
      </c>
      <c r="P146" s="17">
        <v>0</v>
      </c>
      <c r="Q146" s="17">
        <v>0</v>
      </c>
      <c r="R146" s="17">
        <v>0</v>
      </c>
      <c r="S146" s="17">
        <v>0</v>
      </c>
      <c r="T146" s="17">
        <v>0</v>
      </c>
      <c r="U146" s="17">
        <v>0</v>
      </c>
      <c r="V146" s="17">
        <v>0</v>
      </c>
      <c r="W146" s="17">
        <v>0</v>
      </c>
      <c r="X146" s="17">
        <v>0</v>
      </c>
      <c r="Y146" s="17">
        <v>0</v>
      </c>
      <c r="Z146" s="17">
        <v>0</v>
      </c>
      <c r="AA146" s="17">
        <v>0</v>
      </c>
      <c r="AB146" s="17">
        <v>0</v>
      </c>
      <c r="AC146" s="17">
        <v>0</v>
      </c>
      <c r="AD146" s="17">
        <v>0</v>
      </c>
      <c r="AE146" s="17">
        <v>0</v>
      </c>
      <c r="AF146" s="17">
        <v>0</v>
      </c>
      <c r="AG146" s="17">
        <v>0</v>
      </c>
      <c r="AH146" s="17">
        <v>0</v>
      </c>
      <c r="AI146" s="17">
        <v>0</v>
      </c>
      <c r="AJ146" s="17">
        <v>0</v>
      </c>
      <c r="AK146" s="17">
        <v>0</v>
      </c>
      <c r="AL146" s="17">
        <v>0</v>
      </c>
      <c r="AM146" s="17">
        <v>0</v>
      </c>
      <c r="AN146" s="17">
        <v>0</v>
      </c>
      <c r="AO146" s="17">
        <v>0</v>
      </c>
      <c r="AP146" s="18">
        <f t="shared" si="2"/>
        <v>387286.77279999998</v>
      </c>
    </row>
    <row r="147" spans="1:42" ht="15" customHeight="1" x14ac:dyDescent="0.2">
      <c r="A147" s="16" t="s">
        <v>573</v>
      </c>
      <c r="B147" s="16" t="s">
        <v>574</v>
      </c>
      <c r="C147" s="16" t="s">
        <v>326</v>
      </c>
      <c r="D147" s="16" t="s">
        <v>641</v>
      </c>
      <c r="E147" s="17">
        <v>0</v>
      </c>
      <c r="F147" s="17">
        <v>2966.6608999999999</v>
      </c>
      <c r="G147" s="17">
        <v>5656.3149000000003</v>
      </c>
      <c r="H147" s="17">
        <v>6390.4456</v>
      </c>
      <c r="I147" s="17">
        <v>6375.6797999999999</v>
      </c>
      <c r="J147" s="17">
        <v>6072.4137000000001</v>
      </c>
      <c r="K147" s="17">
        <v>5669.8316999999997</v>
      </c>
      <c r="L147" s="17">
        <v>5248.6517000000003</v>
      </c>
      <c r="M147" s="17">
        <v>4843.1678000000002</v>
      </c>
      <c r="N147" s="17">
        <v>2649.3128999999999</v>
      </c>
      <c r="O147" s="17">
        <v>0</v>
      </c>
      <c r="P147" s="17">
        <v>0</v>
      </c>
      <c r="Q147" s="17">
        <v>0</v>
      </c>
      <c r="R147" s="17">
        <v>0</v>
      </c>
      <c r="S147" s="17">
        <v>0</v>
      </c>
      <c r="T147" s="17">
        <v>0</v>
      </c>
      <c r="U147" s="17">
        <v>0</v>
      </c>
      <c r="V147" s="17">
        <v>0</v>
      </c>
      <c r="W147" s="17">
        <v>0</v>
      </c>
      <c r="X147" s="17">
        <v>0</v>
      </c>
      <c r="Y147" s="17">
        <v>0</v>
      </c>
      <c r="Z147" s="17">
        <v>0</v>
      </c>
      <c r="AA147" s="17">
        <v>0</v>
      </c>
      <c r="AB147" s="17">
        <v>0</v>
      </c>
      <c r="AC147" s="17">
        <v>0</v>
      </c>
      <c r="AD147" s="17">
        <v>0</v>
      </c>
      <c r="AE147" s="17">
        <v>0</v>
      </c>
      <c r="AF147" s="17">
        <v>0</v>
      </c>
      <c r="AG147" s="17">
        <v>0</v>
      </c>
      <c r="AH147" s="17">
        <v>0</v>
      </c>
      <c r="AI147" s="17">
        <v>0</v>
      </c>
      <c r="AJ147" s="17">
        <v>0</v>
      </c>
      <c r="AK147" s="17">
        <v>0</v>
      </c>
      <c r="AL147" s="17">
        <v>0</v>
      </c>
      <c r="AM147" s="17">
        <v>0</v>
      </c>
      <c r="AN147" s="17">
        <v>0</v>
      </c>
      <c r="AO147" s="17">
        <v>0</v>
      </c>
      <c r="AP147" s="18">
        <f t="shared" si="2"/>
        <v>45872.478999999999</v>
      </c>
    </row>
    <row r="148" spans="1:42" ht="15" customHeight="1" x14ac:dyDescent="0.2">
      <c r="A148" s="16" t="s">
        <v>575</v>
      </c>
      <c r="B148" s="16" t="s">
        <v>578</v>
      </c>
      <c r="C148" s="16" t="s">
        <v>309</v>
      </c>
      <c r="D148" s="16" t="s">
        <v>641</v>
      </c>
      <c r="E148" s="17">
        <v>31184</v>
      </c>
      <c r="F148" s="17">
        <v>32956</v>
      </c>
      <c r="G148" s="17">
        <v>33666</v>
      </c>
      <c r="H148" s="17">
        <v>33886</v>
      </c>
      <c r="I148" s="17">
        <v>33819</v>
      </c>
      <c r="J148" s="17">
        <v>39660</v>
      </c>
      <c r="K148" s="17">
        <v>38189</v>
      </c>
      <c r="L148" s="17">
        <v>37817</v>
      </c>
      <c r="M148" s="17">
        <v>38748</v>
      </c>
      <c r="N148" s="17">
        <v>167567</v>
      </c>
      <c r="O148" s="17">
        <v>153425</v>
      </c>
      <c r="P148" s="17">
        <v>0</v>
      </c>
      <c r="Q148" s="17">
        <v>0</v>
      </c>
      <c r="R148" s="17">
        <v>0</v>
      </c>
      <c r="S148" s="17">
        <v>0</v>
      </c>
      <c r="T148" s="17">
        <v>0</v>
      </c>
      <c r="U148" s="17">
        <v>0</v>
      </c>
      <c r="V148" s="17">
        <v>0</v>
      </c>
      <c r="W148" s="17">
        <v>0</v>
      </c>
      <c r="X148" s="17">
        <v>0</v>
      </c>
      <c r="Y148" s="17">
        <v>0</v>
      </c>
      <c r="Z148" s="17">
        <v>0</v>
      </c>
      <c r="AA148" s="17">
        <v>0</v>
      </c>
      <c r="AB148" s="17">
        <v>0</v>
      </c>
      <c r="AC148" s="17">
        <v>0</v>
      </c>
      <c r="AD148" s="17">
        <v>0</v>
      </c>
      <c r="AE148" s="17">
        <v>0</v>
      </c>
      <c r="AF148" s="17">
        <v>0</v>
      </c>
      <c r="AG148" s="17">
        <v>0</v>
      </c>
      <c r="AH148" s="17">
        <v>0</v>
      </c>
      <c r="AI148" s="17">
        <v>0</v>
      </c>
      <c r="AJ148" s="17">
        <v>0</v>
      </c>
      <c r="AK148" s="17">
        <v>0</v>
      </c>
      <c r="AL148" s="17">
        <v>0</v>
      </c>
      <c r="AM148" s="17">
        <v>0</v>
      </c>
      <c r="AN148" s="17">
        <v>0</v>
      </c>
      <c r="AO148" s="17">
        <v>0</v>
      </c>
      <c r="AP148" s="18">
        <f t="shared" si="2"/>
        <v>640917</v>
      </c>
    </row>
    <row r="149" spans="1:42" ht="15" customHeight="1" x14ac:dyDescent="0.2">
      <c r="A149" s="16" t="s">
        <v>575</v>
      </c>
      <c r="B149" s="16" t="s">
        <v>578</v>
      </c>
      <c r="C149" s="16" t="s">
        <v>310</v>
      </c>
      <c r="D149" s="16" t="s">
        <v>641</v>
      </c>
      <c r="E149" s="17">
        <v>5340</v>
      </c>
      <c r="F149" s="17">
        <v>5608</v>
      </c>
      <c r="G149" s="17">
        <v>5242</v>
      </c>
      <c r="H149" s="17">
        <v>4883</v>
      </c>
      <c r="I149" s="17">
        <v>4562</v>
      </c>
      <c r="J149" s="17">
        <v>4226</v>
      </c>
      <c r="K149" s="17">
        <v>3930</v>
      </c>
      <c r="L149" s="17">
        <v>4141</v>
      </c>
      <c r="M149" s="17">
        <v>5036</v>
      </c>
      <c r="N149" s="17">
        <v>15682</v>
      </c>
      <c r="O149" s="17">
        <v>13120</v>
      </c>
      <c r="P149" s="17">
        <v>0</v>
      </c>
      <c r="Q149" s="17">
        <v>0</v>
      </c>
      <c r="R149" s="17">
        <v>0</v>
      </c>
      <c r="S149" s="17">
        <v>0</v>
      </c>
      <c r="T149" s="17">
        <v>0</v>
      </c>
      <c r="U149" s="17">
        <v>0</v>
      </c>
      <c r="V149" s="17">
        <v>0</v>
      </c>
      <c r="W149" s="17">
        <v>0</v>
      </c>
      <c r="X149" s="17">
        <v>0</v>
      </c>
      <c r="Y149" s="17">
        <v>0</v>
      </c>
      <c r="Z149" s="17">
        <v>0</v>
      </c>
      <c r="AA149" s="17">
        <v>0</v>
      </c>
      <c r="AB149" s="17">
        <v>0</v>
      </c>
      <c r="AC149" s="17">
        <v>0</v>
      </c>
      <c r="AD149" s="17">
        <v>0</v>
      </c>
      <c r="AE149" s="17">
        <v>0</v>
      </c>
      <c r="AF149" s="17">
        <v>0</v>
      </c>
      <c r="AG149" s="17">
        <v>0</v>
      </c>
      <c r="AH149" s="17">
        <v>0</v>
      </c>
      <c r="AI149" s="17">
        <v>0</v>
      </c>
      <c r="AJ149" s="17">
        <v>0</v>
      </c>
      <c r="AK149" s="17">
        <v>0</v>
      </c>
      <c r="AL149" s="17">
        <v>0</v>
      </c>
      <c r="AM149" s="17">
        <v>0</v>
      </c>
      <c r="AN149" s="17">
        <v>0</v>
      </c>
      <c r="AO149" s="17">
        <v>0</v>
      </c>
      <c r="AP149" s="18">
        <f t="shared" si="2"/>
        <v>71770</v>
      </c>
    </row>
    <row r="150" spans="1:42" ht="15" customHeight="1" x14ac:dyDescent="0.2">
      <c r="A150" s="16" t="s">
        <v>575</v>
      </c>
      <c r="B150" s="16" t="s">
        <v>578</v>
      </c>
      <c r="C150" s="16" t="s">
        <v>359</v>
      </c>
      <c r="D150" s="16" t="s">
        <v>641</v>
      </c>
      <c r="E150" s="17">
        <v>3489</v>
      </c>
      <c r="F150" s="17">
        <v>4341</v>
      </c>
      <c r="G150" s="17">
        <v>3874</v>
      </c>
      <c r="H150" s="17">
        <v>3421</v>
      </c>
      <c r="I150" s="17">
        <v>3025</v>
      </c>
      <c r="J150" s="17">
        <v>2663</v>
      </c>
      <c r="K150" s="17">
        <v>2372</v>
      </c>
      <c r="L150" s="17">
        <v>2115</v>
      </c>
      <c r="M150" s="17">
        <v>1898</v>
      </c>
      <c r="N150" s="17">
        <v>11514</v>
      </c>
      <c r="O150" s="17">
        <v>10405</v>
      </c>
      <c r="P150" s="17">
        <v>0</v>
      </c>
      <c r="Q150" s="17">
        <v>0</v>
      </c>
      <c r="R150" s="17">
        <v>0</v>
      </c>
      <c r="S150" s="17">
        <v>0</v>
      </c>
      <c r="T150" s="17">
        <v>0</v>
      </c>
      <c r="U150" s="17">
        <v>0</v>
      </c>
      <c r="V150" s="17">
        <v>0</v>
      </c>
      <c r="W150" s="17">
        <v>0</v>
      </c>
      <c r="X150" s="17">
        <v>0</v>
      </c>
      <c r="Y150" s="17">
        <v>0</v>
      </c>
      <c r="Z150" s="17">
        <v>0</v>
      </c>
      <c r="AA150" s="17">
        <v>0</v>
      </c>
      <c r="AB150" s="17">
        <v>0</v>
      </c>
      <c r="AC150" s="17">
        <v>0</v>
      </c>
      <c r="AD150" s="17">
        <v>0</v>
      </c>
      <c r="AE150" s="17">
        <v>0</v>
      </c>
      <c r="AF150" s="17">
        <v>0</v>
      </c>
      <c r="AG150" s="17">
        <v>0</v>
      </c>
      <c r="AH150" s="17">
        <v>0</v>
      </c>
      <c r="AI150" s="17">
        <v>0</v>
      </c>
      <c r="AJ150" s="17">
        <v>0</v>
      </c>
      <c r="AK150" s="17">
        <v>0</v>
      </c>
      <c r="AL150" s="17">
        <v>0</v>
      </c>
      <c r="AM150" s="17">
        <v>0</v>
      </c>
      <c r="AN150" s="17">
        <v>0</v>
      </c>
      <c r="AO150" s="17">
        <v>0</v>
      </c>
      <c r="AP150" s="18">
        <f t="shared" si="2"/>
        <v>49117</v>
      </c>
    </row>
    <row r="151" spans="1:42" ht="15" customHeight="1" x14ac:dyDescent="0.2">
      <c r="A151" s="16" t="s">
        <v>575</v>
      </c>
      <c r="B151" s="16" t="s">
        <v>255</v>
      </c>
      <c r="C151" s="16" t="s">
        <v>255</v>
      </c>
      <c r="D151" s="16" t="s">
        <v>641</v>
      </c>
      <c r="E151" s="17">
        <v>0</v>
      </c>
      <c r="F151" s="17">
        <v>0</v>
      </c>
      <c r="G151" s="17">
        <v>27432</v>
      </c>
      <c r="H151" s="17">
        <v>11785</v>
      </c>
      <c r="I151" s="17">
        <v>3144</v>
      </c>
      <c r="J151" s="17">
        <v>0</v>
      </c>
      <c r="K151" s="17">
        <v>0</v>
      </c>
      <c r="L151" s="17">
        <v>0</v>
      </c>
      <c r="M151" s="17">
        <v>0</v>
      </c>
      <c r="N151" s="17">
        <v>0</v>
      </c>
      <c r="O151" s="17">
        <v>0</v>
      </c>
      <c r="P151" s="17">
        <v>0</v>
      </c>
      <c r="Q151" s="17">
        <v>0</v>
      </c>
      <c r="R151" s="17">
        <v>0</v>
      </c>
      <c r="S151" s="17">
        <v>0</v>
      </c>
      <c r="T151" s="17">
        <v>0</v>
      </c>
      <c r="U151" s="17">
        <v>0</v>
      </c>
      <c r="V151" s="17">
        <v>0</v>
      </c>
      <c r="W151" s="17">
        <v>0</v>
      </c>
      <c r="X151" s="17">
        <v>0</v>
      </c>
      <c r="Y151" s="17">
        <v>0</v>
      </c>
      <c r="Z151" s="17">
        <v>0</v>
      </c>
      <c r="AA151" s="17">
        <v>0</v>
      </c>
      <c r="AB151" s="17">
        <v>0</v>
      </c>
      <c r="AC151" s="17">
        <v>0</v>
      </c>
      <c r="AD151" s="17">
        <v>0</v>
      </c>
      <c r="AE151" s="17">
        <v>0</v>
      </c>
      <c r="AF151" s="17">
        <v>0</v>
      </c>
      <c r="AG151" s="17">
        <v>0</v>
      </c>
      <c r="AH151" s="17">
        <v>0</v>
      </c>
      <c r="AI151" s="17">
        <v>0</v>
      </c>
      <c r="AJ151" s="17">
        <v>0</v>
      </c>
      <c r="AK151" s="17">
        <v>0</v>
      </c>
      <c r="AL151" s="17">
        <v>0</v>
      </c>
      <c r="AM151" s="17">
        <v>0</v>
      </c>
      <c r="AN151" s="17">
        <v>0</v>
      </c>
      <c r="AO151" s="17">
        <v>0</v>
      </c>
      <c r="AP151" s="18">
        <f t="shared" si="2"/>
        <v>42361</v>
      </c>
    </row>
    <row r="152" spans="1:42" ht="15" customHeight="1" x14ac:dyDescent="0.2">
      <c r="A152" s="16" t="s">
        <v>575</v>
      </c>
      <c r="B152" s="16" t="s">
        <v>255</v>
      </c>
      <c r="C152" s="16" t="s">
        <v>325</v>
      </c>
      <c r="D152" s="16" t="s">
        <v>641</v>
      </c>
      <c r="E152" s="17">
        <v>0</v>
      </c>
      <c r="F152" s="17">
        <v>0</v>
      </c>
      <c r="G152" s="17">
        <v>322841</v>
      </c>
      <c r="H152" s="17">
        <v>266727</v>
      </c>
      <c r="I152" s="17">
        <v>146711</v>
      </c>
      <c r="J152" s="17">
        <v>70759</v>
      </c>
      <c r="K152" s="17">
        <v>24149</v>
      </c>
      <c r="L152" s="17">
        <v>0</v>
      </c>
      <c r="M152" s="17">
        <v>0</v>
      </c>
      <c r="N152" s="17">
        <v>0</v>
      </c>
      <c r="O152" s="17">
        <v>0</v>
      </c>
      <c r="P152" s="17">
        <v>0</v>
      </c>
      <c r="Q152" s="17">
        <v>0</v>
      </c>
      <c r="R152" s="17">
        <v>0</v>
      </c>
      <c r="S152" s="17">
        <v>0</v>
      </c>
      <c r="T152" s="17">
        <v>0</v>
      </c>
      <c r="U152" s="17">
        <v>0</v>
      </c>
      <c r="V152" s="17">
        <v>0</v>
      </c>
      <c r="W152" s="17">
        <v>0</v>
      </c>
      <c r="X152" s="17">
        <v>0</v>
      </c>
      <c r="Y152" s="17">
        <v>0</v>
      </c>
      <c r="Z152" s="17">
        <v>0</v>
      </c>
      <c r="AA152" s="17">
        <v>0</v>
      </c>
      <c r="AB152" s="17">
        <v>0</v>
      </c>
      <c r="AC152" s="17">
        <v>0</v>
      </c>
      <c r="AD152" s="17">
        <v>0</v>
      </c>
      <c r="AE152" s="17">
        <v>0</v>
      </c>
      <c r="AF152" s="17">
        <v>0</v>
      </c>
      <c r="AG152" s="17">
        <v>0</v>
      </c>
      <c r="AH152" s="17">
        <v>0</v>
      </c>
      <c r="AI152" s="17">
        <v>0</v>
      </c>
      <c r="AJ152" s="17">
        <v>0</v>
      </c>
      <c r="AK152" s="17">
        <v>0</v>
      </c>
      <c r="AL152" s="17">
        <v>0</v>
      </c>
      <c r="AM152" s="17">
        <v>0</v>
      </c>
      <c r="AN152" s="17">
        <v>0</v>
      </c>
      <c r="AO152" s="17">
        <v>0</v>
      </c>
      <c r="AP152" s="18">
        <f t="shared" si="2"/>
        <v>831187</v>
      </c>
    </row>
    <row r="153" spans="1:42" ht="15" customHeight="1" x14ac:dyDescent="0.2">
      <c r="A153" s="16" t="s">
        <v>575</v>
      </c>
      <c r="B153" s="16" t="s">
        <v>255</v>
      </c>
      <c r="C153" s="16" t="s">
        <v>352</v>
      </c>
      <c r="D153" s="16" t="s">
        <v>641</v>
      </c>
      <c r="E153" s="17">
        <v>0</v>
      </c>
      <c r="F153" s="17">
        <v>0</v>
      </c>
      <c r="G153" s="17">
        <v>38300</v>
      </c>
      <c r="H153" s="17">
        <v>27422</v>
      </c>
      <c r="I153" s="17">
        <v>11737</v>
      </c>
      <c r="J153" s="17">
        <v>1751</v>
      </c>
      <c r="K153" s="17">
        <v>0</v>
      </c>
      <c r="L153" s="17">
        <v>0</v>
      </c>
      <c r="M153" s="17">
        <v>0</v>
      </c>
      <c r="N153" s="17">
        <v>0</v>
      </c>
      <c r="O153" s="17">
        <v>0</v>
      </c>
      <c r="P153" s="17">
        <v>0</v>
      </c>
      <c r="Q153" s="17">
        <v>0</v>
      </c>
      <c r="R153" s="17">
        <v>0</v>
      </c>
      <c r="S153" s="17">
        <v>0</v>
      </c>
      <c r="T153" s="17">
        <v>0</v>
      </c>
      <c r="U153" s="17">
        <v>0</v>
      </c>
      <c r="V153" s="17">
        <v>0</v>
      </c>
      <c r="W153" s="17">
        <v>0</v>
      </c>
      <c r="X153" s="17">
        <v>0</v>
      </c>
      <c r="Y153" s="17">
        <v>0</v>
      </c>
      <c r="Z153" s="17">
        <v>0</v>
      </c>
      <c r="AA153" s="17">
        <v>0</v>
      </c>
      <c r="AB153" s="17">
        <v>0</v>
      </c>
      <c r="AC153" s="17">
        <v>0</v>
      </c>
      <c r="AD153" s="17">
        <v>0</v>
      </c>
      <c r="AE153" s="17">
        <v>0</v>
      </c>
      <c r="AF153" s="17">
        <v>0</v>
      </c>
      <c r="AG153" s="17">
        <v>0</v>
      </c>
      <c r="AH153" s="17">
        <v>0</v>
      </c>
      <c r="AI153" s="17">
        <v>0</v>
      </c>
      <c r="AJ153" s="17">
        <v>0</v>
      </c>
      <c r="AK153" s="17">
        <v>0</v>
      </c>
      <c r="AL153" s="17">
        <v>0</v>
      </c>
      <c r="AM153" s="17">
        <v>0</v>
      </c>
      <c r="AN153" s="17">
        <v>0</v>
      </c>
      <c r="AO153" s="17">
        <v>0</v>
      </c>
      <c r="AP153" s="18">
        <f t="shared" si="2"/>
        <v>79210</v>
      </c>
    </row>
    <row r="154" spans="1:42" ht="15" customHeight="1" x14ac:dyDescent="0.2">
      <c r="A154" s="16" t="s">
        <v>575</v>
      </c>
      <c r="B154" s="16" t="s">
        <v>284</v>
      </c>
      <c r="C154" s="16" t="s">
        <v>389</v>
      </c>
      <c r="D154" s="16" t="s">
        <v>641</v>
      </c>
      <c r="E154" s="17">
        <v>2195</v>
      </c>
      <c r="F154" s="17">
        <v>4874</v>
      </c>
      <c r="G154" s="17">
        <v>28592</v>
      </c>
      <c r="H154" s="17">
        <v>29940</v>
      </c>
      <c r="I154" s="17">
        <v>22748</v>
      </c>
      <c r="J154" s="17">
        <v>17166</v>
      </c>
      <c r="K154" s="17">
        <v>12989</v>
      </c>
      <c r="L154" s="17">
        <v>0</v>
      </c>
      <c r="M154" s="17">
        <v>0</v>
      </c>
      <c r="N154" s="17">
        <v>0</v>
      </c>
      <c r="O154" s="17">
        <v>0</v>
      </c>
      <c r="P154" s="17">
        <v>0</v>
      </c>
      <c r="Q154" s="17">
        <v>0</v>
      </c>
      <c r="R154" s="17">
        <v>0</v>
      </c>
      <c r="S154" s="17">
        <v>0</v>
      </c>
      <c r="T154" s="17">
        <v>0</v>
      </c>
      <c r="U154" s="17">
        <v>0</v>
      </c>
      <c r="V154" s="17">
        <v>0</v>
      </c>
      <c r="W154" s="17">
        <v>0</v>
      </c>
      <c r="X154" s="17">
        <v>0</v>
      </c>
      <c r="Y154" s="17">
        <v>0</v>
      </c>
      <c r="Z154" s="17">
        <v>0</v>
      </c>
      <c r="AA154" s="17">
        <v>0</v>
      </c>
      <c r="AB154" s="17">
        <v>0</v>
      </c>
      <c r="AC154" s="17">
        <v>0</v>
      </c>
      <c r="AD154" s="17">
        <v>0</v>
      </c>
      <c r="AE154" s="17">
        <v>0</v>
      </c>
      <c r="AF154" s="17">
        <v>0</v>
      </c>
      <c r="AG154" s="17">
        <v>0</v>
      </c>
      <c r="AH154" s="17">
        <v>0</v>
      </c>
      <c r="AI154" s="17">
        <v>0</v>
      </c>
      <c r="AJ154" s="17">
        <v>0</v>
      </c>
      <c r="AK154" s="17">
        <v>0</v>
      </c>
      <c r="AL154" s="17">
        <v>0</v>
      </c>
      <c r="AM154" s="17">
        <v>0</v>
      </c>
      <c r="AN154" s="17">
        <v>0</v>
      </c>
      <c r="AO154" s="17">
        <v>0</v>
      </c>
      <c r="AP154" s="18">
        <f t="shared" si="2"/>
        <v>118504</v>
      </c>
    </row>
    <row r="155" spans="1:42" ht="15" customHeight="1" x14ac:dyDescent="0.2">
      <c r="A155" s="16" t="s">
        <v>575</v>
      </c>
      <c r="B155" s="16" t="s">
        <v>579</v>
      </c>
      <c r="C155" s="16" t="s">
        <v>408</v>
      </c>
      <c r="D155" s="16" t="s">
        <v>641</v>
      </c>
      <c r="E155" s="17">
        <v>7833</v>
      </c>
      <c r="F155" s="17">
        <v>8235</v>
      </c>
      <c r="G155" s="17">
        <v>8479</v>
      </c>
      <c r="H155" s="17">
        <v>8592</v>
      </c>
      <c r="I155" s="17">
        <v>8599</v>
      </c>
      <c r="J155" s="17">
        <v>8503</v>
      </c>
      <c r="K155" s="17">
        <v>8356</v>
      </c>
      <c r="L155" s="17">
        <v>8198</v>
      </c>
      <c r="M155" s="17">
        <v>7997</v>
      </c>
      <c r="N155" s="17">
        <v>7741</v>
      </c>
      <c r="O155" s="17">
        <v>7622</v>
      </c>
      <c r="P155" s="17">
        <v>7571</v>
      </c>
      <c r="Q155" s="17">
        <v>7419</v>
      </c>
      <c r="R155" s="17">
        <v>48936</v>
      </c>
      <c r="S155" s="17">
        <v>45656</v>
      </c>
      <c r="T155" s="17">
        <v>0</v>
      </c>
      <c r="U155" s="17">
        <v>0</v>
      </c>
      <c r="V155" s="17">
        <v>0</v>
      </c>
      <c r="W155" s="17">
        <v>0</v>
      </c>
      <c r="X155" s="17">
        <v>0</v>
      </c>
      <c r="Y155" s="17">
        <v>0</v>
      </c>
      <c r="Z155" s="17">
        <v>0</v>
      </c>
      <c r="AA155" s="17">
        <v>0</v>
      </c>
      <c r="AB155" s="17">
        <v>0</v>
      </c>
      <c r="AC155" s="17">
        <v>0</v>
      </c>
      <c r="AD155" s="17">
        <v>0</v>
      </c>
      <c r="AE155" s="17">
        <v>0</v>
      </c>
      <c r="AF155" s="17">
        <v>0</v>
      </c>
      <c r="AG155" s="17">
        <v>0</v>
      </c>
      <c r="AH155" s="17">
        <v>0</v>
      </c>
      <c r="AI155" s="17">
        <v>0</v>
      </c>
      <c r="AJ155" s="17">
        <v>0</v>
      </c>
      <c r="AK155" s="17">
        <v>0</v>
      </c>
      <c r="AL155" s="17">
        <v>0</v>
      </c>
      <c r="AM155" s="17">
        <v>0</v>
      </c>
      <c r="AN155" s="17">
        <v>0</v>
      </c>
      <c r="AO155" s="17">
        <v>0</v>
      </c>
      <c r="AP155" s="18">
        <f t="shared" si="2"/>
        <v>199737</v>
      </c>
    </row>
    <row r="156" spans="1:42" ht="15" customHeight="1" x14ac:dyDescent="0.2">
      <c r="A156" s="16" t="s">
        <v>575</v>
      </c>
      <c r="B156" s="16" t="s">
        <v>580</v>
      </c>
      <c r="C156" s="16" t="s">
        <v>276</v>
      </c>
      <c r="D156" s="16" t="s">
        <v>641</v>
      </c>
      <c r="E156" s="17">
        <v>10154</v>
      </c>
      <c r="F156" s="17">
        <v>11020</v>
      </c>
      <c r="G156" s="17">
        <v>11050</v>
      </c>
      <c r="H156" s="17">
        <v>10618</v>
      </c>
      <c r="I156" s="17">
        <v>9979</v>
      </c>
      <c r="J156" s="17">
        <v>9183</v>
      </c>
      <c r="K156" s="17">
        <v>8617</v>
      </c>
      <c r="L156" s="17">
        <v>8674</v>
      </c>
      <c r="M156" s="17">
        <v>6352</v>
      </c>
      <c r="N156" s="17">
        <v>5775</v>
      </c>
      <c r="O156" s="17">
        <v>5232</v>
      </c>
      <c r="P156" s="17">
        <v>4713</v>
      </c>
      <c r="Q156" s="17">
        <v>4237</v>
      </c>
      <c r="R156" s="17">
        <v>3773</v>
      </c>
      <c r="S156" s="17">
        <v>3357</v>
      </c>
      <c r="T156" s="17">
        <v>2978</v>
      </c>
      <c r="U156" s="17">
        <v>2638</v>
      </c>
      <c r="V156" s="17">
        <v>2323</v>
      </c>
      <c r="W156" s="17">
        <v>2044</v>
      </c>
      <c r="X156" s="17">
        <v>0</v>
      </c>
      <c r="Y156" s="17">
        <v>0</v>
      </c>
      <c r="Z156" s="17">
        <v>0</v>
      </c>
      <c r="AA156" s="17">
        <v>0</v>
      </c>
      <c r="AB156" s="17">
        <v>0</v>
      </c>
      <c r="AC156" s="17">
        <v>0</v>
      </c>
      <c r="AD156" s="17">
        <v>0</v>
      </c>
      <c r="AE156" s="17">
        <v>0</v>
      </c>
      <c r="AF156" s="17">
        <v>0</v>
      </c>
      <c r="AG156" s="17">
        <v>0</v>
      </c>
      <c r="AH156" s="17">
        <v>0</v>
      </c>
      <c r="AI156" s="17">
        <v>0</v>
      </c>
      <c r="AJ156" s="17">
        <v>0</v>
      </c>
      <c r="AK156" s="17">
        <v>0</v>
      </c>
      <c r="AL156" s="17">
        <v>0</v>
      </c>
      <c r="AM156" s="17">
        <v>0</v>
      </c>
      <c r="AN156" s="17">
        <v>0</v>
      </c>
      <c r="AO156" s="17">
        <v>0</v>
      </c>
      <c r="AP156" s="18">
        <f t="shared" si="2"/>
        <v>122717</v>
      </c>
    </row>
    <row r="157" spans="1:42" ht="15" customHeight="1" x14ac:dyDescent="0.2">
      <c r="A157" s="16" t="s">
        <v>575</v>
      </c>
      <c r="B157" s="16" t="s">
        <v>580</v>
      </c>
      <c r="C157" s="16" t="s">
        <v>281</v>
      </c>
      <c r="D157" s="16" t="s">
        <v>641</v>
      </c>
      <c r="E157" s="17">
        <v>12071</v>
      </c>
      <c r="F157" s="17">
        <v>16913</v>
      </c>
      <c r="G157" s="17">
        <v>13174</v>
      </c>
      <c r="H157" s="17">
        <v>10257</v>
      </c>
      <c r="I157" s="17">
        <v>8013</v>
      </c>
      <c r="J157" s="17">
        <v>6221</v>
      </c>
      <c r="K157" s="17">
        <v>93047</v>
      </c>
      <c r="L157" s="17">
        <v>0</v>
      </c>
      <c r="M157" s="17">
        <v>0</v>
      </c>
      <c r="N157" s="17">
        <v>0</v>
      </c>
      <c r="O157" s="17">
        <v>0</v>
      </c>
      <c r="P157" s="17">
        <v>0</v>
      </c>
      <c r="Q157" s="17">
        <v>0</v>
      </c>
      <c r="R157" s="17">
        <v>0</v>
      </c>
      <c r="S157" s="17">
        <v>0</v>
      </c>
      <c r="T157" s="17">
        <v>0</v>
      </c>
      <c r="U157" s="17">
        <v>0</v>
      </c>
      <c r="V157" s="17">
        <v>0</v>
      </c>
      <c r="W157" s="17">
        <v>0</v>
      </c>
      <c r="X157" s="17">
        <v>0</v>
      </c>
      <c r="Y157" s="17">
        <v>0</v>
      </c>
      <c r="Z157" s="17">
        <v>0</v>
      </c>
      <c r="AA157" s="17">
        <v>0</v>
      </c>
      <c r="AB157" s="17">
        <v>0</v>
      </c>
      <c r="AC157" s="17">
        <v>0</v>
      </c>
      <c r="AD157" s="17">
        <v>0</v>
      </c>
      <c r="AE157" s="17">
        <v>0</v>
      </c>
      <c r="AF157" s="17">
        <v>0</v>
      </c>
      <c r="AG157" s="17">
        <v>0</v>
      </c>
      <c r="AH157" s="17">
        <v>0</v>
      </c>
      <c r="AI157" s="17">
        <v>0</v>
      </c>
      <c r="AJ157" s="17">
        <v>0</v>
      </c>
      <c r="AK157" s="17">
        <v>0</v>
      </c>
      <c r="AL157" s="17">
        <v>0</v>
      </c>
      <c r="AM157" s="17">
        <v>0</v>
      </c>
      <c r="AN157" s="17">
        <v>0</v>
      </c>
      <c r="AO157" s="17">
        <v>0</v>
      </c>
      <c r="AP157" s="18">
        <f t="shared" si="2"/>
        <v>159696</v>
      </c>
    </row>
    <row r="158" spans="1:42" ht="15" customHeight="1" x14ac:dyDescent="0.2">
      <c r="A158" s="16" t="s">
        <v>575</v>
      </c>
      <c r="B158" s="16" t="s">
        <v>581</v>
      </c>
      <c r="C158" s="16" t="s">
        <v>147</v>
      </c>
      <c r="D158" s="16" t="s">
        <v>641</v>
      </c>
      <c r="E158" s="17">
        <v>20</v>
      </c>
      <c r="F158" s="17">
        <v>38</v>
      </c>
      <c r="G158" s="17">
        <v>29</v>
      </c>
      <c r="H158" s="17">
        <v>31</v>
      </c>
      <c r="I158" s="17">
        <v>34</v>
      </c>
      <c r="J158" s="17">
        <v>41</v>
      </c>
      <c r="K158" s="17">
        <v>44</v>
      </c>
      <c r="L158" s="17">
        <v>49</v>
      </c>
      <c r="M158" s="17">
        <v>54</v>
      </c>
      <c r="N158" s="17">
        <v>211</v>
      </c>
      <c r="O158" s="17">
        <v>190</v>
      </c>
      <c r="P158" s="17">
        <v>174</v>
      </c>
      <c r="Q158" s="17">
        <v>161</v>
      </c>
      <c r="R158" s="17">
        <v>151</v>
      </c>
      <c r="S158" s="17">
        <v>142</v>
      </c>
      <c r="T158" s="17">
        <v>139</v>
      </c>
      <c r="U158" s="17">
        <v>0</v>
      </c>
      <c r="V158" s="17">
        <v>0</v>
      </c>
      <c r="W158" s="17">
        <v>0</v>
      </c>
      <c r="X158" s="17">
        <v>0</v>
      </c>
      <c r="Y158" s="17">
        <v>0</v>
      </c>
      <c r="Z158" s="17">
        <v>0</v>
      </c>
      <c r="AA158" s="17">
        <v>0</v>
      </c>
      <c r="AB158" s="17">
        <v>0</v>
      </c>
      <c r="AC158" s="17">
        <v>0</v>
      </c>
      <c r="AD158" s="17">
        <v>0</v>
      </c>
      <c r="AE158" s="17">
        <v>0</v>
      </c>
      <c r="AF158" s="17">
        <v>0</v>
      </c>
      <c r="AG158" s="17">
        <v>0</v>
      </c>
      <c r="AH158" s="17">
        <v>0</v>
      </c>
      <c r="AI158" s="17">
        <v>0</v>
      </c>
      <c r="AJ158" s="17">
        <v>0</v>
      </c>
      <c r="AK158" s="17">
        <v>0</v>
      </c>
      <c r="AL158" s="17">
        <v>0</v>
      </c>
      <c r="AM158" s="17">
        <v>0</v>
      </c>
      <c r="AN158" s="17">
        <v>0</v>
      </c>
      <c r="AO158" s="17">
        <v>0</v>
      </c>
      <c r="AP158" s="18">
        <f t="shared" si="2"/>
        <v>1508</v>
      </c>
    </row>
    <row r="159" spans="1:42" ht="15" customHeight="1" x14ac:dyDescent="0.2">
      <c r="A159" s="16" t="s">
        <v>575</v>
      </c>
      <c r="B159" s="16" t="s">
        <v>581</v>
      </c>
      <c r="C159" s="16" t="s">
        <v>303</v>
      </c>
      <c r="D159" s="16" t="s">
        <v>641</v>
      </c>
      <c r="E159" s="17">
        <v>0</v>
      </c>
      <c r="F159" s="17">
        <v>0</v>
      </c>
      <c r="G159" s="17">
        <v>144</v>
      </c>
      <c r="H159" s="17">
        <v>573</v>
      </c>
      <c r="I159" s="17">
        <v>1271</v>
      </c>
      <c r="J159" s="17">
        <v>1498</v>
      </c>
      <c r="K159" s="17">
        <v>1464</v>
      </c>
      <c r="L159" s="17">
        <v>1348</v>
      </c>
      <c r="M159" s="17">
        <v>1230</v>
      </c>
      <c r="N159" s="17">
        <v>1789</v>
      </c>
      <c r="O159" s="17">
        <v>1490</v>
      </c>
      <c r="P159" s="17">
        <v>1261</v>
      </c>
      <c r="Q159" s="17">
        <v>1089</v>
      </c>
      <c r="R159" s="17">
        <v>945</v>
      </c>
      <c r="S159" s="17">
        <v>835</v>
      </c>
      <c r="T159" s="17">
        <v>741</v>
      </c>
      <c r="U159" s="17">
        <v>0</v>
      </c>
      <c r="V159" s="17">
        <v>0</v>
      </c>
      <c r="W159" s="17">
        <v>0</v>
      </c>
      <c r="X159" s="17">
        <v>0</v>
      </c>
      <c r="Y159" s="17">
        <v>0</v>
      </c>
      <c r="Z159" s="17">
        <v>0</v>
      </c>
      <c r="AA159" s="17">
        <v>0</v>
      </c>
      <c r="AB159" s="17">
        <v>0</v>
      </c>
      <c r="AC159" s="17">
        <v>0</v>
      </c>
      <c r="AD159" s="17">
        <v>0</v>
      </c>
      <c r="AE159" s="17">
        <v>0</v>
      </c>
      <c r="AF159" s="17">
        <v>0</v>
      </c>
      <c r="AG159" s="17">
        <v>0</v>
      </c>
      <c r="AH159" s="17">
        <v>0</v>
      </c>
      <c r="AI159" s="17">
        <v>0</v>
      </c>
      <c r="AJ159" s="17">
        <v>0</v>
      </c>
      <c r="AK159" s="17">
        <v>0</v>
      </c>
      <c r="AL159" s="17">
        <v>0</v>
      </c>
      <c r="AM159" s="17">
        <v>0</v>
      </c>
      <c r="AN159" s="17">
        <v>0</v>
      </c>
      <c r="AO159" s="17">
        <v>0</v>
      </c>
      <c r="AP159" s="18">
        <f t="shared" si="2"/>
        <v>15678</v>
      </c>
    </row>
    <row r="160" spans="1:42" ht="15" customHeight="1" x14ac:dyDescent="0.2">
      <c r="A160" s="16" t="s">
        <v>575</v>
      </c>
      <c r="B160" s="16" t="s">
        <v>407</v>
      </c>
      <c r="C160" s="16" t="s">
        <v>407</v>
      </c>
      <c r="D160" s="16" t="s">
        <v>641</v>
      </c>
      <c r="E160" s="17">
        <v>10084</v>
      </c>
      <c r="F160" s="17">
        <v>12236</v>
      </c>
      <c r="G160" s="17">
        <v>60554</v>
      </c>
      <c r="H160" s="17">
        <v>51474</v>
      </c>
      <c r="I160" s="17">
        <v>0</v>
      </c>
      <c r="J160" s="17">
        <v>0</v>
      </c>
      <c r="K160" s="17">
        <v>0</v>
      </c>
      <c r="L160" s="17">
        <v>0</v>
      </c>
      <c r="M160" s="17">
        <v>0</v>
      </c>
      <c r="N160" s="17">
        <v>0</v>
      </c>
      <c r="O160" s="17">
        <v>0</v>
      </c>
      <c r="P160" s="17">
        <v>0</v>
      </c>
      <c r="Q160" s="17">
        <v>0</v>
      </c>
      <c r="R160" s="17">
        <v>0</v>
      </c>
      <c r="S160" s="17">
        <v>0</v>
      </c>
      <c r="T160" s="17">
        <v>0</v>
      </c>
      <c r="U160" s="17">
        <v>0</v>
      </c>
      <c r="V160" s="17">
        <v>0</v>
      </c>
      <c r="W160" s="17">
        <v>0</v>
      </c>
      <c r="X160" s="17">
        <v>0</v>
      </c>
      <c r="Y160" s="17">
        <v>0</v>
      </c>
      <c r="Z160" s="17">
        <v>0</v>
      </c>
      <c r="AA160" s="17">
        <v>0</v>
      </c>
      <c r="AB160" s="17">
        <v>0</v>
      </c>
      <c r="AC160" s="17">
        <v>0</v>
      </c>
      <c r="AD160" s="17">
        <v>0</v>
      </c>
      <c r="AE160" s="17">
        <v>0</v>
      </c>
      <c r="AF160" s="17">
        <v>0</v>
      </c>
      <c r="AG160" s="17">
        <v>0</v>
      </c>
      <c r="AH160" s="17">
        <v>0</v>
      </c>
      <c r="AI160" s="17">
        <v>0</v>
      </c>
      <c r="AJ160" s="17">
        <v>0</v>
      </c>
      <c r="AK160" s="17">
        <v>0</v>
      </c>
      <c r="AL160" s="17">
        <v>0</v>
      </c>
      <c r="AM160" s="17">
        <v>0</v>
      </c>
      <c r="AN160" s="17">
        <v>0</v>
      </c>
      <c r="AO160" s="17">
        <v>0</v>
      </c>
      <c r="AP160" s="18">
        <f t="shared" si="2"/>
        <v>134348</v>
      </c>
    </row>
    <row r="161" spans="1:42" ht="15" customHeight="1" x14ac:dyDescent="0.2">
      <c r="A161" s="16" t="s">
        <v>575</v>
      </c>
      <c r="B161" s="16" t="s">
        <v>582</v>
      </c>
      <c r="C161" s="16" t="s">
        <v>262</v>
      </c>
      <c r="D161" s="16" t="s">
        <v>641</v>
      </c>
      <c r="E161" s="17">
        <v>8619</v>
      </c>
      <c r="F161" s="17">
        <v>12372</v>
      </c>
      <c r="G161" s="17">
        <v>14334</v>
      </c>
      <c r="H161" s="17">
        <v>15065</v>
      </c>
      <c r="I161" s="17">
        <v>15017</v>
      </c>
      <c r="J161" s="17">
        <v>14349</v>
      </c>
      <c r="K161" s="17">
        <v>13411</v>
      </c>
      <c r="L161" s="17">
        <v>12307</v>
      </c>
      <c r="M161" s="17">
        <v>11163</v>
      </c>
      <c r="N161" s="17">
        <v>9954</v>
      </c>
      <c r="O161" s="17">
        <v>8822</v>
      </c>
      <c r="P161" s="17">
        <v>7763</v>
      </c>
      <c r="Q161" s="17">
        <v>7519</v>
      </c>
      <c r="R161" s="17">
        <v>8889</v>
      </c>
      <c r="S161" s="17">
        <v>7418</v>
      </c>
      <c r="T161" s="17">
        <v>3903</v>
      </c>
      <c r="U161" s="17">
        <v>6511</v>
      </c>
      <c r="V161" s="17">
        <v>0</v>
      </c>
      <c r="W161" s="17">
        <v>0</v>
      </c>
      <c r="X161" s="17">
        <v>0</v>
      </c>
      <c r="Y161" s="17">
        <v>0</v>
      </c>
      <c r="Z161" s="17">
        <v>0</v>
      </c>
      <c r="AA161" s="17">
        <v>0</v>
      </c>
      <c r="AB161" s="17">
        <v>0</v>
      </c>
      <c r="AC161" s="17">
        <v>0</v>
      </c>
      <c r="AD161" s="17">
        <v>0</v>
      </c>
      <c r="AE161" s="17">
        <v>0</v>
      </c>
      <c r="AF161" s="17">
        <v>0</v>
      </c>
      <c r="AG161" s="17">
        <v>0</v>
      </c>
      <c r="AH161" s="17">
        <v>0</v>
      </c>
      <c r="AI161" s="17">
        <v>0</v>
      </c>
      <c r="AJ161" s="17">
        <v>0</v>
      </c>
      <c r="AK161" s="17">
        <v>0</v>
      </c>
      <c r="AL161" s="17">
        <v>0</v>
      </c>
      <c r="AM161" s="17">
        <v>0</v>
      </c>
      <c r="AN161" s="17">
        <v>0</v>
      </c>
      <c r="AO161" s="17">
        <v>0</v>
      </c>
      <c r="AP161" s="18">
        <f t="shared" si="2"/>
        <v>177416</v>
      </c>
    </row>
    <row r="162" spans="1:42" ht="15" customHeight="1" x14ac:dyDescent="0.2">
      <c r="A162" s="16" t="s">
        <v>575</v>
      </c>
      <c r="B162" s="16" t="s">
        <v>582</v>
      </c>
      <c r="C162" s="16" t="s">
        <v>378</v>
      </c>
      <c r="D162" s="16" t="s">
        <v>641</v>
      </c>
      <c r="E162" s="17">
        <v>13366</v>
      </c>
      <c r="F162" s="17">
        <v>13972</v>
      </c>
      <c r="G162" s="17">
        <v>13744</v>
      </c>
      <c r="H162" s="17">
        <v>13416</v>
      </c>
      <c r="I162" s="17">
        <v>13037</v>
      </c>
      <c r="J162" s="17">
        <v>12523</v>
      </c>
      <c r="K162" s="17">
        <v>12014</v>
      </c>
      <c r="L162" s="17">
        <v>11478</v>
      </c>
      <c r="M162" s="17">
        <v>10948</v>
      </c>
      <c r="N162" s="17">
        <v>10364</v>
      </c>
      <c r="O162" s="17">
        <v>9803</v>
      </c>
      <c r="P162" s="17">
        <v>9261</v>
      </c>
      <c r="Q162" s="17">
        <v>8749</v>
      </c>
      <c r="R162" s="17">
        <v>8205</v>
      </c>
      <c r="S162" s="17">
        <v>7709</v>
      </c>
      <c r="T162" s="17">
        <v>7224</v>
      </c>
      <c r="U162" s="17">
        <v>61857</v>
      </c>
      <c r="V162" s="17">
        <v>0</v>
      </c>
      <c r="W162" s="17">
        <v>0</v>
      </c>
      <c r="X162" s="17">
        <v>0</v>
      </c>
      <c r="Y162" s="17">
        <v>0</v>
      </c>
      <c r="Z162" s="17">
        <v>0</v>
      </c>
      <c r="AA162" s="17">
        <v>0</v>
      </c>
      <c r="AB162" s="17">
        <v>0</v>
      </c>
      <c r="AC162" s="17">
        <v>0</v>
      </c>
      <c r="AD162" s="17">
        <v>0</v>
      </c>
      <c r="AE162" s="17">
        <v>0</v>
      </c>
      <c r="AF162" s="17">
        <v>0</v>
      </c>
      <c r="AG162" s="17">
        <v>0</v>
      </c>
      <c r="AH162" s="17">
        <v>0</v>
      </c>
      <c r="AI162" s="17">
        <v>0</v>
      </c>
      <c r="AJ162" s="17">
        <v>0</v>
      </c>
      <c r="AK162" s="17">
        <v>0</v>
      </c>
      <c r="AL162" s="17">
        <v>0</v>
      </c>
      <c r="AM162" s="17">
        <v>0</v>
      </c>
      <c r="AN162" s="17">
        <v>0</v>
      </c>
      <c r="AO162" s="17">
        <v>0</v>
      </c>
      <c r="AP162" s="18">
        <f t="shared" si="2"/>
        <v>237670</v>
      </c>
    </row>
    <row r="163" spans="1:42" ht="24" customHeight="1" x14ac:dyDescent="0.2">
      <c r="A163" s="16" t="s">
        <v>584</v>
      </c>
      <c r="B163" s="16" t="s">
        <v>585</v>
      </c>
      <c r="C163" s="16" t="s">
        <v>242</v>
      </c>
      <c r="D163" s="16" t="s">
        <v>641</v>
      </c>
      <c r="E163" s="17">
        <v>502.32220000000001</v>
      </c>
      <c r="F163" s="17">
        <v>3459.0970000000002</v>
      </c>
      <c r="G163" s="17">
        <v>20200.773700000002</v>
      </c>
      <c r="H163" s="17">
        <v>20352.3649</v>
      </c>
      <c r="I163" s="17">
        <v>19659.2814</v>
      </c>
      <c r="J163" s="17">
        <v>18461.997800000001</v>
      </c>
      <c r="K163" s="17">
        <v>49733.453200000004</v>
      </c>
      <c r="L163" s="17">
        <v>41642.351300000002</v>
      </c>
      <c r="M163" s="17">
        <v>1880.2614000000001</v>
      </c>
      <c r="N163" s="17">
        <v>3482.8726999999999</v>
      </c>
      <c r="O163" s="17">
        <v>11193.4655</v>
      </c>
      <c r="P163" s="17">
        <v>9480.5282999999999</v>
      </c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8">
        <f t="shared" si="2"/>
        <v>200048.76939999999</v>
      </c>
    </row>
    <row r="164" spans="1:42" ht="24" customHeight="1" x14ac:dyDescent="0.2">
      <c r="A164" s="16" t="s">
        <v>584</v>
      </c>
      <c r="B164" s="16" t="s">
        <v>585</v>
      </c>
      <c r="C164" s="16" t="s">
        <v>295</v>
      </c>
      <c r="D164" s="16" t="s">
        <v>641</v>
      </c>
      <c r="E164" s="17">
        <v>2400.44</v>
      </c>
      <c r="F164" s="17">
        <v>12212.5939</v>
      </c>
      <c r="G164" s="17">
        <v>43023.909299999999</v>
      </c>
      <c r="H164" s="17">
        <v>17070.2245</v>
      </c>
      <c r="I164" s="17">
        <v>8658.2068999999992</v>
      </c>
      <c r="J164" s="17">
        <v>11901.9097</v>
      </c>
      <c r="K164" s="17">
        <v>22814.203099999999</v>
      </c>
      <c r="L164" s="17">
        <v>18634.9002</v>
      </c>
      <c r="M164" s="17">
        <v>12422.835499999999</v>
      </c>
      <c r="N164" s="17">
        <v>16056.0342</v>
      </c>
      <c r="O164" s="17">
        <v>14231.825800000001</v>
      </c>
      <c r="P164" s="17">
        <v>4375.09</v>
      </c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8">
        <f t="shared" si="2"/>
        <v>183802.17309999999</v>
      </c>
    </row>
    <row r="165" spans="1:42" ht="15" customHeight="1" x14ac:dyDescent="0.2">
      <c r="A165" s="16" t="s">
        <v>586</v>
      </c>
      <c r="B165" s="16" t="s">
        <v>587</v>
      </c>
      <c r="C165" s="16" t="s">
        <v>422</v>
      </c>
      <c r="D165" s="16" t="s">
        <v>641</v>
      </c>
      <c r="E165" s="17">
        <v>13881.189399999999</v>
      </c>
      <c r="F165" s="17">
        <v>93386.108999999997</v>
      </c>
      <c r="G165" s="17">
        <v>80018.785600000003</v>
      </c>
      <c r="H165" s="17">
        <v>58513.848400000003</v>
      </c>
      <c r="I165" s="17">
        <v>77438.776100000003</v>
      </c>
      <c r="J165" s="17">
        <v>57190.428500000002</v>
      </c>
      <c r="K165" s="17">
        <v>23718.486799999999</v>
      </c>
      <c r="L165" s="17">
        <v>15065.5303</v>
      </c>
      <c r="M165" s="17">
        <v>3302.2244999999998</v>
      </c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8">
        <f t="shared" si="2"/>
        <v>422515.3786</v>
      </c>
    </row>
    <row r="166" spans="1:42" ht="24" customHeight="1" x14ac:dyDescent="0.2">
      <c r="A166" s="16" t="s">
        <v>588</v>
      </c>
      <c r="B166" s="16" t="s">
        <v>379</v>
      </c>
      <c r="C166" s="16" t="s">
        <v>379</v>
      </c>
      <c r="D166" s="16" t="s">
        <v>641</v>
      </c>
      <c r="E166" s="17">
        <v>49070.287499999999</v>
      </c>
      <c r="F166" s="17">
        <v>145700.68119999999</v>
      </c>
      <c r="G166" s="17">
        <v>349503.96289999998</v>
      </c>
      <c r="H166" s="17">
        <v>320257.81910000002</v>
      </c>
      <c r="I166" s="17">
        <v>510501.80160000001</v>
      </c>
      <c r="J166" s="17">
        <v>512933.03879999998</v>
      </c>
      <c r="K166" s="17">
        <v>428603.16869999998</v>
      </c>
      <c r="L166" s="17">
        <v>364369.57909999997</v>
      </c>
      <c r="M166" s="17">
        <v>314579.79690000002</v>
      </c>
      <c r="N166" s="17">
        <v>275167.87589999998</v>
      </c>
      <c r="O166" s="17">
        <v>240062.05919999999</v>
      </c>
      <c r="P166" s="17">
        <v>211211.3829</v>
      </c>
      <c r="Q166" s="17">
        <v>188127.8884</v>
      </c>
      <c r="R166" s="17">
        <v>168521.85209999999</v>
      </c>
      <c r="S166" s="17">
        <v>149625.03289999999</v>
      </c>
      <c r="T166" s="17">
        <v>134804.7298</v>
      </c>
      <c r="U166" s="17">
        <v>123028.939</v>
      </c>
      <c r="V166" s="17">
        <v>112360.7426</v>
      </c>
      <c r="W166" s="17">
        <v>101911.10739999999</v>
      </c>
      <c r="X166" s="17">
        <v>93232.447899999999</v>
      </c>
      <c r="Y166" s="17">
        <v>85594.079299999998</v>
      </c>
      <c r="Z166" s="17">
        <v>79207.831900000005</v>
      </c>
      <c r="AA166" s="17">
        <v>72193.849600000001</v>
      </c>
      <c r="AB166" s="17">
        <v>67491.395300000004</v>
      </c>
      <c r="AC166" s="17">
        <v>63013.699099999998</v>
      </c>
      <c r="AD166" s="17">
        <v>59452.201999999997</v>
      </c>
      <c r="AE166" s="17">
        <v>55592.211000000003</v>
      </c>
      <c r="AF166" s="17">
        <v>51885.730300000003</v>
      </c>
      <c r="AG166" s="17">
        <v>49179.4139</v>
      </c>
      <c r="AH166" s="17">
        <v>47381.027300000002</v>
      </c>
      <c r="AI166" s="17">
        <v>43429.9709</v>
      </c>
      <c r="AJ166" s="17">
        <v>39819.291400000002</v>
      </c>
      <c r="AK166" s="17">
        <v>76178.319499999998</v>
      </c>
      <c r="AL166" s="17">
        <v>70689.464699999997</v>
      </c>
      <c r="AM166" s="17">
        <v>65591.084300000002</v>
      </c>
      <c r="AN166" s="17">
        <v>62657.881800000003</v>
      </c>
      <c r="AO166" s="17">
        <v>310767.39270000003</v>
      </c>
      <c r="AP166" s="18">
        <f t="shared" si="2"/>
        <v>6093699.0389</v>
      </c>
    </row>
    <row r="167" spans="1:42" ht="24" customHeight="1" x14ac:dyDescent="0.2">
      <c r="A167" s="16" t="s">
        <v>588</v>
      </c>
      <c r="B167" s="16" t="s">
        <v>589</v>
      </c>
      <c r="C167" s="16" t="s">
        <v>420</v>
      </c>
      <c r="D167" s="16" t="s">
        <v>641</v>
      </c>
      <c r="E167" s="17">
        <v>1111.1966</v>
      </c>
      <c r="F167" s="17">
        <v>19250.6718</v>
      </c>
      <c r="G167" s="17">
        <v>20177.6518</v>
      </c>
      <c r="H167" s="17">
        <v>19302.238499999999</v>
      </c>
      <c r="I167" s="17">
        <v>18874.875700000001</v>
      </c>
      <c r="J167" s="17">
        <v>18695.117999999999</v>
      </c>
      <c r="K167" s="17">
        <v>18635.1522</v>
      </c>
      <c r="L167" s="17">
        <v>18696.920300000002</v>
      </c>
      <c r="M167" s="17">
        <v>18841.2284</v>
      </c>
      <c r="N167" s="17">
        <v>18948.762999999999</v>
      </c>
      <c r="O167" s="17">
        <v>19037.0232</v>
      </c>
      <c r="P167" s="17">
        <v>19147.231800000001</v>
      </c>
      <c r="Q167" s="17">
        <v>19264.974900000001</v>
      </c>
      <c r="R167" s="17">
        <v>19292.628799999999</v>
      </c>
      <c r="S167" s="17">
        <v>19299.858199999999</v>
      </c>
      <c r="T167" s="17">
        <v>19279.292300000001</v>
      </c>
      <c r="U167" s="17">
        <v>19274.667000000001</v>
      </c>
      <c r="V167" s="17">
        <v>19162.755799999999</v>
      </c>
      <c r="W167" s="17">
        <v>19046.9732</v>
      </c>
      <c r="X167" s="17">
        <v>18906.5602</v>
      </c>
      <c r="Y167" s="17">
        <v>18798.005000000001</v>
      </c>
      <c r="Z167" s="17">
        <v>18577.7022</v>
      </c>
      <c r="AA167" s="17">
        <v>18362.520100000002</v>
      </c>
      <c r="AB167" s="17">
        <v>18127.768100000001</v>
      </c>
      <c r="AC167" s="17">
        <v>17936.3884</v>
      </c>
      <c r="AD167" s="17">
        <v>18530.8806</v>
      </c>
      <c r="AE167" s="17">
        <v>18253.404399999999</v>
      </c>
      <c r="AF167" s="17">
        <v>54354.844299999997</v>
      </c>
      <c r="AG167" s="17">
        <v>52100.1564</v>
      </c>
      <c r="AH167" s="17">
        <v>49079.831400000003</v>
      </c>
      <c r="AI167" s="17">
        <v>45400.260799999996</v>
      </c>
      <c r="AJ167" s="17">
        <v>43099.668299999998</v>
      </c>
      <c r="AK167" s="17">
        <v>41341.613100000002</v>
      </c>
      <c r="AL167" s="17">
        <v>39445.3243</v>
      </c>
      <c r="AM167" s="17">
        <v>37750.336000000003</v>
      </c>
      <c r="AN167" s="17"/>
      <c r="AO167" s="17"/>
      <c r="AP167" s="18">
        <f t="shared" si="2"/>
        <v>855404.48510000005</v>
      </c>
    </row>
    <row r="168" spans="1:42" ht="15" customHeight="1" x14ac:dyDescent="0.2">
      <c r="A168" s="16" t="s">
        <v>590</v>
      </c>
      <c r="B168" s="16" t="s">
        <v>127</v>
      </c>
      <c r="C168" s="16" t="s">
        <v>127</v>
      </c>
      <c r="D168" s="16" t="s">
        <v>641</v>
      </c>
      <c r="E168" s="17">
        <v>10375</v>
      </c>
      <c r="F168" s="17">
        <v>9554</v>
      </c>
      <c r="G168" s="17">
        <v>8826</v>
      </c>
      <c r="H168" s="17">
        <v>8068</v>
      </c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8">
        <f t="shared" si="2"/>
        <v>36823</v>
      </c>
    </row>
    <row r="169" spans="1:42" ht="15" customHeight="1" x14ac:dyDescent="0.2">
      <c r="A169" s="16" t="s">
        <v>590</v>
      </c>
      <c r="B169" s="16" t="s">
        <v>591</v>
      </c>
      <c r="C169" s="16" t="s">
        <v>425</v>
      </c>
      <c r="D169" s="16" t="s">
        <v>641</v>
      </c>
      <c r="E169" s="17">
        <v>41680</v>
      </c>
      <c r="F169" s="17">
        <v>37407</v>
      </c>
      <c r="G169" s="17">
        <v>33669</v>
      </c>
      <c r="H169" s="17">
        <v>30304</v>
      </c>
      <c r="I169" s="17">
        <v>22987</v>
      </c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8">
        <f t="shared" si="2"/>
        <v>166047</v>
      </c>
    </row>
    <row r="170" spans="1:42" ht="15" customHeight="1" x14ac:dyDescent="0.2">
      <c r="A170" s="16" t="s">
        <v>590</v>
      </c>
      <c r="B170" s="16" t="s">
        <v>304</v>
      </c>
      <c r="C170" s="16" t="s">
        <v>304</v>
      </c>
      <c r="D170" s="16" t="s">
        <v>641</v>
      </c>
      <c r="E170" s="17">
        <v>111008.61</v>
      </c>
      <c r="F170" s="17">
        <v>96855.06</v>
      </c>
      <c r="G170" s="17">
        <v>83546.759999999995</v>
      </c>
      <c r="H170" s="17">
        <v>72036.95</v>
      </c>
      <c r="I170" s="17">
        <v>54721</v>
      </c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8">
        <f t="shared" si="2"/>
        <v>418168.38</v>
      </c>
    </row>
    <row r="171" spans="1:42" ht="15" customHeight="1" x14ac:dyDescent="0.2">
      <c r="A171" s="16" t="s">
        <v>590</v>
      </c>
      <c r="B171" s="16" t="s">
        <v>377</v>
      </c>
      <c r="C171" s="16" t="s">
        <v>377</v>
      </c>
      <c r="D171" s="16" t="s">
        <v>641</v>
      </c>
      <c r="E171" s="17">
        <v>8437</v>
      </c>
      <c r="F171" s="17">
        <v>6774</v>
      </c>
      <c r="G171" s="17">
        <v>5088</v>
      </c>
      <c r="H171" s="17">
        <v>4253</v>
      </c>
      <c r="I171" s="17">
        <v>3571</v>
      </c>
      <c r="J171" s="17">
        <v>2988</v>
      </c>
      <c r="K171" s="17">
        <v>1279</v>
      </c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8">
        <f t="shared" si="2"/>
        <v>32390</v>
      </c>
    </row>
    <row r="172" spans="1:42" ht="15" customHeight="1" x14ac:dyDescent="0.2">
      <c r="A172" s="16" t="s">
        <v>592</v>
      </c>
      <c r="B172" s="16" t="s">
        <v>593</v>
      </c>
      <c r="C172" s="16" t="s">
        <v>186</v>
      </c>
      <c r="D172" s="16" t="s">
        <v>641</v>
      </c>
      <c r="E172" s="17">
        <v>52856</v>
      </c>
      <c r="F172" s="17">
        <v>114520</v>
      </c>
      <c r="G172" s="17">
        <v>149199</v>
      </c>
      <c r="H172" s="17">
        <v>104557</v>
      </c>
      <c r="I172" s="17">
        <v>44305</v>
      </c>
      <c r="J172" s="17">
        <v>28271</v>
      </c>
      <c r="K172" s="17">
        <v>19759</v>
      </c>
      <c r="L172" s="17">
        <v>15894</v>
      </c>
      <c r="M172" s="17">
        <v>13325</v>
      </c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8">
        <f t="shared" si="2"/>
        <v>542686</v>
      </c>
    </row>
    <row r="173" spans="1:42" ht="15" customHeight="1" x14ac:dyDescent="0.2">
      <c r="A173" s="16" t="s">
        <v>592</v>
      </c>
      <c r="B173" s="16" t="s">
        <v>593</v>
      </c>
      <c r="C173" s="16" t="s">
        <v>224</v>
      </c>
      <c r="D173" s="16" t="s">
        <v>641</v>
      </c>
      <c r="E173" s="17">
        <v>72997</v>
      </c>
      <c r="F173" s="17">
        <v>308496</v>
      </c>
      <c r="G173" s="17">
        <v>393661</v>
      </c>
      <c r="H173" s="17">
        <v>174650</v>
      </c>
      <c r="I173" s="17">
        <v>103926</v>
      </c>
      <c r="J173" s="17">
        <v>70860</v>
      </c>
      <c r="K173" s="17">
        <v>226673</v>
      </c>
      <c r="L173" s="17">
        <v>130796</v>
      </c>
      <c r="M173" s="17">
        <v>78674</v>
      </c>
      <c r="N173" s="17">
        <v>51328</v>
      </c>
      <c r="O173" s="17">
        <v>33248</v>
      </c>
      <c r="P173" s="17">
        <v>23622</v>
      </c>
      <c r="Q173" s="17">
        <v>18630</v>
      </c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8">
        <f t="shared" si="2"/>
        <v>1687561</v>
      </c>
    </row>
    <row r="174" spans="1:42" ht="15" customHeight="1" x14ac:dyDescent="0.2">
      <c r="A174" s="16" t="s">
        <v>594</v>
      </c>
      <c r="B174" s="16" t="s">
        <v>595</v>
      </c>
      <c r="C174" s="16" t="s">
        <v>298</v>
      </c>
      <c r="D174" s="16" t="s">
        <v>641</v>
      </c>
      <c r="E174" s="17">
        <v>385.64260000000002</v>
      </c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8">
        <f t="shared" si="2"/>
        <v>385.64260000000002</v>
      </c>
    </row>
    <row r="175" spans="1:42" ht="15" customHeight="1" x14ac:dyDescent="0.2">
      <c r="A175" s="16" t="s">
        <v>594</v>
      </c>
      <c r="B175" s="16" t="s">
        <v>595</v>
      </c>
      <c r="C175" s="16" t="s">
        <v>356</v>
      </c>
      <c r="D175" s="16" t="s">
        <v>641</v>
      </c>
      <c r="E175" s="17">
        <v>124.9734</v>
      </c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8">
        <f t="shared" si="2"/>
        <v>124.9734</v>
      </c>
    </row>
    <row r="176" spans="1:42" ht="15" customHeight="1" x14ac:dyDescent="0.2">
      <c r="A176" s="16" t="s">
        <v>594</v>
      </c>
      <c r="B176" s="16" t="s">
        <v>596</v>
      </c>
      <c r="C176" s="16" t="s">
        <v>120</v>
      </c>
      <c r="D176" s="16" t="s">
        <v>641</v>
      </c>
      <c r="E176" s="17">
        <v>16623.693500000001</v>
      </c>
      <c r="F176" s="17">
        <v>147019.74489999999</v>
      </c>
      <c r="G176" s="17">
        <v>92315.788700000005</v>
      </c>
      <c r="H176" s="17">
        <v>60129.550199999998</v>
      </c>
      <c r="I176" s="17">
        <v>39776.044300000001</v>
      </c>
      <c r="J176" s="17">
        <v>26555.692299999999</v>
      </c>
      <c r="K176" s="17">
        <v>18422.8151</v>
      </c>
      <c r="L176" s="17">
        <v>13026.4882</v>
      </c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8">
        <f t="shared" si="2"/>
        <v>413869.81719999999</v>
      </c>
    </row>
    <row r="177" spans="1:42" ht="15" customHeight="1" x14ac:dyDescent="0.2">
      <c r="A177" s="16" t="s">
        <v>594</v>
      </c>
      <c r="B177" s="16" t="s">
        <v>596</v>
      </c>
      <c r="C177" s="16" t="s">
        <v>136</v>
      </c>
      <c r="D177" s="16" t="s">
        <v>641</v>
      </c>
      <c r="E177" s="17">
        <v>1843.8469</v>
      </c>
      <c r="F177" s="17">
        <v>131920.00049999999</v>
      </c>
      <c r="G177" s="17">
        <v>94991.394199999995</v>
      </c>
      <c r="H177" s="17">
        <v>64544.640700000004</v>
      </c>
      <c r="I177" s="17">
        <v>46169.021800000002</v>
      </c>
      <c r="J177" s="17">
        <v>60050.2912</v>
      </c>
      <c r="K177" s="17">
        <v>48392.307200000003</v>
      </c>
      <c r="L177" s="17">
        <v>39814.653599999998</v>
      </c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8">
        <f t="shared" si="2"/>
        <v>487726.15609999996</v>
      </c>
    </row>
    <row r="178" spans="1:42" ht="15" customHeight="1" x14ac:dyDescent="0.2">
      <c r="A178" s="16" t="s">
        <v>594</v>
      </c>
      <c r="B178" s="16" t="s">
        <v>596</v>
      </c>
      <c r="C178" s="16" t="s">
        <v>416</v>
      </c>
      <c r="D178" s="16" t="s">
        <v>641</v>
      </c>
      <c r="E178" s="17">
        <v>95109.862500000003</v>
      </c>
      <c r="F178" s="17">
        <v>232831.81289999999</v>
      </c>
      <c r="G178" s="17">
        <v>144205.1814</v>
      </c>
      <c r="H178" s="17">
        <v>93053.706900000005</v>
      </c>
      <c r="I178" s="17">
        <v>62563.072699999997</v>
      </c>
      <c r="J178" s="17">
        <v>60969.664900000003</v>
      </c>
      <c r="K178" s="17">
        <v>46016.390700000004</v>
      </c>
      <c r="L178" s="17">
        <v>35660.015800000001</v>
      </c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8">
        <f t="shared" si="2"/>
        <v>770409.70780000009</v>
      </c>
    </row>
    <row r="179" spans="1:42" ht="15" customHeight="1" x14ac:dyDescent="0.2">
      <c r="A179" s="16" t="s">
        <v>597</v>
      </c>
      <c r="B179" s="16" t="s">
        <v>421</v>
      </c>
      <c r="C179" s="16" t="s">
        <v>421</v>
      </c>
      <c r="D179" s="16" t="s">
        <v>641</v>
      </c>
      <c r="E179" s="17">
        <v>115783.9528</v>
      </c>
      <c r="F179" s="17">
        <v>190406.2959</v>
      </c>
      <c r="G179" s="17">
        <v>553830.3321</v>
      </c>
      <c r="H179" s="17">
        <v>1090109.2922</v>
      </c>
      <c r="I179" s="17">
        <v>1568299.8218</v>
      </c>
      <c r="J179" s="17">
        <v>1980016.3337999999</v>
      </c>
      <c r="K179" s="17">
        <v>2344109.0011</v>
      </c>
      <c r="L179" s="17">
        <v>2551898.7623999999</v>
      </c>
      <c r="M179" s="17">
        <v>2432677.7814000002</v>
      </c>
      <c r="N179" s="17">
        <v>2126600.2346000001</v>
      </c>
      <c r="O179" s="17">
        <v>1864510.0695</v>
      </c>
      <c r="P179" s="17">
        <v>1634757.2826</v>
      </c>
      <c r="Q179" s="17">
        <v>1435429.3051</v>
      </c>
      <c r="R179" s="17">
        <v>1254979.1161</v>
      </c>
      <c r="S179" s="17">
        <v>1100486.6162</v>
      </c>
      <c r="T179" s="17">
        <v>965033.32830000005</v>
      </c>
      <c r="U179" s="17">
        <v>848440.66529999999</v>
      </c>
      <c r="V179" s="17">
        <v>742406.26489999995</v>
      </c>
      <c r="W179" s="17">
        <v>652885.87780000002</v>
      </c>
      <c r="X179" s="17">
        <v>595567.65029999998</v>
      </c>
      <c r="Y179" s="17">
        <v>563480.39040000003</v>
      </c>
      <c r="Z179" s="17">
        <v>491326.68329999998</v>
      </c>
      <c r="AA179" s="17">
        <v>496361.04029999999</v>
      </c>
      <c r="AB179" s="17">
        <v>662176.42209999997</v>
      </c>
      <c r="AC179" s="17">
        <v>613690.48089999997</v>
      </c>
      <c r="AD179" s="17">
        <v>502306.57699999999</v>
      </c>
      <c r="AE179" s="17">
        <v>443060.3382</v>
      </c>
      <c r="AF179" s="17">
        <v>586217.83660000004</v>
      </c>
      <c r="AG179" s="17">
        <v>768381.38749999995</v>
      </c>
      <c r="AH179" s="17">
        <v>824358.29399999999</v>
      </c>
      <c r="AI179" s="17">
        <v>752818.2023</v>
      </c>
      <c r="AJ179" s="17">
        <v>662864.39850000001</v>
      </c>
      <c r="AK179" s="17">
        <v>586530.35959999997</v>
      </c>
      <c r="AL179" s="17">
        <v>516150.98379999999</v>
      </c>
      <c r="AM179" s="17">
        <v>455540.61800000002</v>
      </c>
      <c r="AN179" s="17">
        <v>402047.58130000002</v>
      </c>
      <c r="AO179" s="17">
        <v>1635909.9569999999</v>
      </c>
      <c r="AP179" s="18">
        <f t="shared" si="2"/>
        <v>37011449.534999996</v>
      </c>
    </row>
    <row r="180" spans="1:42" ht="24" customHeight="1" x14ac:dyDescent="0.2">
      <c r="A180" s="16" t="s">
        <v>598</v>
      </c>
      <c r="B180" s="16" t="s">
        <v>151</v>
      </c>
      <c r="C180" s="16" t="s">
        <v>151</v>
      </c>
      <c r="D180" s="16" t="s">
        <v>641</v>
      </c>
      <c r="E180" s="17">
        <v>1582.2038</v>
      </c>
      <c r="F180" s="17">
        <v>4911.0421999999999</v>
      </c>
      <c r="G180" s="17">
        <v>7797.6247999999996</v>
      </c>
      <c r="H180" s="17">
        <v>5538.6824999999999</v>
      </c>
      <c r="I180" s="17">
        <v>6247.8928999999998</v>
      </c>
      <c r="J180" s="17">
        <v>7309.0707000000002</v>
      </c>
      <c r="K180" s="17">
        <v>10478.6695</v>
      </c>
      <c r="L180" s="17">
        <v>10088.110500000001</v>
      </c>
      <c r="M180" s="17">
        <v>6722.4771000000001</v>
      </c>
      <c r="N180" s="17">
        <v>3891.7136</v>
      </c>
      <c r="O180" s="17">
        <v>0</v>
      </c>
      <c r="P180" s="17">
        <v>0</v>
      </c>
      <c r="Q180" s="17">
        <v>0</v>
      </c>
      <c r="R180" s="17">
        <v>0</v>
      </c>
      <c r="S180" s="17">
        <v>0</v>
      </c>
      <c r="T180" s="17">
        <v>0</v>
      </c>
      <c r="U180" s="17">
        <v>0</v>
      </c>
      <c r="V180" s="17">
        <v>0</v>
      </c>
      <c r="W180" s="17">
        <v>0</v>
      </c>
      <c r="X180" s="17">
        <v>0</v>
      </c>
      <c r="Y180" s="17">
        <v>0</v>
      </c>
      <c r="Z180" s="17">
        <v>0</v>
      </c>
      <c r="AA180" s="17">
        <v>0</v>
      </c>
      <c r="AB180" s="17">
        <v>0</v>
      </c>
      <c r="AC180" s="17">
        <v>0</v>
      </c>
      <c r="AD180" s="17">
        <v>0</v>
      </c>
      <c r="AE180" s="17">
        <v>0</v>
      </c>
      <c r="AF180" s="17">
        <v>0</v>
      </c>
      <c r="AG180" s="17">
        <v>0</v>
      </c>
      <c r="AH180" s="17">
        <v>0</v>
      </c>
      <c r="AI180" s="17">
        <v>0</v>
      </c>
      <c r="AJ180" s="17">
        <v>0</v>
      </c>
      <c r="AK180" s="17">
        <v>0</v>
      </c>
      <c r="AL180" s="17">
        <v>0</v>
      </c>
      <c r="AM180" s="17">
        <v>0</v>
      </c>
      <c r="AN180" s="17">
        <v>0</v>
      </c>
      <c r="AO180" s="17">
        <v>0</v>
      </c>
      <c r="AP180" s="18">
        <f t="shared" si="2"/>
        <v>64567.487600000008</v>
      </c>
    </row>
    <row r="181" spans="1:42" ht="24" customHeight="1" x14ac:dyDescent="0.2">
      <c r="A181" s="16" t="s">
        <v>598</v>
      </c>
      <c r="B181" s="16" t="s">
        <v>599</v>
      </c>
      <c r="C181" s="16" t="s">
        <v>230</v>
      </c>
      <c r="D181" s="16" t="s">
        <v>641</v>
      </c>
      <c r="E181" s="17">
        <v>6746.9993000000004</v>
      </c>
      <c r="F181" s="17">
        <v>18188.439699999999</v>
      </c>
      <c r="G181" s="17">
        <v>30091.8292</v>
      </c>
      <c r="H181" s="17">
        <v>45441.567000000003</v>
      </c>
      <c r="I181" s="17">
        <v>61800.603499999997</v>
      </c>
      <c r="J181" s="17">
        <v>63218.242899999997</v>
      </c>
      <c r="K181" s="17">
        <v>163330.12669999999</v>
      </c>
      <c r="L181" s="17">
        <v>126275.5876</v>
      </c>
      <c r="M181" s="17">
        <v>99820.787100000001</v>
      </c>
      <c r="N181" s="17">
        <v>7331.0371999999998</v>
      </c>
      <c r="O181" s="17">
        <v>0</v>
      </c>
      <c r="P181" s="17">
        <v>0</v>
      </c>
      <c r="Q181" s="17">
        <v>0</v>
      </c>
      <c r="R181" s="17">
        <v>0</v>
      </c>
      <c r="S181" s="17">
        <v>0</v>
      </c>
      <c r="T181" s="17">
        <v>0</v>
      </c>
      <c r="U181" s="17">
        <v>0</v>
      </c>
      <c r="V181" s="17">
        <v>0</v>
      </c>
      <c r="W181" s="17">
        <v>0</v>
      </c>
      <c r="X181" s="17">
        <v>0</v>
      </c>
      <c r="Y181" s="17">
        <v>0</v>
      </c>
      <c r="Z181" s="17">
        <v>0</v>
      </c>
      <c r="AA181" s="17">
        <v>0</v>
      </c>
      <c r="AB181" s="17">
        <v>0</v>
      </c>
      <c r="AC181" s="17">
        <v>0</v>
      </c>
      <c r="AD181" s="17">
        <v>0</v>
      </c>
      <c r="AE181" s="17">
        <v>0</v>
      </c>
      <c r="AF181" s="17">
        <v>0</v>
      </c>
      <c r="AG181" s="17">
        <v>0</v>
      </c>
      <c r="AH181" s="17">
        <v>0</v>
      </c>
      <c r="AI181" s="17">
        <v>0</v>
      </c>
      <c r="AJ181" s="17">
        <v>0</v>
      </c>
      <c r="AK181" s="17">
        <v>0</v>
      </c>
      <c r="AL181" s="17">
        <v>0</v>
      </c>
      <c r="AM181" s="17">
        <v>0</v>
      </c>
      <c r="AN181" s="17">
        <v>0</v>
      </c>
      <c r="AO181" s="17">
        <v>0</v>
      </c>
      <c r="AP181" s="18">
        <f t="shared" si="2"/>
        <v>622245.22019999998</v>
      </c>
    </row>
    <row r="182" spans="1:42" ht="24" customHeight="1" x14ac:dyDescent="0.2">
      <c r="A182" s="16" t="s">
        <v>598</v>
      </c>
      <c r="B182" s="16" t="s">
        <v>599</v>
      </c>
      <c r="C182" s="16" t="s">
        <v>231</v>
      </c>
      <c r="D182" s="16" t="s">
        <v>641</v>
      </c>
      <c r="E182" s="17">
        <v>388.37560000000002</v>
      </c>
      <c r="F182" s="17">
        <v>841.68679999999995</v>
      </c>
      <c r="G182" s="17">
        <v>1097.9795999999999</v>
      </c>
      <c r="H182" s="17">
        <v>1231.9338</v>
      </c>
      <c r="I182" s="17">
        <v>1292.9945</v>
      </c>
      <c r="J182" s="17">
        <v>1299.1253999999999</v>
      </c>
      <c r="K182" s="17">
        <v>1279.1912</v>
      </c>
      <c r="L182" s="17">
        <v>1241.3811000000001</v>
      </c>
      <c r="M182" s="17">
        <v>7578.0649999999996</v>
      </c>
      <c r="N182" s="17">
        <v>4981.8617999999997</v>
      </c>
      <c r="O182" s="17">
        <v>0</v>
      </c>
      <c r="P182" s="17">
        <v>0</v>
      </c>
      <c r="Q182" s="17">
        <v>0</v>
      </c>
      <c r="R182" s="17">
        <v>0</v>
      </c>
      <c r="S182" s="17">
        <v>0</v>
      </c>
      <c r="T182" s="17">
        <v>0</v>
      </c>
      <c r="U182" s="17">
        <v>0</v>
      </c>
      <c r="V182" s="17">
        <v>0</v>
      </c>
      <c r="W182" s="17">
        <v>0</v>
      </c>
      <c r="X182" s="17">
        <v>0</v>
      </c>
      <c r="Y182" s="17">
        <v>0</v>
      </c>
      <c r="Z182" s="17">
        <v>0</v>
      </c>
      <c r="AA182" s="17">
        <v>0</v>
      </c>
      <c r="AB182" s="17">
        <v>0</v>
      </c>
      <c r="AC182" s="17">
        <v>0</v>
      </c>
      <c r="AD182" s="17">
        <v>0</v>
      </c>
      <c r="AE182" s="17">
        <v>0</v>
      </c>
      <c r="AF182" s="17">
        <v>0</v>
      </c>
      <c r="AG182" s="17">
        <v>0</v>
      </c>
      <c r="AH182" s="17">
        <v>0</v>
      </c>
      <c r="AI182" s="17">
        <v>0</v>
      </c>
      <c r="AJ182" s="17">
        <v>0</v>
      </c>
      <c r="AK182" s="17">
        <v>0</v>
      </c>
      <c r="AL182" s="17">
        <v>0</v>
      </c>
      <c r="AM182" s="17">
        <v>0</v>
      </c>
      <c r="AN182" s="17">
        <v>0</v>
      </c>
      <c r="AO182" s="17">
        <v>0</v>
      </c>
      <c r="AP182" s="18">
        <f t="shared" si="2"/>
        <v>21232.594799999999</v>
      </c>
    </row>
    <row r="183" spans="1:42" ht="24" customHeight="1" x14ac:dyDescent="0.2">
      <c r="A183" s="16" t="s">
        <v>598</v>
      </c>
      <c r="B183" s="16" t="s">
        <v>600</v>
      </c>
      <c r="C183" s="16" t="s">
        <v>288</v>
      </c>
      <c r="D183" s="16" t="s">
        <v>641</v>
      </c>
      <c r="E183" s="17">
        <v>0</v>
      </c>
      <c r="F183" s="17">
        <v>879.69330000000002</v>
      </c>
      <c r="G183" s="17">
        <v>3218.5947000000001</v>
      </c>
      <c r="H183" s="17">
        <v>3503.5734000000002</v>
      </c>
      <c r="I183" s="17">
        <v>10839.022800000001</v>
      </c>
      <c r="J183" s="17">
        <v>5760.9102999999996</v>
      </c>
      <c r="K183" s="17">
        <v>0</v>
      </c>
      <c r="L183" s="17">
        <v>0</v>
      </c>
      <c r="M183" s="17">
        <v>0</v>
      </c>
      <c r="N183" s="17">
        <v>0</v>
      </c>
      <c r="O183" s="17">
        <v>0</v>
      </c>
      <c r="P183" s="17">
        <v>0</v>
      </c>
      <c r="Q183" s="17">
        <v>0</v>
      </c>
      <c r="R183" s="17">
        <v>0</v>
      </c>
      <c r="S183" s="17">
        <v>0</v>
      </c>
      <c r="T183" s="17">
        <v>0</v>
      </c>
      <c r="U183" s="17">
        <v>0</v>
      </c>
      <c r="V183" s="17">
        <v>0</v>
      </c>
      <c r="W183" s="17">
        <v>0</v>
      </c>
      <c r="X183" s="17">
        <v>0</v>
      </c>
      <c r="Y183" s="17">
        <v>0</v>
      </c>
      <c r="Z183" s="17">
        <v>0</v>
      </c>
      <c r="AA183" s="17">
        <v>0</v>
      </c>
      <c r="AB183" s="17">
        <v>0</v>
      </c>
      <c r="AC183" s="17">
        <v>0</v>
      </c>
      <c r="AD183" s="17">
        <v>0</v>
      </c>
      <c r="AE183" s="17">
        <v>0</v>
      </c>
      <c r="AF183" s="17">
        <v>0</v>
      </c>
      <c r="AG183" s="17">
        <v>0</v>
      </c>
      <c r="AH183" s="17">
        <v>0</v>
      </c>
      <c r="AI183" s="17">
        <v>0</v>
      </c>
      <c r="AJ183" s="17">
        <v>0</v>
      </c>
      <c r="AK183" s="17">
        <v>0</v>
      </c>
      <c r="AL183" s="17">
        <v>0</v>
      </c>
      <c r="AM183" s="17">
        <v>0</v>
      </c>
      <c r="AN183" s="17">
        <v>0</v>
      </c>
      <c r="AO183" s="17">
        <v>0</v>
      </c>
      <c r="AP183" s="18">
        <f t="shared" si="2"/>
        <v>24201.7945</v>
      </c>
    </row>
    <row r="184" spans="1:42" ht="15" customHeight="1" x14ac:dyDescent="0.2">
      <c r="A184" s="16" t="s">
        <v>603</v>
      </c>
      <c r="B184" s="16" t="s">
        <v>604</v>
      </c>
      <c r="C184" s="16" t="s">
        <v>263</v>
      </c>
      <c r="D184" s="16" t="s">
        <v>641</v>
      </c>
      <c r="E184" s="17">
        <v>296215.01559999998</v>
      </c>
      <c r="F184" s="17">
        <v>982024.73679999996</v>
      </c>
      <c r="G184" s="17">
        <v>1185923.0623999999</v>
      </c>
      <c r="H184" s="17">
        <v>299302.02909999999</v>
      </c>
      <c r="I184" s="17">
        <v>105431.5937</v>
      </c>
      <c r="J184" s="17">
        <v>104499.0327</v>
      </c>
      <c r="K184" s="17">
        <v>106992.51949999999</v>
      </c>
      <c r="L184" s="17">
        <v>74865.600399999996</v>
      </c>
      <c r="M184" s="17">
        <v>77148.107900000003</v>
      </c>
      <c r="N184" s="17">
        <v>104728.1067</v>
      </c>
      <c r="O184" s="17">
        <v>136891.90770000001</v>
      </c>
      <c r="P184" s="17">
        <v>159319.3119</v>
      </c>
      <c r="Q184" s="17">
        <v>195335.66560000001</v>
      </c>
      <c r="R184" s="17">
        <v>197097.97949999999</v>
      </c>
      <c r="S184" s="17">
        <v>196801.22380000001</v>
      </c>
      <c r="T184" s="17">
        <v>168896.6238</v>
      </c>
      <c r="U184" s="17">
        <v>187620.07269999999</v>
      </c>
      <c r="V184" s="17">
        <v>200584.87220000001</v>
      </c>
      <c r="W184" s="17">
        <v>188273.2231</v>
      </c>
      <c r="X184" s="17">
        <v>177376.06659999999</v>
      </c>
      <c r="Y184" s="17">
        <v>168110.3768</v>
      </c>
      <c r="Z184" s="17">
        <v>106721.56660000001</v>
      </c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8">
        <f t="shared" si="2"/>
        <v>5420158.6950999992</v>
      </c>
    </row>
    <row r="185" spans="1:42" ht="15" customHeight="1" x14ac:dyDescent="0.2">
      <c r="A185" s="16" t="s">
        <v>603</v>
      </c>
      <c r="B185" s="16" t="s">
        <v>604</v>
      </c>
      <c r="C185" s="16" t="s">
        <v>307</v>
      </c>
      <c r="D185" s="16" t="s">
        <v>641</v>
      </c>
      <c r="E185" s="17">
        <v>19118.704399999999</v>
      </c>
      <c r="F185" s="17">
        <v>49328.152999999998</v>
      </c>
      <c r="G185" s="17">
        <v>97452.5052</v>
      </c>
      <c r="H185" s="17">
        <v>77511.864600000001</v>
      </c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8">
        <f t="shared" si="2"/>
        <v>243411.22719999999</v>
      </c>
    </row>
    <row r="186" spans="1:42" ht="15" customHeight="1" x14ac:dyDescent="0.2">
      <c r="A186" s="16" t="s">
        <v>605</v>
      </c>
      <c r="B186" s="16" t="s">
        <v>121</v>
      </c>
      <c r="C186" s="16" t="s">
        <v>121</v>
      </c>
      <c r="D186" s="16" t="s">
        <v>641</v>
      </c>
      <c r="E186" s="17">
        <v>30793.184099999999</v>
      </c>
      <c r="F186" s="17">
        <v>63359.864699999998</v>
      </c>
      <c r="G186" s="17">
        <v>93930.982999999993</v>
      </c>
      <c r="H186" s="17">
        <v>101558.3459</v>
      </c>
      <c r="I186" s="17">
        <v>89339.355599999995</v>
      </c>
      <c r="J186" s="17">
        <v>81236.853600000002</v>
      </c>
      <c r="K186" s="17">
        <v>77315.122399999993</v>
      </c>
      <c r="L186" s="17">
        <v>68949.623200000002</v>
      </c>
      <c r="M186" s="17">
        <v>61572.755100000002</v>
      </c>
      <c r="N186" s="17">
        <v>58131.069499999998</v>
      </c>
      <c r="O186" s="17">
        <v>55374.354899999998</v>
      </c>
      <c r="P186" s="17">
        <v>52000.123200000002</v>
      </c>
      <c r="Q186" s="17">
        <v>48963.067300000002</v>
      </c>
      <c r="R186" s="17">
        <v>45782.478900000002</v>
      </c>
      <c r="S186" s="17">
        <v>42901.697699999997</v>
      </c>
      <c r="T186" s="17">
        <v>38537.652699999999</v>
      </c>
      <c r="U186" s="17">
        <v>89154.422900000005</v>
      </c>
      <c r="V186" s="17">
        <v>0</v>
      </c>
      <c r="W186" s="17">
        <v>0</v>
      </c>
      <c r="X186" s="17">
        <v>0</v>
      </c>
      <c r="Y186" s="17">
        <v>0</v>
      </c>
      <c r="Z186" s="17">
        <v>0</v>
      </c>
      <c r="AA186" s="17">
        <v>0</v>
      </c>
      <c r="AB186" s="17">
        <v>0</v>
      </c>
      <c r="AC186" s="17">
        <v>0</v>
      </c>
      <c r="AD186" s="17">
        <v>0</v>
      </c>
      <c r="AE186" s="17">
        <v>0</v>
      </c>
      <c r="AF186" s="17">
        <v>0</v>
      </c>
      <c r="AG186" s="17">
        <v>0</v>
      </c>
      <c r="AH186" s="17">
        <v>0</v>
      </c>
      <c r="AI186" s="17">
        <v>0</v>
      </c>
      <c r="AJ186" s="17">
        <v>0</v>
      </c>
      <c r="AK186" s="17">
        <v>0</v>
      </c>
      <c r="AL186" s="17">
        <v>0</v>
      </c>
      <c r="AM186" s="17">
        <v>0</v>
      </c>
      <c r="AN186" s="17">
        <v>0</v>
      </c>
      <c r="AO186" s="17">
        <v>0</v>
      </c>
      <c r="AP186" s="18">
        <f t="shared" si="2"/>
        <v>1098900.9547000001</v>
      </c>
    </row>
    <row r="187" spans="1:42" ht="15" customHeight="1" x14ac:dyDescent="0.2">
      <c r="A187" s="16" t="s">
        <v>605</v>
      </c>
      <c r="B187" s="16" t="s">
        <v>132</v>
      </c>
      <c r="C187" s="16" t="s">
        <v>132</v>
      </c>
      <c r="D187" s="16" t="s">
        <v>641</v>
      </c>
      <c r="E187" s="17">
        <v>1194586.2579000001</v>
      </c>
      <c r="F187" s="17">
        <v>1031447.8845</v>
      </c>
      <c r="G187" s="17">
        <v>1233376.0913</v>
      </c>
      <c r="H187" s="17">
        <v>1052922.1614000001</v>
      </c>
      <c r="I187" s="17">
        <v>858900.45970000001</v>
      </c>
      <c r="J187" s="17">
        <v>587336.96299999999</v>
      </c>
      <c r="K187" s="17">
        <v>428088.85119999998</v>
      </c>
      <c r="L187" s="17">
        <v>337988.4964</v>
      </c>
      <c r="M187" s="17">
        <v>296622.96990000003</v>
      </c>
      <c r="N187" s="17">
        <v>212307.62</v>
      </c>
      <c r="O187" s="17">
        <v>184635.2947</v>
      </c>
      <c r="P187" s="17">
        <v>108130.3211</v>
      </c>
      <c r="Q187" s="17">
        <v>0</v>
      </c>
      <c r="R187" s="17">
        <v>0</v>
      </c>
      <c r="S187" s="17">
        <v>0</v>
      </c>
      <c r="T187" s="17">
        <v>0</v>
      </c>
      <c r="U187" s="17">
        <v>0</v>
      </c>
      <c r="V187" s="17">
        <v>0</v>
      </c>
      <c r="W187" s="17">
        <v>0</v>
      </c>
      <c r="X187" s="17">
        <v>0</v>
      </c>
      <c r="Y187" s="17">
        <v>0</v>
      </c>
      <c r="Z187" s="17">
        <v>0</v>
      </c>
      <c r="AA187" s="17">
        <v>0</v>
      </c>
      <c r="AB187" s="17">
        <v>0</v>
      </c>
      <c r="AC187" s="17">
        <v>0</v>
      </c>
      <c r="AD187" s="17">
        <v>0</v>
      </c>
      <c r="AE187" s="17">
        <v>0</v>
      </c>
      <c r="AF187" s="17">
        <v>0</v>
      </c>
      <c r="AG187" s="17">
        <v>0</v>
      </c>
      <c r="AH187" s="17">
        <v>0</v>
      </c>
      <c r="AI187" s="17">
        <v>0</v>
      </c>
      <c r="AJ187" s="17">
        <v>0</v>
      </c>
      <c r="AK187" s="17">
        <v>0</v>
      </c>
      <c r="AL187" s="17">
        <v>0</v>
      </c>
      <c r="AM187" s="17">
        <v>0</v>
      </c>
      <c r="AN187" s="17">
        <v>0</v>
      </c>
      <c r="AO187" s="17">
        <v>0</v>
      </c>
      <c r="AP187" s="18">
        <f t="shared" si="2"/>
        <v>7526343.371100001</v>
      </c>
    </row>
    <row r="188" spans="1:42" ht="15" customHeight="1" x14ac:dyDescent="0.2">
      <c r="A188" s="16" t="s">
        <v>605</v>
      </c>
      <c r="B188" s="16" t="s">
        <v>149</v>
      </c>
      <c r="C188" s="16" t="s">
        <v>149</v>
      </c>
      <c r="D188" s="16" t="s">
        <v>641</v>
      </c>
      <c r="E188" s="17">
        <v>76075.535699999993</v>
      </c>
      <c r="F188" s="17">
        <v>585260.39190000005</v>
      </c>
      <c r="G188" s="17">
        <v>558166.68279999995</v>
      </c>
      <c r="H188" s="17">
        <v>423705.8174</v>
      </c>
      <c r="I188" s="17">
        <v>334055.33519999997</v>
      </c>
      <c r="J188" s="17">
        <v>269319.7512</v>
      </c>
      <c r="K188" s="17">
        <v>223829.25570000001</v>
      </c>
      <c r="L188" s="17">
        <v>192185.5478</v>
      </c>
      <c r="M188" s="17">
        <v>186522.1078</v>
      </c>
      <c r="N188" s="17">
        <v>157141.5061</v>
      </c>
      <c r="O188" s="17">
        <v>64043.462899999999</v>
      </c>
      <c r="P188" s="17">
        <v>31592.7844</v>
      </c>
      <c r="Q188" s="17">
        <v>29120.152900000001</v>
      </c>
      <c r="R188" s="17">
        <v>4474.7046</v>
      </c>
      <c r="S188" s="17">
        <v>0</v>
      </c>
      <c r="T188" s="17">
        <v>0</v>
      </c>
      <c r="U188" s="17">
        <v>0</v>
      </c>
      <c r="V188" s="17">
        <v>0</v>
      </c>
      <c r="W188" s="17">
        <v>0</v>
      </c>
      <c r="X188" s="17">
        <v>0</v>
      </c>
      <c r="Y188" s="17">
        <v>0</v>
      </c>
      <c r="Z188" s="17">
        <v>0</v>
      </c>
      <c r="AA188" s="17">
        <v>0</v>
      </c>
      <c r="AB188" s="17">
        <v>0</v>
      </c>
      <c r="AC188" s="17">
        <v>0</v>
      </c>
      <c r="AD188" s="17">
        <v>0</v>
      </c>
      <c r="AE188" s="17">
        <v>0</v>
      </c>
      <c r="AF188" s="17">
        <v>0</v>
      </c>
      <c r="AG188" s="17">
        <v>0</v>
      </c>
      <c r="AH188" s="17">
        <v>0</v>
      </c>
      <c r="AI188" s="17">
        <v>0</v>
      </c>
      <c r="AJ188" s="17">
        <v>0</v>
      </c>
      <c r="AK188" s="17">
        <v>0</v>
      </c>
      <c r="AL188" s="17">
        <v>0</v>
      </c>
      <c r="AM188" s="17">
        <v>0</v>
      </c>
      <c r="AN188" s="17">
        <v>0</v>
      </c>
      <c r="AO188" s="17">
        <v>0</v>
      </c>
      <c r="AP188" s="18">
        <f t="shared" si="2"/>
        <v>3135493.0363999996</v>
      </c>
    </row>
    <row r="189" spans="1:42" ht="15" customHeight="1" x14ac:dyDescent="0.2">
      <c r="A189" s="16" t="s">
        <v>605</v>
      </c>
      <c r="B189" s="16" t="s">
        <v>168</v>
      </c>
      <c r="C189" s="16" t="s">
        <v>129</v>
      </c>
      <c r="D189" s="16" t="s">
        <v>641</v>
      </c>
      <c r="E189" s="17">
        <v>380193.26990000001</v>
      </c>
      <c r="F189" s="17">
        <v>739239.34250000003</v>
      </c>
      <c r="G189" s="17">
        <v>924829.67370000004</v>
      </c>
      <c r="H189" s="17">
        <v>550981.91619999998</v>
      </c>
      <c r="I189" s="17">
        <v>402639.49900000001</v>
      </c>
      <c r="J189" s="17">
        <v>421055.06660000002</v>
      </c>
      <c r="K189" s="17">
        <v>451411.13809999998</v>
      </c>
      <c r="L189" s="17">
        <v>364593.23979999998</v>
      </c>
      <c r="M189" s="17">
        <v>24061.147400000002</v>
      </c>
      <c r="N189" s="17">
        <v>0</v>
      </c>
      <c r="O189" s="17">
        <v>0</v>
      </c>
      <c r="P189" s="17">
        <v>0</v>
      </c>
      <c r="Q189" s="17">
        <v>0</v>
      </c>
      <c r="R189" s="17">
        <v>0</v>
      </c>
      <c r="S189" s="17">
        <v>0</v>
      </c>
      <c r="T189" s="17">
        <v>0</v>
      </c>
      <c r="U189" s="17">
        <v>0</v>
      </c>
      <c r="V189" s="17">
        <v>0</v>
      </c>
      <c r="W189" s="17">
        <v>0</v>
      </c>
      <c r="X189" s="17">
        <v>0</v>
      </c>
      <c r="Y189" s="17">
        <v>0</v>
      </c>
      <c r="Z189" s="17">
        <v>0</v>
      </c>
      <c r="AA189" s="17">
        <v>0</v>
      </c>
      <c r="AB189" s="17">
        <v>0</v>
      </c>
      <c r="AC189" s="17">
        <v>0</v>
      </c>
      <c r="AD189" s="17">
        <v>0</v>
      </c>
      <c r="AE189" s="17">
        <v>0</v>
      </c>
      <c r="AF189" s="17">
        <v>0</v>
      </c>
      <c r="AG189" s="17">
        <v>0</v>
      </c>
      <c r="AH189" s="17">
        <v>0</v>
      </c>
      <c r="AI189" s="17">
        <v>0</v>
      </c>
      <c r="AJ189" s="17">
        <v>0</v>
      </c>
      <c r="AK189" s="17">
        <v>0</v>
      </c>
      <c r="AL189" s="17">
        <v>0</v>
      </c>
      <c r="AM189" s="17">
        <v>0</v>
      </c>
      <c r="AN189" s="17">
        <v>0</v>
      </c>
      <c r="AO189" s="17">
        <v>0</v>
      </c>
      <c r="AP189" s="18">
        <f t="shared" si="2"/>
        <v>4259004.2932000002</v>
      </c>
    </row>
    <row r="190" spans="1:42" ht="15" customHeight="1" x14ac:dyDescent="0.2">
      <c r="A190" s="16" t="s">
        <v>605</v>
      </c>
      <c r="B190" s="16" t="s">
        <v>168</v>
      </c>
      <c r="C190" s="16" t="s">
        <v>168</v>
      </c>
      <c r="D190" s="16" t="s">
        <v>641</v>
      </c>
      <c r="E190" s="17">
        <v>9933.6733000000004</v>
      </c>
      <c r="F190" s="17">
        <v>75920.353799999997</v>
      </c>
      <c r="G190" s="17">
        <v>224885.46739999999</v>
      </c>
      <c r="H190" s="17">
        <v>112444.2626</v>
      </c>
      <c r="I190" s="17">
        <v>65214.215100000001</v>
      </c>
      <c r="J190" s="17">
        <v>48769.578099999999</v>
      </c>
      <c r="K190" s="17">
        <v>41728.968999999997</v>
      </c>
      <c r="L190" s="17">
        <v>37897.423999999999</v>
      </c>
      <c r="M190" s="17">
        <v>3089.6774999999998</v>
      </c>
      <c r="N190" s="17">
        <v>0</v>
      </c>
      <c r="O190" s="17">
        <v>0</v>
      </c>
      <c r="P190" s="17">
        <v>0</v>
      </c>
      <c r="Q190" s="17">
        <v>0</v>
      </c>
      <c r="R190" s="17">
        <v>0</v>
      </c>
      <c r="S190" s="17">
        <v>0</v>
      </c>
      <c r="T190" s="17">
        <v>0</v>
      </c>
      <c r="U190" s="17">
        <v>0</v>
      </c>
      <c r="V190" s="17">
        <v>0</v>
      </c>
      <c r="W190" s="17">
        <v>0</v>
      </c>
      <c r="X190" s="17">
        <v>0</v>
      </c>
      <c r="Y190" s="17">
        <v>0</v>
      </c>
      <c r="Z190" s="17">
        <v>0</v>
      </c>
      <c r="AA190" s="17">
        <v>0</v>
      </c>
      <c r="AB190" s="17">
        <v>0</v>
      </c>
      <c r="AC190" s="17">
        <v>0</v>
      </c>
      <c r="AD190" s="17">
        <v>0</v>
      </c>
      <c r="AE190" s="17">
        <v>0</v>
      </c>
      <c r="AF190" s="17">
        <v>0</v>
      </c>
      <c r="AG190" s="17">
        <v>0</v>
      </c>
      <c r="AH190" s="17">
        <v>0</v>
      </c>
      <c r="AI190" s="17">
        <v>0</v>
      </c>
      <c r="AJ190" s="17">
        <v>0</v>
      </c>
      <c r="AK190" s="17">
        <v>0</v>
      </c>
      <c r="AL190" s="17">
        <v>0</v>
      </c>
      <c r="AM190" s="17">
        <v>0</v>
      </c>
      <c r="AN190" s="17">
        <v>0</v>
      </c>
      <c r="AO190" s="17">
        <v>0</v>
      </c>
      <c r="AP190" s="18">
        <f t="shared" si="2"/>
        <v>619883.62080000003</v>
      </c>
    </row>
    <row r="191" spans="1:42" ht="15" customHeight="1" x14ac:dyDescent="0.2">
      <c r="A191" s="16" t="s">
        <v>605</v>
      </c>
      <c r="B191" s="16" t="s">
        <v>168</v>
      </c>
      <c r="C191" s="16" t="s">
        <v>169</v>
      </c>
      <c r="D191" s="16" t="s">
        <v>641</v>
      </c>
      <c r="E191" s="17">
        <v>35837.514000000003</v>
      </c>
      <c r="F191" s="17">
        <v>28803.635300000002</v>
      </c>
      <c r="G191" s="17">
        <v>21579.208200000001</v>
      </c>
      <c r="H191" s="17">
        <v>146743.5759</v>
      </c>
      <c r="I191" s="17">
        <v>113386.6329</v>
      </c>
      <c r="J191" s="17">
        <v>504912.80060000002</v>
      </c>
      <c r="K191" s="17">
        <v>332529.35560000001</v>
      </c>
      <c r="L191" s="17">
        <v>224032.4074</v>
      </c>
      <c r="M191" s="17">
        <v>16130.120500000001</v>
      </c>
      <c r="N191" s="17">
        <v>0</v>
      </c>
      <c r="O191" s="17">
        <v>0</v>
      </c>
      <c r="P191" s="17">
        <v>0</v>
      </c>
      <c r="Q191" s="17">
        <v>0</v>
      </c>
      <c r="R191" s="17">
        <v>0</v>
      </c>
      <c r="S191" s="17">
        <v>0</v>
      </c>
      <c r="T191" s="17">
        <v>0</v>
      </c>
      <c r="U191" s="17">
        <v>0</v>
      </c>
      <c r="V191" s="17">
        <v>0</v>
      </c>
      <c r="W191" s="17">
        <v>0</v>
      </c>
      <c r="X191" s="17">
        <v>0</v>
      </c>
      <c r="Y191" s="17">
        <v>0</v>
      </c>
      <c r="Z191" s="17">
        <v>0</v>
      </c>
      <c r="AA191" s="17">
        <v>0</v>
      </c>
      <c r="AB191" s="17">
        <v>0</v>
      </c>
      <c r="AC191" s="17">
        <v>0</v>
      </c>
      <c r="AD191" s="17">
        <v>0</v>
      </c>
      <c r="AE191" s="17">
        <v>0</v>
      </c>
      <c r="AF191" s="17">
        <v>0</v>
      </c>
      <c r="AG191" s="17">
        <v>0</v>
      </c>
      <c r="AH191" s="17">
        <v>0</v>
      </c>
      <c r="AI191" s="17">
        <v>0</v>
      </c>
      <c r="AJ191" s="17">
        <v>0</v>
      </c>
      <c r="AK191" s="17">
        <v>0</v>
      </c>
      <c r="AL191" s="17">
        <v>0</v>
      </c>
      <c r="AM191" s="17">
        <v>0</v>
      </c>
      <c r="AN191" s="17">
        <v>0</v>
      </c>
      <c r="AO191" s="17">
        <v>0</v>
      </c>
      <c r="AP191" s="18">
        <f t="shared" si="2"/>
        <v>1423955.2504</v>
      </c>
    </row>
    <row r="192" spans="1:42" ht="15" customHeight="1" x14ac:dyDescent="0.2">
      <c r="A192" s="16" t="s">
        <v>605</v>
      </c>
      <c r="B192" s="16" t="s">
        <v>606</v>
      </c>
      <c r="C192" s="16" t="s">
        <v>381</v>
      </c>
      <c r="D192" s="16" t="s">
        <v>641</v>
      </c>
      <c r="E192" s="17">
        <v>47668.508500000004</v>
      </c>
      <c r="F192" s="17">
        <v>73349.413400000005</v>
      </c>
      <c r="G192" s="17">
        <v>49697.528400000003</v>
      </c>
      <c r="H192" s="17">
        <v>65429.6728</v>
      </c>
      <c r="I192" s="17">
        <v>42803.640200000002</v>
      </c>
      <c r="J192" s="17">
        <v>44865.530599999998</v>
      </c>
      <c r="K192" s="17">
        <v>25905.101200000001</v>
      </c>
      <c r="L192" s="17">
        <v>0</v>
      </c>
      <c r="M192" s="17">
        <v>0</v>
      </c>
      <c r="N192" s="17">
        <v>0</v>
      </c>
      <c r="O192" s="17">
        <v>0</v>
      </c>
      <c r="P192" s="17">
        <v>0</v>
      </c>
      <c r="Q192" s="17">
        <v>0</v>
      </c>
      <c r="R192" s="17">
        <v>0</v>
      </c>
      <c r="S192" s="17">
        <v>0</v>
      </c>
      <c r="T192" s="17">
        <v>0</v>
      </c>
      <c r="U192" s="17">
        <v>0</v>
      </c>
      <c r="V192" s="17">
        <v>0</v>
      </c>
      <c r="W192" s="17">
        <v>0</v>
      </c>
      <c r="X192" s="17">
        <v>0</v>
      </c>
      <c r="Y192" s="17">
        <v>0</v>
      </c>
      <c r="Z192" s="17">
        <v>0</v>
      </c>
      <c r="AA192" s="17">
        <v>0</v>
      </c>
      <c r="AB192" s="17">
        <v>0</v>
      </c>
      <c r="AC192" s="17">
        <v>0</v>
      </c>
      <c r="AD192" s="17">
        <v>0</v>
      </c>
      <c r="AE192" s="17">
        <v>0</v>
      </c>
      <c r="AF192" s="17">
        <v>0</v>
      </c>
      <c r="AG192" s="17">
        <v>0</v>
      </c>
      <c r="AH192" s="17">
        <v>0</v>
      </c>
      <c r="AI192" s="17">
        <v>0</v>
      </c>
      <c r="AJ192" s="17">
        <v>0</v>
      </c>
      <c r="AK192" s="17">
        <v>0</v>
      </c>
      <c r="AL192" s="17">
        <v>0</v>
      </c>
      <c r="AM192" s="17">
        <v>0</v>
      </c>
      <c r="AN192" s="17">
        <v>0</v>
      </c>
      <c r="AO192" s="17">
        <v>0</v>
      </c>
      <c r="AP192" s="18">
        <f t="shared" si="2"/>
        <v>349719.39510000002</v>
      </c>
    </row>
    <row r="193" spans="1:42" ht="15" customHeight="1" x14ac:dyDescent="0.2">
      <c r="A193" s="16" t="s">
        <v>605</v>
      </c>
      <c r="B193" s="16" t="s">
        <v>607</v>
      </c>
      <c r="C193" s="16" t="s">
        <v>119</v>
      </c>
      <c r="D193" s="16" t="s">
        <v>641</v>
      </c>
      <c r="E193" s="17">
        <v>810.22029999999995</v>
      </c>
      <c r="F193" s="17">
        <v>2131.8265000000001</v>
      </c>
      <c r="G193" s="17">
        <v>3104.7982999999999</v>
      </c>
      <c r="H193" s="17">
        <v>3816.9796999999999</v>
      </c>
      <c r="I193" s="17">
        <v>4344.9381000000003</v>
      </c>
      <c r="J193" s="17">
        <v>10771.3753</v>
      </c>
      <c r="K193" s="17">
        <v>39150.859799999998</v>
      </c>
      <c r="L193" s="17">
        <v>12168.542799999999</v>
      </c>
      <c r="M193" s="17">
        <v>0</v>
      </c>
      <c r="N193" s="17">
        <v>0</v>
      </c>
      <c r="O193" s="17">
        <v>0</v>
      </c>
      <c r="P193" s="17">
        <v>0</v>
      </c>
      <c r="Q193" s="17">
        <v>0</v>
      </c>
      <c r="R193" s="17">
        <v>0</v>
      </c>
      <c r="S193" s="17">
        <v>0</v>
      </c>
      <c r="T193" s="17">
        <v>0</v>
      </c>
      <c r="U193" s="17">
        <v>0</v>
      </c>
      <c r="V193" s="17">
        <v>0</v>
      </c>
      <c r="W193" s="17">
        <v>0</v>
      </c>
      <c r="X193" s="17">
        <v>0</v>
      </c>
      <c r="Y193" s="17">
        <v>0</v>
      </c>
      <c r="Z193" s="17">
        <v>0</v>
      </c>
      <c r="AA193" s="17">
        <v>0</v>
      </c>
      <c r="AB193" s="17">
        <v>0</v>
      </c>
      <c r="AC193" s="17">
        <v>0</v>
      </c>
      <c r="AD193" s="17">
        <v>0</v>
      </c>
      <c r="AE193" s="17">
        <v>0</v>
      </c>
      <c r="AF193" s="17">
        <v>0</v>
      </c>
      <c r="AG193" s="17">
        <v>0</v>
      </c>
      <c r="AH193" s="17">
        <v>0</v>
      </c>
      <c r="AI193" s="17">
        <v>0</v>
      </c>
      <c r="AJ193" s="17">
        <v>0</v>
      </c>
      <c r="AK193" s="17">
        <v>0</v>
      </c>
      <c r="AL193" s="17">
        <v>0</v>
      </c>
      <c r="AM193" s="17">
        <v>0</v>
      </c>
      <c r="AN193" s="17">
        <v>0</v>
      </c>
      <c r="AO193" s="17">
        <v>0</v>
      </c>
      <c r="AP193" s="18">
        <f t="shared" si="2"/>
        <v>76299.540800000002</v>
      </c>
    </row>
    <row r="194" spans="1:42" ht="15" customHeight="1" x14ac:dyDescent="0.2">
      <c r="A194" s="16" t="s">
        <v>605</v>
      </c>
      <c r="B194" s="16" t="s">
        <v>608</v>
      </c>
      <c r="C194" s="16" t="s">
        <v>144</v>
      </c>
      <c r="D194" s="16" t="s">
        <v>641</v>
      </c>
      <c r="E194" s="17">
        <v>20275.6263</v>
      </c>
      <c r="F194" s="17">
        <v>36937.603600000002</v>
      </c>
      <c r="G194" s="17">
        <v>39124.809699999998</v>
      </c>
      <c r="H194" s="17">
        <v>37314.081299999998</v>
      </c>
      <c r="I194" s="17">
        <v>59732.550900000002</v>
      </c>
      <c r="J194" s="17">
        <v>56882.702299999997</v>
      </c>
      <c r="K194" s="17">
        <v>48515.454299999998</v>
      </c>
      <c r="L194" s="17">
        <v>30932.1993</v>
      </c>
      <c r="M194" s="17">
        <v>41554.792600000001</v>
      </c>
      <c r="N194" s="17">
        <v>38852.092199999999</v>
      </c>
      <c r="O194" s="17">
        <v>0</v>
      </c>
      <c r="P194" s="17">
        <v>0</v>
      </c>
      <c r="Q194" s="17">
        <v>0</v>
      </c>
      <c r="R194" s="17">
        <v>0</v>
      </c>
      <c r="S194" s="17">
        <v>0</v>
      </c>
      <c r="T194" s="17">
        <v>0</v>
      </c>
      <c r="U194" s="17">
        <v>0</v>
      </c>
      <c r="V194" s="17">
        <v>0</v>
      </c>
      <c r="W194" s="17">
        <v>0</v>
      </c>
      <c r="X194" s="17">
        <v>0</v>
      </c>
      <c r="Y194" s="17">
        <v>0</v>
      </c>
      <c r="Z194" s="17">
        <v>0</v>
      </c>
      <c r="AA194" s="17">
        <v>0</v>
      </c>
      <c r="AB194" s="17">
        <v>0</v>
      </c>
      <c r="AC194" s="17">
        <v>0</v>
      </c>
      <c r="AD194" s="17">
        <v>0</v>
      </c>
      <c r="AE194" s="17">
        <v>0</v>
      </c>
      <c r="AF194" s="17">
        <v>0</v>
      </c>
      <c r="AG194" s="17">
        <v>0</v>
      </c>
      <c r="AH194" s="17">
        <v>0</v>
      </c>
      <c r="AI194" s="17">
        <v>0</v>
      </c>
      <c r="AJ194" s="17">
        <v>0</v>
      </c>
      <c r="AK194" s="17">
        <v>0</v>
      </c>
      <c r="AL194" s="17">
        <v>0</v>
      </c>
      <c r="AM194" s="17">
        <v>0</v>
      </c>
      <c r="AN194" s="17">
        <v>0</v>
      </c>
      <c r="AO194" s="17">
        <v>0</v>
      </c>
      <c r="AP194" s="18">
        <f t="shared" ref="AP194:AP257" si="3">SUM(E194:AO194)</f>
        <v>410121.91249999998</v>
      </c>
    </row>
    <row r="195" spans="1:42" ht="15" customHeight="1" x14ac:dyDescent="0.2">
      <c r="A195" s="16" t="s">
        <v>605</v>
      </c>
      <c r="B195" s="16" t="s">
        <v>609</v>
      </c>
      <c r="C195" s="16" t="s">
        <v>287</v>
      </c>
      <c r="D195" s="16" t="s">
        <v>641</v>
      </c>
      <c r="E195" s="17">
        <v>1009.5827</v>
      </c>
      <c r="F195" s="17">
        <v>2574.1835000000001</v>
      </c>
      <c r="G195" s="17">
        <v>3641.8481000000002</v>
      </c>
      <c r="H195" s="17">
        <v>16078.7683</v>
      </c>
      <c r="I195" s="17">
        <v>37395.778100000003</v>
      </c>
      <c r="J195" s="17">
        <v>0</v>
      </c>
      <c r="K195" s="17">
        <v>0</v>
      </c>
      <c r="L195" s="17">
        <v>0</v>
      </c>
      <c r="M195" s="17">
        <v>0</v>
      </c>
      <c r="N195" s="17">
        <v>0</v>
      </c>
      <c r="O195" s="17">
        <v>0</v>
      </c>
      <c r="P195" s="17">
        <v>0</v>
      </c>
      <c r="Q195" s="17">
        <v>0</v>
      </c>
      <c r="R195" s="17">
        <v>0</v>
      </c>
      <c r="S195" s="17">
        <v>0</v>
      </c>
      <c r="T195" s="17">
        <v>0</v>
      </c>
      <c r="U195" s="17">
        <v>0</v>
      </c>
      <c r="V195" s="17">
        <v>0</v>
      </c>
      <c r="W195" s="17">
        <v>0</v>
      </c>
      <c r="X195" s="17">
        <v>0</v>
      </c>
      <c r="Y195" s="17">
        <v>0</v>
      </c>
      <c r="Z195" s="17">
        <v>0</v>
      </c>
      <c r="AA195" s="17">
        <v>0</v>
      </c>
      <c r="AB195" s="17">
        <v>0</v>
      </c>
      <c r="AC195" s="17">
        <v>0</v>
      </c>
      <c r="AD195" s="17">
        <v>0</v>
      </c>
      <c r="AE195" s="17">
        <v>0</v>
      </c>
      <c r="AF195" s="17">
        <v>0</v>
      </c>
      <c r="AG195" s="17">
        <v>0</v>
      </c>
      <c r="AH195" s="17">
        <v>0</v>
      </c>
      <c r="AI195" s="17">
        <v>0</v>
      </c>
      <c r="AJ195" s="17">
        <v>0</v>
      </c>
      <c r="AK195" s="17">
        <v>0</v>
      </c>
      <c r="AL195" s="17">
        <v>0</v>
      </c>
      <c r="AM195" s="17">
        <v>0</v>
      </c>
      <c r="AN195" s="17">
        <v>0</v>
      </c>
      <c r="AO195" s="17">
        <v>0</v>
      </c>
      <c r="AP195" s="18">
        <f t="shared" si="3"/>
        <v>60700.160700000008</v>
      </c>
    </row>
    <row r="196" spans="1:42" ht="15" customHeight="1" x14ac:dyDescent="0.2">
      <c r="A196" s="16" t="s">
        <v>605</v>
      </c>
      <c r="B196" s="16" t="s">
        <v>610</v>
      </c>
      <c r="C196" s="16" t="s">
        <v>275</v>
      </c>
      <c r="D196" s="16" t="s">
        <v>641</v>
      </c>
      <c r="E196" s="17">
        <v>0</v>
      </c>
      <c r="F196" s="17">
        <v>640963.19079999998</v>
      </c>
      <c r="G196" s="17">
        <v>1358981.517</v>
      </c>
      <c r="H196" s="17">
        <v>1252194.3677999999</v>
      </c>
      <c r="I196" s="17">
        <v>833195.73800000001</v>
      </c>
      <c r="J196" s="17">
        <v>588075.30590000004</v>
      </c>
      <c r="K196" s="17">
        <v>436565.6605</v>
      </c>
      <c r="L196" s="17">
        <v>335931.41509999998</v>
      </c>
      <c r="M196" s="17">
        <v>266510.2035</v>
      </c>
      <c r="N196" s="17">
        <v>215078.2225</v>
      </c>
      <c r="O196" s="17">
        <v>177344.1568</v>
      </c>
      <c r="P196" s="17">
        <v>148496.23929999999</v>
      </c>
      <c r="Q196" s="17">
        <v>126288.50109999999</v>
      </c>
      <c r="R196" s="17">
        <v>147766.14230000001</v>
      </c>
      <c r="S196" s="17">
        <v>130152.6171</v>
      </c>
      <c r="T196" s="17">
        <v>112586.6522</v>
      </c>
      <c r="U196" s="17">
        <v>98420.968800000002</v>
      </c>
      <c r="V196" s="17">
        <v>86180.800099999993</v>
      </c>
      <c r="W196" s="17">
        <v>76171.365999999995</v>
      </c>
      <c r="X196" s="17">
        <v>67717.106899999999</v>
      </c>
      <c r="Y196" s="17">
        <v>51020.656999999999</v>
      </c>
      <c r="Z196" s="17">
        <v>0</v>
      </c>
      <c r="AA196" s="17">
        <v>0</v>
      </c>
      <c r="AB196" s="17">
        <v>0</v>
      </c>
      <c r="AC196" s="17">
        <v>0</v>
      </c>
      <c r="AD196" s="17">
        <v>0</v>
      </c>
      <c r="AE196" s="17">
        <v>0</v>
      </c>
      <c r="AF196" s="17">
        <v>0</v>
      </c>
      <c r="AG196" s="17">
        <v>0</v>
      </c>
      <c r="AH196" s="17">
        <v>0</v>
      </c>
      <c r="AI196" s="17">
        <v>0</v>
      </c>
      <c r="AJ196" s="17">
        <v>0</v>
      </c>
      <c r="AK196" s="17">
        <v>0</v>
      </c>
      <c r="AL196" s="17">
        <v>0</v>
      </c>
      <c r="AM196" s="17">
        <v>0</v>
      </c>
      <c r="AN196" s="17">
        <v>0</v>
      </c>
      <c r="AO196" s="17">
        <v>0</v>
      </c>
      <c r="AP196" s="18">
        <f t="shared" si="3"/>
        <v>7149640.8287000004</v>
      </c>
    </row>
    <row r="197" spans="1:42" ht="15" customHeight="1" x14ac:dyDescent="0.2">
      <c r="A197" s="16" t="s">
        <v>611</v>
      </c>
      <c r="B197" s="16" t="s">
        <v>612</v>
      </c>
      <c r="C197" s="16" t="s">
        <v>141</v>
      </c>
      <c r="D197" s="16" t="s">
        <v>641</v>
      </c>
      <c r="E197" s="17">
        <v>545.57320000000004</v>
      </c>
      <c r="F197" s="17">
        <v>1189.3909000000001</v>
      </c>
      <c r="G197" s="17">
        <v>1740.4143999999999</v>
      </c>
      <c r="H197" s="17">
        <v>2208.4962999999998</v>
      </c>
      <c r="I197" s="17">
        <v>2602.5623000000001</v>
      </c>
      <c r="J197" s="17">
        <v>29327.285400000001</v>
      </c>
      <c r="K197" s="17">
        <v>45750.1587</v>
      </c>
      <c r="L197" s="17">
        <v>42776.398399999998</v>
      </c>
      <c r="M197" s="17">
        <v>3436.6192999999998</v>
      </c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8">
        <f t="shared" si="3"/>
        <v>129576.89890000001</v>
      </c>
    </row>
    <row r="198" spans="1:42" ht="15" customHeight="1" x14ac:dyDescent="0.2">
      <c r="A198" s="16" t="s">
        <v>611</v>
      </c>
      <c r="B198" s="16" t="s">
        <v>612</v>
      </c>
      <c r="C198" s="16" t="s">
        <v>161</v>
      </c>
      <c r="D198" s="16" t="s">
        <v>641</v>
      </c>
      <c r="E198" s="17">
        <v>23221.35</v>
      </c>
      <c r="F198" s="17">
        <v>24173.550200000001</v>
      </c>
      <c r="G198" s="17">
        <v>20064.046699999999</v>
      </c>
      <c r="H198" s="17">
        <v>16653.1587</v>
      </c>
      <c r="I198" s="17">
        <v>13822.121800000001</v>
      </c>
      <c r="J198" s="17">
        <v>6003.1925000000001</v>
      </c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8">
        <f t="shared" si="3"/>
        <v>103937.41990000001</v>
      </c>
    </row>
    <row r="199" spans="1:42" ht="15" customHeight="1" x14ac:dyDescent="0.2">
      <c r="A199" s="16" t="s">
        <v>611</v>
      </c>
      <c r="B199" s="16" t="s">
        <v>612</v>
      </c>
      <c r="C199" s="16" t="s">
        <v>162</v>
      </c>
      <c r="D199" s="16" t="s">
        <v>641</v>
      </c>
      <c r="E199" s="17">
        <v>803.99689999999998</v>
      </c>
      <c r="F199" s="17">
        <v>1699.8082999999999</v>
      </c>
      <c r="G199" s="17">
        <v>2408.4978999999998</v>
      </c>
      <c r="H199" s="17">
        <v>2958.6214</v>
      </c>
      <c r="I199" s="17">
        <v>3374.8761</v>
      </c>
      <c r="J199" s="17">
        <v>19063.0802</v>
      </c>
      <c r="K199" s="17">
        <v>27946.296399999999</v>
      </c>
      <c r="L199" s="17">
        <v>25431.129700000001</v>
      </c>
      <c r="M199" s="17">
        <v>2012.9764</v>
      </c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8">
        <f t="shared" si="3"/>
        <v>85699.283299999996</v>
      </c>
    </row>
    <row r="200" spans="1:42" ht="15" customHeight="1" x14ac:dyDescent="0.2">
      <c r="A200" s="16" t="s">
        <v>611</v>
      </c>
      <c r="B200" s="16" t="s">
        <v>612</v>
      </c>
      <c r="C200" s="16" t="s">
        <v>163</v>
      </c>
      <c r="D200" s="16" t="s">
        <v>641</v>
      </c>
      <c r="E200" s="17">
        <v>1177.3484000000001</v>
      </c>
      <c r="F200" s="17">
        <v>2385.5286000000001</v>
      </c>
      <c r="G200" s="17">
        <v>3232.46</v>
      </c>
      <c r="H200" s="17">
        <v>3795.7328000000002</v>
      </c>
      <c r="I200" s="17">
        <v>4138.2563</v>
      </c>
      <c r="J200" s="17">
        <v>21328.329300000001</v>
      </c>
      <c r="K200" s="17">
        <v>30023.897099999998</v>
      </c>
      <c r="L200" s="17">
        <v>26120.790499999999</v>
      </c>
      <c r="M200" s="17">
        <v>2016.9549999999999</v>
      </c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8">
        <f t="shared" si="3"/>
        <v>94219.29800000001</v>
      </c>
    </row>
    <row r="201" spans="1:42" ht="15" customHeight="1" x14ac:dyDescent="0.2">
      <c r="A201" s="16" t="s">
        <v>611</v>
      </c>
      <c r="B201" s="16" t="s">
        <v>612</v>
      </c>
      <c r="C201" s="16" t="s">
        <v>215</v>
      </c>
      <c r="D201" s="16" t="s">
        <v>641</v>
      </c>
      <c r="E201" s="17">
        <v>1731.2097000000001</v>
      </c>
      <c r="F201" s="17">
        <v>3673.6078000000002</v>
      </c>
      <c r="G201" s="17">
        <v>5191.4188999999997</v>
      </c>
      <c r="H201" s="17">
        <v>6327.1153000000004</v>
      </c>
      <c r="I201" s="17">
        <v>7131.7780000000002</v>
      </c>
      <c r="J201" s="17">
        <v>21941.923500000001</v>
      </c>
      <c r="K201" s="17">
        <v>28804.822800000002</v>
      </c>
      <c r="L201" s="17">
        <v>25060.9365</v>
      </c>
      <c r="M201" s="17">
        <v>1938.0193999999999</v>
      </c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8">
        <f t="shared" si="3"/>
        <v>101800.83189999999</v>
      </c>
    </row>
    <row r="202" spans="1:42" ht="15" customHeight="1" x14ac:dyDescent="0.2">
      <c r="A202" s="16" t="s">
        <v>611</v>
      </c>
      <c r="B202" s="16" t="s">
        <v>612</v>
      </c>
      <c r="C202" s="16" t="s">
        <v>278</v>
      </c>
      <c r="D202" s="16" t="s">
        <v>641</v>
      </c>
      <c r="E202" s="17">
        <v>1353.2607</v>
      </c>
      <c r="F202" s="17">
        <v>2907.1959999999999</v>
      </c>
      <c r="G202" s="17">
        <v>51603.07</v>
      </c>
      <c r="H202" s="17">
        <v>220203.65830000001</v>
      </c>
      <c r="I202" s="17">
        <v>167308.54620000001</v>
      </c>
      <c r="J202" s="17">
        <v>111724.01459999999</v>
      </c>
      <c r="K202" s="17">
        <v>59204.9761</v>
      </c>
      <c r="L202" s="17">
        <v>48237.370799999997</v>
      </c>
      <c r="M202" s="17">
        <v>3624.7006999999999</v>
      </c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8">
        <f t="shared" si="3"/>
        <v>666166.79340000008</v>
      </c>
    </row>
    <row r="203" spans="1:42" ht="15" customHeight="1" x14ac:dyDescent="0.2">
      <c r="A203" s="16" t="s">
        <v>611</v>
      </c>
      <c r="B203" s="16" t="s">
        <v>612</v>
      </c>
      <c r="C203" s="16" t="s">
        <v>279</v>
      </c>
      <c r="D203" s="16" t="s">
        <v>641</v>
      </c>
      <c r="E203" s="17">
        <v>2205.2916</v>
      </c>
      <c r="F203" s="17">
        <v>384550.8959</v>
      </c>
      <c r="G203" s="17">
        <v>261918.03080000001</v>
      </c>
      <c r="H203" s="17">
        <v>178058.38190000001</v>
      </c>
      <c r="I203" s="17">
        <v>135591.40849999999</v>
      </c>
      <c r="J203" s="17">
        <v>139221.78539999999</v>
      </c>
      <c r="K203" s="17">
        <v>140685.25760000001</v>
      </c>
      <c r="L203" s="17">
        <v>116767.3202</v>
      </c>
      <c r="M203" s="17">
        <v>8819.8970000000008</v>
      </c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8">
        <f t="shared" si="3"/>
        <v>1367818.2689000003</v>
      </c>
    </row>
    <row r="204" spans="1:42" ht="15" customHeight="1" x14ac:dyDescent="0.2">
      <c r="A204" s="16" t="s">
        <v>611</v>
      </c>
      <c r="B204" s="16" t="s">
        <v>612</v>
      </c>
      <c r="C204" s="16" t="s">
        <v>280</v>
      </c>
      <c r="D204" s="16" t="s">
        <v>641</v>
      </c>
      <c r="E204" s="17">
        <v>6115.2981</v>
      </c>
      <c r="F204" s="17">
        <v>7762.4220999999998</v>
      </c>
      <c r="G204" s="17">
        <v>383478.68979999999</v>
      </c>
      <c r="H204" s="17">
        <v>222328.71290000001</v>
      </c>
      <c r="I204" s="17">
        <v>160416.31280000001</v>
      </c>
      <c r="J204" s="17">
        <v>169238.25450000001</v>
      </c>
      <c r="K204" s="17">
        <v>168160.37659999999</v>
      </c>
      <c r="L204" s="17">
        <v>140212.7084</v>
      </c>
      <c r="M204" s="17">
        <v>10892.7983</v>
      </c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8">
        <f t="shared" si="3"/>
        <v>1268605.5734999999</v>
      </c>
    </row>
    <row r="205" spans="1:42" ht="15" customHeight="1" x14ac:dyDescent="0.2">
      <c r="A205" s="16" t="s">
        <v>611</v>
      </c>
      <c r="B205" s="16" t="s">
        <v>612</v>
      </c>
      <c r="C205" s="16" t="s">
        <v>318</v>
      </c>
      <c r="D205" s="16" t="s">
        <v>641</v>
      </c>
      <c r="E205" s="17">
        <v>18320.1384</v>
      </c>
      <c r="F205" s="17">
        <v>15426.105600000001</v>
      </c>
      <c r="G205" s="17">
        <v>24914.582399999999</v>
      </c>
      <c r="H205" s="17">
        <v>59195.702499999999</v>
      </c>
      <c r="I205" s="17">
        <v>40082.536800000002</v>
      </c>
      <c r="J205" s="17">
        <v>48131.188099999999</v>
      </c>
      <c r="K205" s="17">
        <v>50247.1967</v>
      </c>
      <c r="L205" s="17">
        <v>23628.177100000001</v>
      </c>
      <c r="M205" s="17">
        <v>1074.1021000000001</v>
      </c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8">
        <f t="shared" si="3"/>
        <v>281019.72970000003</v>
      </c>
    </row>
    <row r="206" spans="1:42" ht="15" customHeight="1" x14ac:dyDescent="0.2">
      <c r="A206" s="16" t="s">
        <v>611</v>
      </c>
      <c r="B206" s="16" t="s">
        <v>612</v>
      </c>
      <c r="C206" s="16" t="s">
        <v>406</v>
      </c>
      <c r="D206" s="16" t="s">
        <v>641</v>
      </c>
      <c r="E206" s="17">
        <v>1276.2246</v>
      </c>
      <c r="F206" s="17">
        <v>16781.2657</v>
      </c>
      <c r="G206" s="17">
        <v>59564.171199999997</v>
      </c>
      <c r="H206" s="17">
        <v>313271.87709999998</v>
      </c>
      <c r="I206" s="17">
        <v>222228.80290000001</v>
      </c>
      <c r="J206" s="17">
        <v>176123.4259</v>
      </c>
      <c r="K206" s="17">
        <v>139445.25899999999</v>
      </c>
      <c r="L206" s="17">
        <v>34742.5772</v>
      </c>
      <c r="M206" s="17">
        <v>1432.9501</v>
      </c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8">
        <f t="shared" si="3"/>
        <v>964866.55370000005</v>
      </c>
    </row>
    <row r="207" spans="1:42" ht="15" customHeight="1" x14ac:dyDescent="0.2">
      <c r="A207" s="16" t="s">
        <v>611</v>
      </c>
      <c r="B207" s="16" t="s">
        <v>211</v>
      </c>
      <c r="C207" s="16" t="s">
        <v>160</v>
      </c>
      <c r="D207" s="16" t="s">
        <v>641</v>
      </c>
      <c r="E207" s="17">
        <v>917.65369999999996</v>
      </c>
      <c r="F207" s="17">
        <v>1949.0858000000001</v>
      </c>
      <c r="G207" s="17">
        <v>2771.4452000000001</v>
      </c>
      <c r="H207" s="17">
        <v>3412.8305999999998</v>
      </c>
      <c r="I207" s="17">
        <v>3899.2273</v>
      </c>
      <c r="J207" s="17">
        <v>4254.1931000000004</v>
      </c>
      <c r="K207" s="17">
        <v>4498.7599</v>
      </c>
      <c r="L207" s="17">
        <v>4651.4758000000002</v>
      </c>
      <c r="M207" s="17">
        <v>4728.5325000000003</v>
      </c>
      <c r="N207" s="17">
        <v>4743.9408999999996</v>
      </c>
      <c r="O207" s="17">
        <v>10808.704599999999</v>
      </c>
      <c r="P207" s="17">
        <v>10330.9961</v>
      </c>
      <c r="Q207" s="17">
        <v>9372.5164999999997</v>
      </c>
      <c r="R207" s="17">
        <v>8518.7942000000003</v>
      </c>
      <c r="S207" s="17">
        <v>5250.6422000000002</v>
      </c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8">
        <f t="shared" si="3"/>
        <v>80108.7984</v>
      </c>
    </row>
    <row r="208" spans="1:42" ht="15" customHeight="1" x14ac:dyDescent="0.2">
      <c r="A208" s="16" t="s">
        <v>611</v>
      </c>
      <c r="B208" s="16" t="s">
        <v>211</v>
      </c>
      <c r="C208" s="16" t="s">
        <v>210</v>
      </c>
      <c r="D208" s="16" t="s">
        <v>641</v>
      </c>
      <c r="E208" s="17">
        <v>132587.64559999999</v>
      </c>
      <c r="F208" s="17">
        <v>117073.6327</v>
      </c>
      <c r="G208" s="17">
        <v>107369.9065</v>
      </c>
      <c r="H208" s="17">
        <v>173558.50099999999</v>
      </c>
      <c r="I208" s="17">
        <v>139128.49859999999</v>
      </c>
      <c r="J208" s="17">
        <v>103943.9378</v>
      </c>
      <c r="K208" s="17">
        <v>69026.682700000005</v>
      </c>
      <c r="L208" s="17">
        <v>100571.79270000001</v>
      </c>
      <c r="M208" s="17">
        <v>86321.202499999999</v>
      </c>
      <c r="N208" s="17">
        <v>60719.831299999998</v>
      </c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8">
        <f t="shared" si="3"/>
        <v>1090301.6313999998</v>
      </c>
    </row>
    <row r="209" spans="1:42" ht="15" customHeight="1" x14ac:dyDescent="0.2">
      <c r="A209" s="16" t="s">
        <v>611</v>
      </c>
      <c r="B209" s="16" t="s">
        <v>211</v>
      </c>
      <c r="C209" s="16" t="s">
        <v>211</v>
      </c>
      <c r="D209" s="16" t="s">
        <v>641</v>
      </c>
      <c r="E209" s="17">
        <v>2066.6087000000002</v>
      </c>
      <c r="F209" s="17">
        <v>18355.210200000001</v>
      </c>
      <c r="G209" s="17">
        <v>17565.349399999999</v>
      </c>
      <c r="H209" s="17">
        <v>14367.1477</v>
      </c>
      <c r="I209" s="17">
        <v>13721.3369</v>
      </c>
      <c r="J209" s="17">
        <v>10270.695</v>
      </c>
      <c r="K209" s="17">
        <v>9269.8894999999993</v>
      </c>
      <c r="L209" s="17">
        <v>24799.386299999998</v>
      </c>
      <c r="M209" s="17">
        <v>21118.357400000001</v>
      </c>
      <c r="N209" s="17">
        <v>14278.473099999999</v>
      </c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8">
        <f t="shared" si="3"/>
        <v>145812.45420000001</v>
      </c>
    </row>
    <row r="210" spans="1:42" ht="15" customHeight="1" x14ac:dyDescent="0.2">
      <c r="A210" s="16" t="s">
        <v>611</v>
      </c>
      <c r="B210" s="16" t="s">
        <v>211</v>
      </c>
      <c r="C210" s="16" t="s">
        <v>212</v>
      </c>
      <c r="D210" s="16" t="s">
        <v>641</v>
      </c>
      <c r="E210" s="17">
        <v>817.529</v>
      </c>
      <c r="F210" s="17">
        <v>1771.4875</v>
      </c>
      <c r="G210" s="17">
        <v>2555.0589</v>
      </c>
      <c r="H210" s="17">
        <v>3174.7006000000001</v>
      </c>
      <c r="I210" s="17">
        <v>3644.4081000000001</v>
      </c>
      <c r="J210" s="17">
        <v>3981.7219</v>
      </c>
      <c r="K210" s="17">
        <v>4205.2389000000003</v>
      </c>
      <c r="L210" s="17">
        <v>14776.928099999999</v>
      </c>
      <c r="M210" s="17">
        <v>13914.5358</v>
      </c>
      <c r="N210" s="17">
        <v>10336.4863</v>
      </c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8">
        <f t="shared" si="3"/>
        <v>59178.095099999991</v>
      </c>
    </row>
    <row r="211" spans="1:42" ht="15" customHeight="1" x14ac:dyDescent="0.2">
      <c r="A211" s="16" t="s">
        <v>611</v>
      </c>
      <c r="B211" s="16" t="s">
        <v>211</v>
      </c>
      <c r="C211" s="16" t="s">
        <v>371</v>
      </c>
      <c r="D211" s="16" t="s">
        <v>641</v>
      </c>
      <c r="E211" s="17">
        <v>2473.5844000000002</v>
      </c>
      <c r="F211" s="17">
        <v>16073.212600000001</v>
      </c>
      <c r="G211" s="17">
        <v>153642.29010000001</v>
      </c>
      <c r="H211" s="17">
        <v>165671.5344</v>
      </c>
      <c r="I211" s="17">
        <v>116373.4797</v>
      </c>
      <c r="J211" s="17">
        <v>90998.078500000003</v>
      </c>
      <c r="K211" s="17">
        <v>75000.681700000001</v>
      </c>
      <c r="L211" s="17">
        <v>63753.824099999998</v>
      </c>
      <c r="M211" s="17">
        <v>60579.714200000002</v>
      </c>
      <c r="N211" s="17">
        <v>54938.058100000002</v>
      </c>
      <c r="O211" s="17">
        <v>77722.521399999998</v>
      </c>
      <c r="P211" s="17">
        <v>70730.106899999999</v>
      </c>
      <c r="Q211" s="17">
        <v>60255.440600000002</v>
      </c>
      <c r="R211" s="17">
        <v>55002.336199999998</v>
      </c>
      <c r="S211" s="17">
        <v>34054.298300000002</v>
      </c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8">
        <f t="shared" si="3"/>
        <v>1097269.1611999997</v>
      </c>
    </row>
    <row r="212" spans="1:42" ht="15" customHeight="1" x14ac:dyDescent="0.2">
      <c r="A212" s="16" t="s">
        <v>611</v>
      </c>
      <c r="B212" s="16" t="s">
        <v>211</v>
      </c>
      <c r="C212" s="16" t="s">
        <v>372</v>
      </c>
      <c r="D212" s="16" t="s">
        <v>641</v>
      </c>
      <c r="E212" s="17">
        <v>497.5856</v>
      </c>
      <c r="F212" s="17">
        <v>1126.1041</v>
      </c>
      <c r="G212" s="17">
        <v>1710.2591</v>
      </c>
      <c r="H212" s="17">
        <v>2249.0043999999998</v>
      </c>
      <c r="I212" s="17">
        <v>2742.1835000000001</v>
      </c>
      <c r="J212" s="17">
        <v>3190.3348000000001</v>
      </c>
      <c r="K212" s="17">
        <v>3594.5309000000002</v>
      </c>
      <c r="L212" s="17">
        <v>3956.2471</v>
      </c>
      <c r="M212" s="17">
        <v>4277.2534999999998</v>
      </c>
      <c r="N212" s="17">
        <v>4559.5273999999999</v>
      </c>
      <c r="O212" s="17">
        <v>28294.3704</v>
      </c>
      <c r="P212" s="17">
        <v>28674.0141</v>
      </c>
      <c r="Q212" s="17">
        <v>26952.563099999999</v>
      </c>
      <c r="R212" s="17">
        <v>25335.4094</v>
      </c>
      <c r="S212" s="17">
        <v>16040.013300000001</v>
      </c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8">
        <f t="shared" si="3"/>
        <v>153199.4007</v>
      </c>
    </row>
    <row r="213" spans="1:42" ht="15" customHeight="1" x14ac:dyDescent="0.2">
      <c r="A213" s="16" t="s">
        <v>611</v>
      </c>
      <c r="B213" s="16" t="s">
        <v>237</v>
      </c>
      <c r="C213" s="16" t="s">
        <v>116</v>
      </c>
      <c r="D213" s="16" t="s">
        <v>641</v>
      </c>
      <c r="E213" s="17">
        <v>17067.225200000001</v>
      </c>
      <c r="F213" s="17">
        <v>67479.338699999993</v>
      </c>
      <c r="G213" s="17">
        <v>118301.2271</v>
      </c>
      <c r="H213" s="17">
        <v>116896.1605</v>
      </c>
      <c r="I213" s="17">
        <v>102955.59110000001</v>
      </c>
      <c r="J213" s="17">
        <v>93762.328399999999</v>
      </c>
      <c r="K213" s="17">
        <v>84179.250199999995</v>
      </c>
      <c r="L213" s="17">
        <v>88671.379300000001</v>
      </c>
      <c r="M213" s="17">
        <v>112438.34239999999</v>
      </c>
      <c r="N213" s="17">
        <v>93124.919599999994</v>
      </c>
      <c r="O213" s="17">
        <v>71936.274399999995</v>
      </c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8">
        <f t="shared" si="3"/>
        <v>966812.03689999995</v>
      </c>
    </row>
    <row r="214" spans="1:42" ht="15" customHeight="1" x14ac:dyDescent="0.2">
      <c r="A214" s="16" t="s">
        <v>611</v>
      </c>
      <c r="B214" s="16" t="s">
        <v>237</v>
      </c>
      <c r="C214" s="16" t="s">
        <v>191</v>
      </c>
      <c r="D214" s="16" t="s">
        <v>641</v>
      </c>
      <c r="E214" s="17">
        <v>484462.98129999998</v>
      </c>
      <c r="F214" s="17">
        <v>546390.61789999995</v>
      </c>
      <c r="G214" s="17">
        <v>431439.40350000001</v>
      </c>
      <c r="H214" s="17">
        <v>345457.4363</v>
      </c>
      <c r="I214" s="17">
        <v>279594.00420000002</v>
      </c>
      <c r="J214" s="17">
        <v>228204.89939999999</v>
      </c>
      <c r="K214" s="17">
        <v>187547.19</v>
      </c>
      <c r="L214" s="17">
        <v>192951.4161</v>
      </c>
      <c r="M214" s="17">
        <v>261648.92869999999</v>
      </c>
      <c r="N214" s="17">
        <v>215525.8584</v>
      </c>
      <c r="O214" s="17">
        <v>165226.04889999999</v>
      </c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8">
        <f t="shared" si="3"/>
        <v>3338448.7846999997</v>
      </c>
    </row>
    <row r="215" spans="1:42" ht="15" customHeight="1" x14ac:dyDescent="0.2">
      <c r="A215" s="16" t="s">
        <v>611</v>
      </c>
      <c r="B215" s="16" t="s">
        <v>237</v>
      </c>
      <c r="C215" s="16" t="s">
        <v>250</v>
      </c>
      <c r="D215" s="16" t="s">
        <v>641</v>
      </c>
      <c r="E215" s="17">
        <v>274.91079999999999</v>
      </c>
      <c r="F215" s="17">
        <v>14441.7567</v>
      </c>
      <c r="G215" s="17">
        <v>20953.452799999999</v>
      </c>
      <c r="H215" s="17">
        <v>21122.345300000001</v>
      </c>
      <c r="I215" s="17">
        <v>19982.387299999999</v>
      </c>
      <c r="J215" s="17">
        <v>18470.9575</v>
      </c>
      <c r="K215" s="17">
        <v>16664.000100000001</v>
      </c>
      <c r="L215" s="17">
        <v>24192.0844</v>
      </c>
      <c r="M215" s="17">
        <v>39940.015399999997</v>
      </c>
      <c r="N215" s="17">
        <v>29183.100399999999</v>
      </c>
      <c r="O215" s="17">
        <v>24615.325099999998</v>
      </c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8">
        <f t="shared" si="3"/>
        <v>229840.3358</v>
      </c>
    </row>
    <row r="216" spans="1:42" ht="15" customHeight="1" x14ac:dyDescent="0.2">
      <c r="A216" s="16" t="s">
        <v>611</v>
      </c>
      <c r="B216" s="16" t="s">
        <v>613</v>
      </c>
      <c r="C216" s="16" t="s">
        <v>256</v>
      </c>
      <c r="D216" s="16" t="s">
        <v>641</v>
      </c>
      <c r="E216" s="17">
        <v>641.09889999999996</v>
      </c>
      <c r="F216" s="17">
        <v>20351.010600000001</v>
      </c>
      <c r="G216" s="17">
        <v>24481.489300000001</v>
      </c>
      <c r="H216" s="17">
        <v>19418.4028</v>
      </c>
      <c r="I216" s="17">
        <v>15632.2691</v>
      </c>
      <c r="J216" s="17">
        <v>17991.149799999999</v>
      </c>
      <c r="K216" s="17">
        <v>2900.3254000000002</v>
      </c>
      <c r="L216" s="17">
        <v>2964.9699000000001</v>
      </c>
      <c r="M216" s="17">
        <v>2980.5886</v>
      </c>
      <c r="N216" s="17">
        <v>2957.1916000000001</v>
      </c>
      <c r="O216" s="17">
        <v>10750.577499999999</v>
      </c>
      <c r="P216" s="17">
        <v>12184.2734</v>
      </c>
      <c r="Q216" s="17">
        <v>10095.5054</v>
      </c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8">
        <f t="shared" si="3"/>
        <v>143348.8523</v>
      </c>
    </row>
    <row r="217" spans="1:42" ht="15" customHeight="1" x14ac:dyDescent="0.2">
      <c r="A217" s="16" t="s">
        <v>611</v>
      </c>
      <c r="B217" s="16" t="s">
        <v>613</v>
      </c>
      <c r="C217" s="16" t="s">
        <v>269</v>
      </c>
      <c r="D217" s="16" t="s">
        <v>641</v>
      </c>
      <c r="E217" s="17">
        <v>14711.4566</v>
      </c>
      <c r="F217" s="17">
        <v>15512.215899999999</v>
      </c>
      <c r="G217" s="17">
        <v>13571.5257</v>
      </c>
      <c r="H217" s="17">
        <v>16977.4339</v>
      </c>
      <c r="I217" s="17">
        <v>9634.1054999999997</v>
      </c>
      <c r="J217" s="17">
        <v>8371.1504000000004</v>
      </c>
      <c r="K217" s="17">
        <v>2544.2249999999999</v>
      </c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8">
        <f t="shared" si="3"/>
        <v>81322.113000000012</v>
      </c>
    </row>
    <row r="218" spans="1:42" ht="15" customHeight="1" x14ac:dyDescent="0.2">
      <c r="A218" s="16" t="s">
        <v>611</v>
      </c>
      <c r="B218" s="16" t="s">
        <v>613</v>
      </c>
      <c r="C218" s="16" t="s">
        <v>270</v>
      </c>
      <c r="D218" s="16" t="s">
        <v>641</v>
      </c>
      <c r="E218" s="17">
        <v>23246.228999999999</v>
      </c>
      <c r="F218" s="17">
        <v>71804.710000000006</v>
      </c>
      <c r="G218" s="17">
        <v>70544.865399999995</v>
      </c>
      <c r="H218" s="17">
        <v>67500.286600000007</v>
      </c>
      <c r="I218" s="17">
        <v>54293.112800000003</v>
      </c>
      <c r="J218" s="17">
        <v>40688.953999999998</v>
      </c>
      <c r="K218" s="17">
        <v>25923.031599999998</v>
      </c>
      <c r="L218" s="17">
        <v>33722.744100000004</v>
      </c>
      <c r="M218" s="17">
        <v>30176.4588</v>
      </c>
      <c r="N218" s="17">
        <v>27200.4061</v>
      </c>
      <c r="O218" s="17">
        <v>31139.985199999999</v>
      </c>
      <c r="P218" s="17">
        <v>28062.9692</v>
      </c>
      <c r="Q218" s="17">
        <v>16797.701400000002</v>
      </c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8">
        <f t="shared" si="3"/>
        <v>521101.45420000009</v>
      </c>
    </row>
    <row r="219" spans="1:42" ht="15" customHeight="1" x14ac:dyDescent="0.2">
      <c r="A219" s="16" t="s">
        <v>611</v>
      </c>
      <c r="B219" s="16" t="s">
        <v>613</v>
      </c>
      <c r="C219" s="16" t="s">
        <v>644</v>
      </c>
      <c r="D219" s="16" t="s">
        <v>641</v>
      </c>
      <c r="E219" s="17"/>
      <c r="F219" s="17">
        <v>22972.445100000001</v>
      </c>
      <c r="G219" s="17">
        <v>33049.440000000002</v>
      </c>
      <c r="H219" s="17">
        <v>26439.552</v>
      </c>
      <c r="I219" s="17">
        <v>21151.641599999999</v>
      </c>
      <c r="J219" s="17">
        <v>16921.313300000002</v>
      </c>
      <c r="K219" s="17">
        <v>13537.0506</v>
      </c>
      <c r="L219" s="17">
        <v>10829.6405</v>
      </c>
      <c r="M219" s="17">
        <v>5098.9170000000004</v>
      </c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8">
        <f t="shared" si="3"/>
        <v>150000.00009999998</v>
      </c>
    </row>
    <row r="220" spans="1:42" ht="15" customHeight="1" x14ac:dyDescent="0.2">
      <c r="A220" s="16" t="s">
        <v>611</v>
      </c>
      <c r="B220" s="16" t="s">
        <v>613</v>
      </c>
      <c r="C220" s="16" t="s">
        <v>337</v>
      </c>
      <c r="D220" s="16" t="s">
        <v>641</v>
      </c>
      <c r="E220" s="17">
        <v>878.58010000000002</v>
      </c>
      <c r="F220" s="17">
        <v>35695.434699999998</v>
      </c>
      <c r="G220" s="17">
        <v>80843.734400000001</v>
      </c>
      <c r="H220" s="17">
        <v>63296.910300000003</v>
      </c>
      <c r="I220" s="17">
        <v>50408.700100000002</v>
      </c>
      <c r="J220" s="17">
        <v>38461.4084</v>
      </c>
      <c r="K220" s="17">
        <v>25571.7431</v>
      </c>
      <c r="L220" s="17">
        <v>12332.3722</v>
      </c>
      <c r="M220" s="17">
        <v>3707.9639000000002</v>
      </c>
      <c r="N220" s="17">
        <v>3416.6172000000001</v>
      </c>
      <c r="O220" s="17">
        <v>10621.229600000001</v>
      </c>
      <c r="P220" s="17">
        <v>2655.7757000000001</v>
      </c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8">
        <f t="shared" si="3"/>
        <v>327890.46970000002</v>
      </c>
    </row>
    <row r="221" spans="1:42" ht="15" customHeight="1" x14ac:dyDescent="0.2">
      <c r="A221" s="16" t="s">
        <v>611</v>
      </c>
      <c r="B221" s="16" t="s">
        <v>613</v>
      </c>
      <c r="C221" s="16" t="s">
        <v>339</v>
      </c>
      <c r="D221" s="16" t="s">
        <v>641</v>
      </c>
      <c r="E221" s="17">
        <v>25762.294000000002</v>
      </c>
      <c r="F221" s="17">
        <v>28958.189399999999</v>
      </c>
      <c r="G221" s="17">
        <v>26833.651600000001</v>
      </c>
      <c r="H221" s="17">
        <v>24605.4067</v>
      </c>
      <c r="I221" s="17">
        <v>22378.964800000002</v>
      </c>
      <c r="J221" s="17">
        <v>20224.492699999999</v>
      </c>
      <c r="K221" s="17">
        <v>18186.284899999999</v>
      </c>
      <c r="L221" s="17">
        <v>16289.9522</v>
      </c>
      <c r="M221" s="17">
        <v>14547.8388</v>
      </c>
      <c r="N221" s="17">
        <v>10180.7469</v>
      </c>
      <c r="O221" s="17">
        <v>10815.2968</v>
      </c>
      <c r="P221" s="17">
        <v>9455.6514000000006</v>
      </c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8">
        <f t="shared" si="3"/>
        <v>228238.7702</v>
      </c>
    </row>
    <row r="222" spans="1:42" ht="15" customHeight="1" x14ac:dyDescent="0.2">
      <c r="A222" s="16" t="s">
        <v>611</v>
      </c>
      <c r="B222" s="16" t="s">
        <v>613</v>
      </c>
      <c r="C222" s="16" t="s">
        <v>353</v>
      </c>
      <c r="D222" s="16" t="s">
        <v>641</v>
      </c>
      <c r="E222" s="17">
        <v>127.8045</v>
      </c>
      <c r="F222" s="17">
        <v>271.60950000000003</v>
      </c>
      <c r="G222" s="17">
        <v>3496.6931</v>
      </c>
      <c r="H222" s="17">
        <v>6973.9146000000001</v>
      </c>
      <c r="I222" s="17">
        <v>6845.1343999999999</v>
      </c>
      <c r="J222" s="17">
        <v>6344.5751</v>
      </c>
      <c r="K222" s="17">
        <v>5699.0796</v>
      </c>
      <c r="L222" s="17">
        <v>5533.6487999999999</v>
      </c>
      <c r="M222" s="17">
        <v>5587.1854000000003</v>
      </c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8">
        <f t="shared" si="3"/>
        <v>40879.645000000004</v>
      </c>
    </row>
    <row r="223" spans="1:42" ht="15" customHeight="1" x14ac:dyDescent="0.2">
      <c r="A223" s="16" t="s">
        <v>611</v>
      </c>
      <c r="B223" s="16" t="s">
        <v>613</v>
      </c>
      <c r="C223" s="16" t="s">
        <v>390</v>
      </c>
      <c r="D223" s="16" t="s">
        <v>641</v>
      </c>
      <c r="E223" s="17">
        <v>1213.1552999999999</v>
      </c>
      <c r="F223" s="17">
        <v>2781.5295000000001</v>
      </c>
      <c r="G223" s="17">
        <v>35243.323100000001</v>
      </c>
      <c r="H223" s="17">
        <v>49148.316700000003</v>
      </c>
      <c r="I223" s="17">
        <v>42053.275300000001</v>
      </c>
      <c r="J223" s="17">
        <v>36455.719100000002</v>
      </c>
      <c r="K223" s="17">
        <v>33420.873399999997</v>
      </c>
      <c r="L223" s="17">
        <v>36037.722800000003</v>
      </c>
      <c r="M223" s="17">
        <v>38589.472399999999</v>
      </c>
      <c r="N223" s="17">
        <v>33159.423199999997</v>
      </c>
      <c r="O223" s="17">
        <v>87978.0095</v>
      </c>
      <c r="P223" s="17">
        <v>92689.790399999998</v>
      </c>
      <c r="Q223" s="17">
        <v>78099.156799999997</v>
      </c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8">
        <f t="shared" si="3"/>
        <v>566869.76750000007</v>
      </c>
    </row>
    <row r="224" spans="1:42" ht="15" customHeight="1" x14ac:dyDescent="0.2">
      <c r="A224" s="16" t="s">
        <v>611</v>
      </c>
      <c r="B224" s="16" t="s">
        <v>613</v>
      </c>
      <c r="C224" s="16" t="s">
        <v>645</v>
      </c>
      <c r="D224" s="16" t="s">
        <v>641</v>
      </c>
      <c r="E224" s="17"/>
      <c r="F224" s="17">
        <v>19384.2346</v>
      </c>
      <c r="G224" s="17">
        <v>26884.202099999999</v>
      </c>
      <c r="H224" s="17">
        <v>24464.623899999999</v>
      </c>
      <c r="I224" s="17">
        <v>22262.807799999999</v>
      </c>
      <c r="J224" s="17">
        <v>20259.1551</v>
      </c>
      <c r="K224" s="17">
        <v>18435.831099999999</v>
      </c>
      <c r="L224" s="17">
        <v>16776.606299999999</v>
      </c>
      <c r="M224" s="17">
        <v>15266.711799999999</v>
      </c>
      <c r="N224" s="17">
        <v>13892.707700000001</v>
      </c>
      <c r="O224" s="17">
        <v>12642.364</v>
      </c>
      <c r="P224" s="17">
        <v>11504.5512</v>
      </c>
      <c r="Q224" s="17">
        <v>9633.9285</v>
      </c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8">
        <f t="shared" si="3"/>
        <v>211407.72409999999</v>
      </c>
    </row>
    <row r="225" spans="1:42" ht="15" customHeight="1" x14ac:dyDescent="0.2">
      <c r="A225" s="16" t="s">
        <v>611</v>
      </c>
      <c r="B225" s="16" t="s">
        <v>614</v>
      </c>
      <c r="C225" s="16" t="s">
        <v>253</v>
      </c>
      <c r="D225" s="16" t="s">
        <v>641</v>
      </c>
      <c r="E225" s="17">
        <v>1996.0089</v>
      </c>
      <c r="F225" s="17">
        <v>7192.2147000000004</v>
      </c>
      <c r="G225" s="17">
        <v>27411.3403</v>
      </c>
      <c r="H225" s="17">
        <v>52360.652800000003</v>
      </c>
      <c r="I225" s="17">
        <v>48154.649599999997</v>
      </c>
      <c r="J225" s="17">
        <v>45248.786099999998</v>
      </c>
      <c r="K225" s="17">
        <v>43177.657500000001</v>
      </c>
      <c r="L225" s="17">
        <v>41637.055899999999</v>
      </c>
      <c r="M225" s="17">
        <v>40433.978799999997</v>
      </c>
      <c r="N225" s="17">
        <v>40702.084600000002</v>
      </c>
      <c r="O225" s="17">
        <v>123264.17630000001</v>
      </c>
      <c r="P225" s="17">
        <v>140936.22640000001</v>
      </c>
      <c r="Q225" s="17">
        <v>120360.95630000001</v>
      </c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8">
        <f t="shared" si="3"/>
        <v>732875.78819999995</v>
      </c>
    </row>
    <row r="226" spans="1:42" ht="15" customHeight="1" x14ac:dyDescent="0.2">
      <c r="A226" s="16" t="s">
        <v>611</v>
      </c>
      <c r="B226" s="16" t="s">
        <v>330</v>
      </c>
      <c r="C226" s="16" t="s">
        <v>330</v>
      </c>
      <c r="D226" s="16" t="s">
        <v>641</v>
      </c>
      <c r="E226" s="17">
        <v>1297.0768</v>
      </c>
      <c r="F226" s="17">
        <v>11058.394</v>
      </c>
      <c r="G226" s="17">
        <v>92684.734200000006</v>
      </c>
      <c r="H226" s="17">
        <v>78324.780299999999</v>
      </c>
      <c r="I226" s="17">
        <v>60733.607600000003</v>
      </c>
      <c r="J226" s="17">
        <v>47708.211600000002</v>
      </c>
      <c r="K226" s="17">
        <v>38020.053800000002</v>
      </c>
      <c r="L226" s="17">
        <v>30763.385600000001</v>
      </c>
      <c r="M226" s="17">
        <v>25287.373599999999</v>
      </c>
      <c r="N226" s="17">
        <v>21137.674200000001</v>
      </c>
      <c r="O226" s="17">
        <v>17979.963899999999</v>
      </c>
      <c r="P226" s="17">
        <v>15523.9789</v>
      </c>
      <c r="Q226" s="17">
        <v>13570.453100000001</v>
      </c>
      <c r="R226" s="17">
        <v>12009.527</v>
      </c>
      <c r="S226" s="17">
        <v>10743.865100000001</v>
      </c>
      <c r="T226" s="17">
        <v>9701.3173999999999</v>
      </c>
      <c r="U226" s="17">
        <v>8828.7597999999998</v>
      </c>
      <c r="V226" s="17">
        <v>8086.9848000000002</v>
      </c>
      <c r="W226" s="17">
        <v>11629.421200000001</v>
      </c>
      <c r="X226" s="17">
        <v>22984.7366</v>
      </c>
      <c r="Y226" s="17">
        <v>21523.161599999999</v>
      </c>
      <c r="Z226" s="17">
        <v>20171.553599999999</v>
      </c>
      <c r="AA226" s="17">
        <v>18917.300999999999</v>
      </c>
      <c r="AB226" s="17">
        <v>7533.0529999999999</v>
      </c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8">
        <f t="shared" si="3"/>
        <v>606219.36869999976</v>
      </c>
    </row>
    <row r="227" spans="1:42" ht="15" customHeight="1" x14ac:dyDescent="0.2">
      <c r="A227" s="16" t="s">
        <v>611</v>
      </c>
      <c r="B227" s="16" t="s">
        <v>330</v>
      </c>
      <c r="C227" s="16" t="s">
        <v>426</v>
      </c>
      <c r="D227" s="16" t="s">
        <v>641</v>
      </c>
      <c r="E227" s="17">
        <v>454.01409999999998</v>
      </c>
      <c r="F227" s="17">
        <v>1040.4110000000001</v>
      </c>
      <c r="G227" s="17">
        <v>9154.1767999999993</v>
      </c>
      <c r="H227" s="17">
        <v>14842.7541</v>
      </c>
      <c r="I227" s="17">
        <v>13223.6633</v>
      </c>
      <c r="J227" s="17">
        <v>11938.054099999999</v>
      </c>
      <c r="K227" s="17">
        <v>10868.2412</v>
      </c>
      <c r="L227" s="17">
        <v>9945.0169999999998</v>
      </c>
      <c r="M227" s="17">
        <v>9152.8238999999994</v>
      </c>
      <c r="N227" s="17">
        <v>8474.4316999999992</v>
      </c>
      <c r="O227" s="17">
        <v>7886.5150000000003</v>
      </c>
      <c r="P227" s="17">
        <v>7371.6943000000001</v>
      </c>
      <c r="Q227" s="17">
        <v>6916.4156000000003</v>
      </c>
      <c r="R227" s="17">
        <v>6500.9360999999999</v>
      </c>
      <c r="S227" s="17">
        <v>6110.88</v>
      </c>
      <c r="T227" s="17">
        <v>5744.2272000000003</v>
      </c>
      <c r="U227" s="17">
        <v>5399.5735000000004</v>
      </c>
      <c r="V227" s="17">
        <v>5075.5991000000004</v>
      </c>
      <c r="W227" s="17">
        <v>7347.3909999999996</v>
      </c>
      <c r="X227" s="17">
        <v>14400.6728</v>
      </c>
      <c r="Y227" s="17">
        <v>13536.6324</v>
      </c>
      <c r="Z227" s="17">
        <v>12724.4344</v>
      </c>
      <c r="AA227" s="17">
        <v>11960.9684</v>
      </c>
      <c r="AB227" s="17">
        <v>4769.3963000000003</v>
      </c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8">
        <f t="shared" si="3"/>
        <v>204838.92330000002</v>
      </c>
    </row>
    <row r="228" spans="1:42" ht="15" customHeight="1" x14ac:dyDescent="0.2">
      <c r="A228" s="16" t="s">
        <v>615</v>
      </c>
      <c r="B228" s="16" t="s">
        <v>616</v>
      </c>
      <c r="C228" s="16" t="s">
        <v>217</v>
      </c>
      <c r="D228" s="16" t="s">
        <v>641</v>
      </c>
      <c r="E228" s="17">
        <v>7489.3855000000003</v>
      </c>
      <c r="F228" s="17">
        <v>12470.089</v>
      </c>
      <c r="G228" s="17">
        <v>20414.201400000002</v>
      </c>
      <c r="H228" s="17">
        <v>17249.588899999999</v>
      </c>
      <c r="I228" s="17">
        <v>13143.4504</v>
      </c>
      <c r="J228" s="17">
        <v>10661.8122</v>
      </c>
      <c r="K228" s="17">
        <v>10048.771000000001</v>
      </c>
      <c r="L228" s="17">
        <v>9272.0329999999994</v>
      </c>
      <c r="M228" s="17">
        <v>6568.2655999999997</v>
      </c>
      <c r="N228" s="17">
        <v>5220.8923000000004</v>
      </c>
      <c r="O228" s="17">
        <v>2411.2194</v>
      </c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8">
        <f t="shared" si="3"/>
        <v>114949.7087</v>
      </c>
    </row>
    <row r="229" spans="1:42" ht="15" customHeight="1" x14ac:dyDescent="0.2">
      <c r="A229" s="16" t="s">
        <v>615</v>
      </c>
      <c r="B229" s="16" t="s">
        <v>616</v>
      </c>
      <c r="C229" s="16" t="s">
        <v>218</v>
      </c>
      <c r="D229" s="16" t="s">
        <v>641</v>
      </c>
      <c r="E229" s="17">
        <v>16109.278200000001</v>
      </c>
      <c r="F229" s="17">
        <v>39027.256500000003</v>
      </c>
      <c r="G229" s="17">
        <v>38158.929400000001</v>
      </c>
      <c r="H229" s="17">
        <v>31276.0579</v>
      </c>
      <c r="I229" s="17">
        <v>27302.803899999999</v>
      </c>
      <c r="J229" s="17">
        <v>24401.008099999999</v>
      </c>
      <c r="K229" s="17">
        <v>22129.041000000001</v>
      </c>
      <c r="L229" s="17">
        <v>20275.734100000001</v>
      </c>
      <c r="M229" s="17">
        <v>18728.7035</v>
      </c>
      <c r="N229" s="17">
        <v>16342.9537</v>
      </c>
      <c r="O229" s="17">
        <v>14794.1345</v>
      </c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8">
        <f t="shared" si="3"/>
        <v>268545.9008</v>
      </c>
    </row>
    <row r="230" spans="1:42" ht="15" customHeight="1" x14ac:dyDescent="0.2">
      <c r="A230" s="16" t="s">
        <v>615</v>
      </c>
      <c r="B230" s="16" t="s">
        <v>616</v>
      </c>
      <c r="C230" s="16" t="s">
        <v>219</v>
      </c>
      <c r="D230" s="16" t="s">
        <v>641</v>
      </c>
      <c r="E230" s="17">
        <v>419.5573</v>
      </c>
      <c r="F230" s="17">
        <v>822.26210000000003</v>
      </c>
      <c r="G230" s="17">
        <v>1053.0057999999999</v>
      </c>
      <c r="H230" s="17">
        <v>1127.6999000000001</v>
      </c>
      <c r="I230" s="17">
        <v>1150.2089000000001</v>
      </c>
      <c r="J230" s="17">
        <v>1155.2114999999999</v>
      </c>
      <c r="K230" s="17">
        <v>1148.9770000000001</v>
      </c>
      <c r="L230" s="17">
        <v>1135.4757999999999</v>
      </c>
      <c r="M230" s="17">
        <v>1116.317</v>
      </c>
      <c r="N230" s="17">
        <v>1079.0873999999999</v>
      </c>
      <c r="O230" s="17">
        <v>2816.3872999999999</v>
      </c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8">
        <f t="shared" si="3"/>
        <v>13024.19</v>
      </c>
    </row>
    <row r="231" spans="1:42" ht="15" customHeight="1" x14ac:dyDescent="0.2">
      <c r="A231" s="16" t="s">
        <v>615</v>
      </c>
      <c r="B231" s="16" t="s">
        <v>429</v>
      </c>
      <c r="C231" s="16" t="s">
        <v>179</v>
      </c>
      <c r="D231" s="16" t="s">
        <v>641</v>
      </c>
      <c r="E231" s="17">
        <v>2831.8714</v>
      </c>
      <c r="F231" s="17">
        <v>5992.8418000000001</v>
      </c>
      <c r="G231" s="17">
        <v>33257.156199999998</v>
      </c>
      <c r="H231" s="17">
        <v>41782.162600000003</v>
      </c>
      <c r="I231" s="17">
        <v>37568.249100000001</v>
      </c>
      <c r="J231" s="17">
        <v>34203.016799999998</v>
      </c>
      <c r="K231" s="17">
        <v>31414.940999999999</v>
      </c>
      <c r="L231" s="17">
        <v>29046.961800000001</v>
      </c>
      <c r="M231" s="17">
        <v>27015.7405</v>
      </c>
      <c r="N231" s="17">
        <v>25255.7775</v>
      </c>
      <c r="O231" s="17">
        <v>19881.908299999999</v>
      </c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8">
        <f t="shared" si="3"/>
        <v>288250.62700000004</v>
      </c>
    </row>
    <row r="232" spans="1:42" ht="15" customHeight="1" x14ac:dyDescent="0.2">
      <c r="A232" s="16" t="s">
        <v>615</v>
      </c>
      <c r="B232" s="16" t="s">
        <v>429</v>
      </c>
      <c r="C232" s="16" t="s">
        <v>429</v>
      </c>
      <c r="D232" s="16" t="s">
        <v>641</v>
      </c>
      <c r="E232" s="17">
        <v>119.7551</v>
      </c>
      <c r="F232" s="17">
        <v>244.79249999999999</v>
      </c>
      <c r="G232" s="17">
        <v>332.13749999999999</v>
      </c>
      <c r="H232" s="17">
        <v>360.923</v>
      </c>
      <c r="I232" s="17">
        <v>345.49540000000002</v>
      </c>
      <c r="J232" s="17">
        <v>324.76569999999998</v>
      </c>
      <c r="K232" s="17">
        <v>305.27969999999999</v>
      </c>
      <c r="L232" s="17">
        <v>286.96300000000002</v>
      </c>
      <c r="M232" s="17">
        <v>269.74520000000001</v>
      </c>
      <c r="N232" s="17">
        <v>253.56049999999999</v>
      </c>
      <c r="O232" s="17">
        <v>200.27850000000001</v>
      </c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8">
        <f t="shared" si="3"/>
        <v>3043.6960999999997</v>
      </c>
    </row>
    <row r="233" spans="1:42" ht="15" customHeight="1" x14ac:dyDescent="0.2">
      <c r="A233" s="16" t="s">
        <v>617</v>
      </c>
      <c r="B233" s="16" t="s">
        <v>618</v>
      </c>
      <c r="C233" s="16" t="s">
        <v>178</v>
      </c>
      <c r="D233" s="16" t="s">
        <v>641</v>
      </c>
      <c r="E233" s="17">
        <v>75674.099000000002</v>
      </c>
      <c r="F233" s="17">
        <v>30894.922699999999</v>
      </c>
      <c r="G233" s="17">
        <v>124238.9176</v>
      </c>
      <c r="H233" s="17">
        <v>35060.921300000002</v>
      </c>
      <c r="I233" s="17">
        <v>730.49869999999999</v>
      </c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8">
        <f t="shared" si="3"/>
        <v>266599.35930000001</v>
      </c>
    </row>
    <row r="234" spans="1:42" ht="15" customHeight="1" x14ac:dyDescent="0.2">
      <c r="A234" s="16" t="s">
        <v>617</v>
      </c>
      <c r="B234" s="16" t="s">
        <v>618</v>
      </c>
      <c r="C234" s="16" t="s">
        <v>376</v>
      </c>
      <c r="D234" s="16" t="s">
        <v>641</v>
      </c>
      <c r="E234" s="17">
        <v>184997.92559999999</v>
      </c>
      <c r="F234" s="17">
        <v>89535.092999999993</v>
      </c>
      <c r="G234" s="17">
        <v>22640.724999999999</v>
      </c>
      <c r="H234" s="17">
        <v>36814.7261</v>
      </c>
      <c r="I234" s="17">
        <v>628.83450000000005</v>
      </c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8">
        <f t="shared" si="3"/>
        <v>334617.3041999999</v>
      </c>
    </row>
    <row r="235" spans="1:42" ht="15" customHeight="1" x14ac:dyDescent="0.2">
      <c r="A235" s="16" t="s">
        <v>619</v>
      </c>
      <c r="B235" s="16" t="s">
        <v>232</v>
      </c>
      <c r="C235" s="16" t="s">
        <v>232</v>
      </c>
      <c r="D235" s="16" t="s">
        <v>641</v>
      </c>
      <c r="E235" s="17">
        <v>699</v>
      </c>
      <c r="F235" s="17">
        <v>5945</v>
      </c>
      <c r="G235" s="17">
        <v>4885</v>
      </c>
      <c r="H235" s="17">
        <v>5732</v>
      </c>
      <c r="I235" s="17">
        <v>10393</v>
      </c>
      <c r="J235" s="17">
        <v>15581</v>
      </c>
      <c r="K235" s="17">
        <v>13453</v>
      </c>
      <c r="L235" s="17">
        <v>11167</v>
      </c>
      <c r="M235" s="17">
        <v>9086</v>
      </c>
      <c r="N235" s="17">
        <v>7665</v>
      </c>
      <c r="O235" s="17">
        <v>6361</v>
      </c>
      <c r="P235" s="17">
        <v>5265</v>
      </c>
      <c r="Q235" s="17">
        <v>4487</v>
      </c>
      <c r="R235" s="17">
        <v>3944</v>
      </c>
      <c r="S235" s="17">
        <v>3359</v>
      </c>
      <c r="T235" s="17">
        <v>2763</v>
      </c>
      <c r="U235" s="17">
        <v>2775</v>
      </c>
      <c r="V235" s="17">
        <v>2579</v>
      </c>
      <c r="W235" s="17">
        <v>2105</v>
      </c>
      <c r="X235" s="17">
        <v>1754</v>
      </c>
      <c r="Y235" s="17">
        <v>1584</v>
      </c>
      <c r="Z235" s="17">
        <v>1464</v>
      </c>
      <c r="AA235" s="17">
        <v>1124</v>
      </c>
      <c r="AB235" s="17">
        <v>0</v>
      </c>
      <c r="AC235" s="17">
        <v>0</v>
      </c>
      <c r="AD235" s="17">
        <v>0</v>
      </c>
      <c r="AE235" s="17">
        <v>0</v>
      </c>
      <c r="AF235" s="17">
        <v>0</v>
      </c>
      <c r="AG235" s="17">
        <v>0</v>
      </c>
      <c r="AH235" s="17">
        <v>0</v>
      </c>
      <c r="AI235" s="17">
        <v>0</v>
      </c>
      <c r="AJ235" s="17">
        <v>0</v>
      </c>
      <c r="AK235" s="17">
        <v>0</v>
      </c>
      <c r="AL235" s="17"/>
      <c r="AM235" s="17"/>
      <c r="AN235" s="17"/>
      <c r="AO235" s="17"/>
      <c r="AP235" s="18">
        <f t="shared" si="3"/>
        <v>124170</v>
      </c>
    </row>
    <row r="236" spans="1:42" ht="15" customHeight="1" x14ac:dyDescent="0.2">
      <c r="A236" s="16" t="s">
        <v>619</v>
      </c>
      <c r="B236" s="16" t="s">
        <v>235</v>
      </c>
      <c r="C236" s="16" t="s">
        <v>235</v>
      </c>
      <c r="D236" s="16" t="s">
        <v>641</v>
      </c>
      <c r="E236" s="17">
        <v>3585</v>
      </c>
      <c r="F236" s="17">
        <v>56697</v>
      </c>
      <c r="G236" s="17">
        <v>164225</v>
      </c>
      <c r="H236" s="17">
        <v>122315</v>
      </c>
      <c r="I236" s="17">
        <v>90451</v>
      </c>
      <c r="J236" s="17">
        <v>67170</v>
      </c>
      <c r="K236" s="17">
        <v>50557</v>
      </c>
      <c r="L236" s="17">
        <v>38499</v>
      </c>
      <c r="M236" s="17">
        <v>0</v>
      </c>
      <c r="N236" s="17">
        <v>0</v>
      </c>
      <c r="O236" s="17">
        <v>0</v>
      </c>
      <c r="P236" s="17">
        <v>0</v>
      </c>
      <c r="Q236" s="17">
        <v>0</v>
      </c>
      <c r="R236" s="17">
        <v>0</v>
      </c>
      <c r="S236" s="17">
        <v>0</v>
      </c>
      <c r="T236" s="17">
        <v>0</v>
      </c>
      <c r="U236" s="17">
        <v>0</v>
      </c>
      <c r="V236" s="17">
        <v>0</v>
      </c>
      <c r="W236" s="17">
        <v>0</v>
      </c>
      <c r="X236" s="17">
        <v>0</v>
      </c>
      <c r="Y236" s="17">
        <v>0</v>
      </c>
      <c r="Z236" s="17">
        <v>0</v>
      </c>
      <c r="AA236" s="17">
        <v>0</v>
      </c>
      <c r="AB236" s="17">
        <v>0</v>
      </c>
      <c r="AC236" s="17">
        <v>0</v>
      </c>
      <c r="AD236" s="17">
        <v>0</v>
      </c>
      <c r="AE236" s="17">
        <v>0</v>
      </c>
      <c r="AF236" s="17">
        <v>0</v>
      </c>
      <c r="AG236" s="17">
        <v>0</v>
      </c>
      <c r="AH236" s="17">
        <v>0</v>
      </c>
      <c r="AI236" s="17">
        <v>0</v>
      </c>
      <c r="AJ236" s="17">
        <v>0</v>
      </c>
      <c r="AK236" s="17">
        <v>0</v>
      </c>
      <c r="AL236" s="17"/>
      <c r="AM236" s="17"/>
      <c r="AN236" s="17"/>
      <c r="AO236" s="17"/>
      <c r="AP236" s="18">
        <f t="shared" si="3"/>
        <v>593499</v>
      </c>
    </row>
    <row r="237" spans="1:42" ht="15" customHeight="1" x14ac:dyDescent="0.2">
      <c r="A237" s="16" t="s">
        <v>619</v>
      </c>
      <c r="B237" s="16" t="s">
        <v>620</v>
      </c>
      <c r="C237" s="16" t="s">
        <v>254</v>
      </c>
      <c r="D237" s="16" t="s">
        <v>641</v>
      </c>
      <c r="E237" s="17">
        <v>0</v>
      </c>
      <c r="F237" s="17">
        <v>1540</v>
      </c>
      <c r="G237" s="17">
        <v>2963</v>
      </c>
      <c r="H237" s="17">
        <v>3000</v>
      </c>
      <c r="I237" s="17">
        <v>2790</v>
      </c>
      <c r="J237" s="17">
        <v>7230</v>
      </c>
      <c r="K237" s="17">
        <v>0</v>
      </c>
      <c r="L237" s="17">
        <v>0</v>
      </c>
      <c r="M237" s="17">
        <v>0</v>
      </c>
      <c r="N237" s="17">
        <v>0</v>
      </c>
      <c r="O237" s="17">
        <v>0</v>
      </c>
      <c r="P237" s="17">
        <v>0</v>
      </c>
      <c r="Q237" s="17">
        <v>0</v>
      </c>
      <c r="R237" s="17">
        <v>0</v>
      </c>
      <c r="S237" s="17">
        <v>0</v>
      </c>
      <c r="T237" s="17">
        <v>0</v>
      </c>
      <c r="U237" s="17">
        <v>0</v>
      </c>
      <c r="V237" s="17">
        <v>0</v>
      </c>
      <c r="W237" s="17">
        <v>0</v>
      </c>
      <c r="X237" s="17">
        <v>0</v>
      </c>
      <c r="Y237" s="17">
        <v>0</v>
      </c>
      <c r="Z237" s="17">
        <v>0</v>
      </c>
      <c r="AA237" s="17">
        <v>0</v>
      </c>
      <c r="AB237" s="17">
        <v>0</v>
      </c>
      <c r="AC237" s="17">
        <v>0</v>
      </c>
      <c r="AD237" s="17">
        <v>0</v>
      </c>
      <c r="AE237" s="17">
        <v>0</v>
      </c>
      <c r="AF237" s="17">
        <v>0</v>
      </c>
      <c r="AG237" s="17">
        <v>0</v>
      </c>
      <c r="AH237" s="17">
        <v>0</v>
      </c>
      <c r="AI237" s="17">
        <v>0</v>
      </c>
      <c r="AJ237" s="17">
        <v>0</v>
      </c>
      <c r="AK237" s="17">
        <v>0</v>
      </c>
      <c r="AL237" s="17"/>
      <c r="AM237" s="17"/>
      <c r="AN237" s="17"/>
      <c r="AO237" s="17"/>
      <c r="AP237" s="18">
        <f t="shared" si="3"/>
        <v>17523</v>
      </c>
    </row>
    <row r="238" spans="1:42" ht="15" customHeight="1" x14ac:dyDescent="0.2">
      <c r="A238" s="16" t="s">
        <v>621</v>
      </c>
      <c r="B238" s="16" t="s">
        <v>622</v>
      </c>
      <c r="C238" s="16" t="s">
        <v>204</v>
      </c>
      <c r="D238" s="16" t="s">
        <v>641</v>
      </c>
      <c r="E238" s="17">
        <v>72200</v>
      </c>
      <c r="F238" s="17">
        <v>124300</v>
      </c>
      <c r="G238" s="17">
        <v>120500</v>
      </c>
      <c r="H238" s="17">
        <v>112300</v>
      </c>
      <c r="I238" s="17">
        <v>99500</v>
      </c>
      <c r="J238" s="17">
        <v>88200</v>
      </c>
      <c r="K238" s="17">
        <v>78200</v>
      </c>
      <c r="L238" s="17">
        <v>69300</v>
      </c>
      <c r="M238" s="17">
        <v>19400</v>
      </c>
      <c r="N238" s="17">
        <v>16500</v>
      </c>
      <c r="O238" s="17">
        <v>17900</v>
      </c>
      <c r="P238" s="17">
        <v>39300</v>
      </c>
      <c r="Q238" s="17">
        <v>59000</v>
      </c>
      <c r="R238" s="17">
        <v>53100</v>
      </c>
      <c r="S238" s="17">
        <v>26800</v>
      </c>
      <c r="T238" s="17">
        <v>5700</v>
      </c>
      <c r="U238" s="17">
        <v>5200</v>
      </c>
      <c r="V238" s="17">
        <v>4800</v>
      </c>
      <c r="W238" s="17">
        <v>4300</v>
      </c>
      <c r="X238" s="17">
        <v>4000</v>
      </c>
      <c r="Y238" s="17">
        <v>3700</v>
      </c>
      <c r="Z238" s="17">
        <v>3300</v>
      </c>
      <c r="AA238" s="17">
        <v>3100</v>
      </c>
      <c r="AB238" s="17">
        <v>2400</v>
      </c>
      <c r="AC238" s="17">
        <v>1900</v>
      </c>
      <c r="AD238" s="17">
        <v>1700</v>
      </c>
      <c r="AE238" s="17">
        <v>1600</v>
      </c>
      <c r="AF238" s="17">
        <v>1500</v>
      </c>
      <c r="AG238" s="17">
        <v>1100</v>
      </c>
      <c r="AH238" s="17">
        <v>700</v>
      </c>
      <c r="AI238" s="17">
        <v>700</v>
      </c>
      <c r="AJ238" s="17">
        <v>600</v>
      </c>
      <c r="AK238" s="17">
        <v>3400</v>
      </c>
      <c r="AL238" s="17">
        <v>5900</v>
      </c>
      <c r="AM238" s="17">
        <v>4700</v>
      </c>
      <c r="AN238" s="17">
        <v>900</v>
      </c>
      <c r="AO238" s="17">
        <v>0</v>
      </c>
      <c r="AP238" s="18">
        <f t="shared" si="3"/>
        <v>1057700</v>
      </c>
    </row>
    <row r="239" spans="1:42" ht="15" customHeight="1" x14ac:dyDescent="0.2">
      <c r="A239" s="16" t="s">
        <v>621</v>
      </c>
      <c r="B239" s="16" t="s">
        <v>622</v>
      </c>
      <c r="C239" s="16" t="s">
        <v>205</v>
      </c>
      <c r="D239" s="16" t="s">
        <v>641</v>
      </c>
      <c r="E239" s="17">
        <v>0</v>
      </c>
      <c r="F239" s="17">
        <v>0</v>
      </c>
      <c r="G239" s="17">
        <v>0</v>
      </c>
      <c r="H239" s="17">
        <v>29300</v>
      </c>
      <c r="I239" s="17">
        <v>64700</v>
      </c>
      <c r="J239" s="17">
        <v>57600</v>
      </c>
      <c r="K239" s="17">
        <v>51300</v>
      </c>
      <c r="L239" s="17">
        <v>64700</v>
      </c>
      <c r="M239" s="17">
        <v>61200</v>
      </c>
      <c r="N239" s="17">
        <v>54400</v>
      </c>
      <c r="O239" s="17">
        <v>48500</v>
      </c>
      <c r="P239" s="17">
        <v>43100</v>
      </c>
      <c r="Q239" s="17">
        <v>38400</v>
      </c>
      <c r="R239" s="17">
        <v>34200</v>
      </c>
      <c r="S239" s="17">
        <v>30400</v>
      </c>
      <c r="T239" s="17">
        <v>27100</v>
      </c>
      <c r="U239" s="17">
        <v>24100</v>
      </c>
      <c r="V239" s="17">
        <v>21400</v>
      </c>
      <c r="W239" s="17">
        <v>19100</v>
      </c>
      <c r="X239" s="17">
        <v>17000</v>
      </c>
      <c r="Y239" s="17">
        <v>15100</v>
      </c>
      <c r="Z239" s="17">
        <v>13400</v>
      </c>
      <c r="AA239" s="17">
        <v>12000</v>
      </c>
      <c r="AB239" s="17">
        <v>10700</v>
      </c>
      <c r="AC239" s="17">
        <v>9500</v>
      </c>
      <c r="AD239" s="17">
        <v>8400</v>
      </c>
      <c r="AE239" s="17">
        <v>7500</v>
      </c>
      <c r="AF239" s="17">
        <v>6700</v>
      </c>
      <c r="AG239" s="17">
        <v>5000</v>
      </c>
      <c r="AH239" s="17">
        <v>1800</v>
      </c>
      <c r="AI239" s="17">
        <v>1600</v>
      </c>
      <c r="AJ239" s="17">
        <v>1400</v>
      </c>
      <c r="AK239" s="17">
        <v>5400</v>
      </c>
      <c r="AL239" s="17">
        <v>9100</v>
      </c>
      <c r="AM239" s="17">
        <v>8500</v>
      </c>
      <c r="AN239" s="17">
        <v>2700</v>
      </c>
      <c r="AO239" s="17">
        <v>0</v>
      </c>
      <c r="AP239" s="18">
        <f t="shared" si="3"/>
        <v>805300</v>
      </c>
    </row>
    <row r="240" spans="1:42" ht="15" customHeight="1" x14ac:dyDescent="0.2">
      <c r="A240" s="16" t="s">
        <v>621</v>
      </c>
      <c r="B240" s="16" t="s">
        <v>622</v>
      </c>
      <c r="C240" s="16" t="s">
        <v>285</v>
      </c>
      <c r="D240" s="16" t="s">
        <v>641</v>
      </c>
      <c r="E240" s="17">
        <v>30900</v>
      </c>
      <c r="F240" s="17">
        <v>86600</v>
      </c>
      <c r="G240" s="17">
        <v>153300</v>
      </c>
      <c r="H240" s="17">
        <v>204500</v>
      </c>
      <c r="I240" s="17">
        <v>316300</v>
      </c>
      <c r="J240" s="17">
        <v>347800</v>
      </c>
      <c r="K240" s="17">
        <v>325800</v>
      </c>
      <c r="L240" s="17">
        <v>331700</v>
      </c>
      <c r="M240" s="17">
        <v>345400</v>
      </c>
      <c r="N240" s="17">
        <v>482400</v>
      </c>
      <c r="O240" s="17">
        <v>642500</v>
      </c>
      <c r="P240" s="17">
        <v>741400</v>
      </c>
      <c r="Q240" s="17">
        <v>709900</v>
      </c>
      <c r="R240" s="17">
        <v>595500</v>
      </c>
      <c r="S240" s="17">
        <v>512800</v>
      </c>
      <c r="T240" s="17">
        <v>466100</v>
      </c>
      <c r="U240" s="17">
        <v>406500</v>
      </c>
      <c r="V240" s="17">
        <v>351200</v>
      </c>
      <c r="W240" s="17">
        <v>305600</v>
      </c>
      <c r="X240" s="17">
        <v>256000</v>
      </c>
      <c r="Y240" s="17">
        <v>212200</v>
      </c>
      <c r="Z240" s="17">
        <v>178200</v>
      </c>
      <c r="AA240" s="17">
        <v>144500</v>
      </c>
      <c r="AB240" s="17">
        <v>125900</v>
      </c>
      <c r="AC240" s="17">
        <v>109000</v>
      </c>
      <c r="AD240" s="17">
        <v>91300</v>
      </c>
      <c r="AE240" s="17">
        <v>71200</v>
      </c>
      <c r="AF240" s="17">
        <v>44600</v>
      </c>
      <c r="AG240" s="17">
        <v>28700</v>
      </c>
      <c r="AH240" s="17">
        <v>20700</v>
      </c>
      <c r="AI240" s="17">
        <v>15700</v>
      </c>
      <c r="AJ240" s="17">
        <v>11900</v>
      </c>
      <c r="AK240" s="17">
        <v>28000</v>
      </c>
      <c r="AL240" s="17">
        <v>40600</v>
      </c>
      <c r="AM240" s="17">
        <v>36500</v>
      </c>
      <c r="AN240" s="17">
        <v>11600</v>
      </c>
      <c r="AO240" s="17">
        <v>0</v>
      </c>
      <c r="AP240" s="18">
        <f t="shared" si="3"/>
        <v>8782800</v>
      </c>
    </row>
    <row r="241" spans="1:42" ht="15" customHeight="1" x14ac:dyDescent="0.2">
      <c r="A241" s="16" t="s">
        <v>621</v>
      </c>
      <c r="B241" s="16" t="s">
        <v>622</v>
      </c>
      <c r="C241" s="16" t="s">
        <v>342</v>
      </c>
      <c r="D241" s="16" t="s">
        <v>641</v>
      </c>
      <c r="E241" s="17">
        <v>19000</v>
      </c>
      <c r="F241" s="17">
        <v>97800</v>
      </c>
      <c r="G241" s="17">
        <v>122300</v>
      </c>
      <c r="H241" s="17">
        <v>176600</v>
      </c>
      <c r="I241" s="17">
        <v>212500</v>
      </c>
      <c r="J241" s="17">
        <v>236500</v>
      </c>
      <c r="K241" s="17">
        <v>283700</v>
      </c>
      <c r="L241" s="17">
        <v>345700</v>
      </c>
      <c r="M241" s="17">
        <v>380000</v>
      </c>
      <c r="N241" s="17">
        <v>396300</v>
      </c>
      <c r="O241" s="17">
        <v>405500</v>
      </c>
      <c r="P241" s="17">
        <v>368500</v>
      </c>
      <c r="Q241" s="17">
        <v>329900</v>
      </c>
      <c r="R241" s="17">
        <v>290500</v>
      </c>
      <c r="S241" s="17">
        <v>252700</v>
      </c>
      <c r="T241" s="17">
        <v>222300</v>
      </c>
      <c r="U241" s="17">
        <v>195200</v>
      </c>
      <c r="V241" s="17">
        <v>171200</v>
      </c>
      <c r="W241" s="17">
        <v>150900</v>
      </c>
      <c r="X241" s="17">
        <v>133300</v>
      </c>
      <c r="Y241" s="17">
        <v>117000</v>
      </c>
      <c r="Z241" s="17">
        <v>101100</v>
      </c>
      <c r="AA241" s="17">
        <v>89400</v>
      </c>
      <c r="AB241" s="17">
        <v>79000</v>
      </c>
      <c r="AC241" s="17">
        <v>67300</v>
      </c>
      <c r="AD241" s="17">
        <v>54600</v>
      </c>
      <c r="AE241" s="17">
        <v>33400</v>
      </c>
      <c r="AF241" s="17">
        <v>24200</v>
      </c>
      <c r="AG241" s="17">
        <v>19100</v>
      </c>
      <c r="AH241" s="17">
        <v>15000</v>
      </c>
      <c r="AI241" s="17">
        <v>9800</v>
      </c>
      <c r="AJ241" s="17">
        <v>5600</v>
      </c>
      <c r="AK241" s="17">
        <v>22800</v>
      </c>
      <c r="AL241" s="17">
        <v>38100</v>
      </c>
      <c r="AM241" s="17">
        <v>35200</v>
      </c>
      <c r="AN241" s="17">
        <v>11400</v>
      </c>
      <c r="AO241" s="17">
        <v>0</v>
      </c>
      <c r="AP241" s="18">
        <f t="shared" si="3"/>
        <v>5513400</v>
      </c>
    </row>
    <row r="242" spans="1:42" ht="15" customHeight="1" x14ac:dyDescent="0.2">
      <c r="A242" s="16" t="s">
        <v>621</v>
      </c>
      <c r="B242" s="16" t="s">
        <v>622</v>
      </c>
      <c r="C242" s="16" t="s">
        <v>343</v>
      </c>
      <c r="D242" s="16" t="s">
        <v>641</v>
      </c>
      <c r="E242" s="17">
        <v>0</v>
      </c>
      <c r="F242" s="17">
        <v>0</v>
      </c>
      <c r="G242" s="17">
        <v>18700</v>
      </c>
      <c r="H242" s="17">
        <v>81300</v>
      </c>
      <c r="I242" s="17">
        <v>83200</v>
      </c>
      <c r="J242" s="17">
        <v>121600</v>
      </c>
      <c r="K242" s="17">
        <v>106500</v>
      </c>
      <c r="L242" s="17">
        <v>93200</v>
      </c>
      <c r="M242" s="17">
        <v>82300</v>
      </c>
      <c r="N242" s="17">
        <v>73200</v>
      </c>
      <c r="O242" s="17">
        <v>65500</v>
      </c>
      <c r="P242" s="17">
        <v>59000</v>
      </c>
      <c r="Q242" s="17">
        <v>53400</v>
      </c>
      <c r="R242" s="17">
        <v>48600</v>
      </c>
      <c r="S242" s="17">
        <v>44400</v>
      </c>
      <c r="T242" s="17">
        <v>40700</v>
      </c>
      <c r="U242" s="17">
        <v>37500</v>
      </c>
      <c r="V242" s="17">
        <v>34600</v>
      </c>
      <c r="W242" s="17">
        <v>32100</v>
      </c>
      <c r="X242" s="17">
        <v>29800</v>
      </c>
      <c r="Y242" s="17">
        <v>27700</v>
      </c>
      <c r="Z242" s="17">
        <v>25900</v>
      </c>
      <c r="AA242" s="17">
        <v>23800</v>
      </c>
      <c r="AB242" s="17">
        <v>21900</v>
      </c>
      <c r="AC242" s="17">
        <v>20600</v>
      </c>
      <c r="AD242" s="17">
        <v>19400</v>
      </c>
      <c r="AE242" s="17">
        <v>18300</v>
      </c>
      <c r="AF242" s="17">
        <v>17300</v>
      </c>
      <c r="AG242" s="17">
        <v>16300</v>
      </c>
      <c r="AH242" s="17">
        <v>15500</v>
      </c>
      <c r="AI242" s="17">
        <v>14700</v>
      </c>
      <c r="AJ242" s="17">
        <v>14000</v>
      </c>
      <c r="AK242" s="17">
        <v>13300</v>
      </c>
      <c r="AL242" s="17">
        <v>12600</v>
      </c>
      <c r="AM242" s="17">
        <v>12100</v>
      </c>
      <c r="AN242" s="17">
        <v>3900</v>
      </c>
      <c r="AO242" s="17">
        <v>0</v>
      </c>
      <c r="AP242" s="18">
        <f t="shared" si="3"/>
        <v>1382900</v>
      </c>
    </row>
    <row r="243" spans="1:42" ht="15" customHeight="1" x14ac:dyDescent="0.2">
      <c r="A243" s="16" t="s">
        <v>623</v>
      </c>
      <c r="B243" s="16" t="s">
        <v>487</v>
      </c>
      <c r="C243" s="16" t="s">
        <v>292</v>
      </c>
      <c r="D243" s="16" t="s">
        <v>641</v>
      </c>
      <c r="E243" s="17">
        <v>447</v>
      </c>
      <c r="F243" s="17">
        <v>1124</v>
      </c>
      <c r="G243" s="17">
        <v>1622</v>
      </c>
      <c r="H243" s="17">
        <v>1976</v>
      </c>
      <c r="I243" s="17">
        <v>2221</v>
      </c>
      <c r="J243" s="17">
        <v>2363</v>
      </c>
      <c r="K243" s="17">
        <v>2440</v>
      </c>
      <c r="L243" s="17">
        <v>2460</v>
      </c>
      <c r="M243" s="17">
        <v>2449</v>
      </c>
      <c r="N243" s="17">
        <v>2389</v>
      </c>
      <c r="O243" s="17">
        <v>2314</v>
      </c>
      <c r="P243" s="17">
        <v>2222</v>
      </c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8">
        <f t="shared" si="3"/>
        <v>24027</v>
      </c>
    </row>
    <row r="244" spans="1:42" ht="15" customHeight="1" x14ac:dyDescent="0.2">
      <c r="A244" s="16" t="s">
        <v>624</v>
      </c>
      <c r="B244" s="16" t="s">
        <v>319</v>
      </c>
      <c r="C244" s="16" t="s">
        <v>312</v>
      </c>
      <c r="D244" s="16" t="s">
        <v>641</v>
      </c>
      <c r="E244" s="17">
        <v>170.88030000000001</v>
      </c>
      <c r="F244" s="17">
        <v>464.06760000000003</v>
      </c>
      <c r="G244" s="17">
        <v>655.34690000000001</v>
      </c>
      <c r="H244" s="17">
        <v>4232.8627999999999</v>
      </c>
      <c r="I244" s="17">
        <v>727.11689999999999</v>
      </c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8">
        <f t="shared" si="3"/>
        <v>6250.2745000000004</v>
      </c>
    </row>
    <row r="245" spans="1:42" ht="15" customHeight="1" x14ac:dyDescent="0.2">
      <c r="A245" s="16" t="s">
        <v>624</v>
      </c>
      <c r="B245" s="16" t="s">
        <v>319</v>
      </c>
      <c r="C245" s="16" t="s">
        <v>313</v>
      </c>
      <c r="D245" s="16" t="s">
        <v>641</v>
      </c>
      <c r="E245" s="17">
        <v>2738.7501999999999</v>
      </c>
      <c r="F245" s="17">
        <v>10289.487999999999</v>
      </c>
      <c r="G245" s="17">
        <v>18272.229500000001</v>
      </c>
      <c r="H245" s="17">
        <v>22405.837599999999</v>
      </c>
      <c r="I245" s="17">
        <v>-1945.5771999999999</v>
      </c>
      <c r="J245" s="17">
        <v>-984.59889999999996</v>
      </c>
      <c r="K245" s="17">
        <v>105318.29270000001</v>
      </c>
      <c r="L245" s="17">
        <v>155186.0251</v>
      </c>
      <c r="M245" s="17">
        <v>48469.658199999998</v>
      </c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8">
        <f t="shared" si="3"/>
        <v>359750.10520000005</v>
      </c>
    </row>
    <row r="246" spans="1:42" ht="15" customHeight="1" x14ac:dyDescent="0.2">
      <c r="A246" s="16" t="s">
        <v>625</v>
      </c>
      <c r="B246" s="16" t="s">
        <v>195</v>
      </c>
      <c r="C246" s="16" t="s">
        <v>131</v>
      </c>
      <c r="D246" s="16" t="s">
        <v>641</v>
      </c>
      <c r="E246" s="17">
        <v>112</v>
      </c>
      <c r="F246" s="17">
        <v>347</v>
      </c>
      <c r="G246" s="17">
        <v>490</v>
      </c>
      <c r="H246" s="17">
        <v>610</v>
      </c>
      <c r="I246" s="17">
        <v>60</v>
      </c>
      <c r="J246" s="17">
        <v>0</v>
      </c>
      <c r="K246" s="17">
        <v>0</v>
      </c>
      <c r="L246" s="17">
        <v>0</v>
      </c>
      <c r="M246" s="17">
        <v>0</v>
      </c>
      <c r="N246" s="17">
        <v>0</v>
      </c>
      <c r="O246" s="17">
        <v>0</v>
      </c>
      <c r="P246" s="17">
        <v>0</v>
      </c>
      <c r="Q246" s="17">
        <v>0</v>
      </c>
      <c r="R246" s="17">
        <v>0</v>
      </c>
      <c r="S246" s="17">
        <v>0</v>
      </c>
      <c r="T246" s="17">
        <v>0</v>
      </c>
      <c r="U246" s="17">
        <v>0</v>
      </c>
      <c r="V246" s="17">
        <v>0</v>
      </c>
      <c r="W246" s="17">
        <v>0</v>
      </c>
      <c r="X246" s="17">
        <v>0</v>
      </c>
      <c r="Y246" s="17">
        <v>0</v>
      </c>
      <c r="Z246" s="17">
        <v>0</v>
      </c>
      <c r="AA246" s="17">
        <v>0</v>
      </c>
      <c r="AB246" s="17">
        <v>0</v>
      </c>
      <c r="AC246" s="17">
        <v>0</v>
      </c>
      <c r="AD246" s="17">
        <v>0</v>
      </c>
      <c r="AE246" s="17">
        <v>0</v>
      </c>
      <c r="AF246" s="17">
        <v>0</v>
      </c>
      <c r="AG246" s="17">
        <v>0</v>
      </c>
      <c r="AH246" s="17">
        <v>0</v>
      </c>
      <c r="AI246" s="17">
        <v>0</v>
      </c>
      <c r="AJ246" s="17">
        <v>0</v>
      </c>
      <c r="AK246" s="17">
        <v>0</v>
      </c>
      <c r="AL246" s="17">
        <v>0</v>
      </c>
      <c r="AM246" s="17">
        <v>0</v>
      </c>
      <c r="AN246" s="17">
        <v>0</v>
      </c>
      <c r="AO246" s="17">
        <v>0</v>
      </c>
      <c r="AP246" s="18">
        <f t="shared" si="3"/>
        <v>1619</v>
      </c>
    </row>
    <row r="247" spans="1:42" ht="15" customHeight="1" x14ac:dyDescent="0.2">
      <c r="A247" s="16" t="s">
        <v>625</v>
      </c>
      <c r="B247" s="16" t="s">
        <v>195</v>
      </c>
      <c r="C247" s="16" t="s">
        <v>143</v>
      </c>
      <c r="D247" s="16" t="s">
        <v>641</v>
      </c>
      <c r="E247" s="17">
        <v>6075</v>
      </c>
      <c r="F247" s="17">
        <v>19620</v>
      </c>
      <c r="G247" s="17">
        <v>16184</v>
      </c>
      <c r="H247" s="17">
        <v>13155</v>
      </c>
      <c r="I247" s="17">
        <v>1635</v>
      </c>
      <c r="J247" s="17">
        <v>0</v>
      </c>
      <c r="K247" s="17">
        <v>0</v>
      </c>
      <c r="L247" s="17">
        <v>0</v>
      </c>
      <c r="M247" s="17">
        <v>0</v>
      </c>
      <c r="N247" s="17">
        <v>0</v>
      </c>
      <c r="O247" s="17">
        <v>0</v>
      </c>
      <c r="P247" s="17">
        <v>0</v>
      </c>
      <c r="Q247" s="17">
        <v>0</v>
      </c>
      <c r="R247" s="17">
        <v>0</v>
      </c>
      <c r="S247" s="17">
        <v>0</v>
      </c>
      <c r="T247" s="17">
        <v>0</v>
      </c>
      <c r="U247" s="17">
        <v>0</v>
      </c>
      <c r="V247" s="17">
        <v>0</v>
      </c>
      <c r="W247" s="17">
        <v>0</v>
      </c>
      <c r="X247" s="17">
        <v>0</v>
      </c>
      <c r="Y247" s="17">
        <v>0</v>
      </c>
      <c r="Z247" s="17">
        <v>0</v>
      </c>
      <c r="AA247" s="17">
        <v>0</v>
      </c>
      <c r="AB247" s="17">
        <v>0</v>
      </c>
      <c r="AC247" s="17">
        <v>0</v>
      </c>
      <c r="AD247" s="17">
        <v>0</v>
      </c>
      <c r="AE247" s="17">
        <v>0</v>
      </c>
      <c r="AF247" s="17">
        <v>0</v>
      </c>
      <c r="AG247" s="17">
        <v>0</v>
      </c>
      <c r="AH247" s="17">
        <v>0</v>
      </c>
      <c r="AI247" s="17">
        <v>0</v>
      </c>
      <c r="AJ247" s="17">
        <v>0</v>
      </c>
      <c r="AK247" s="17">
        <v>0</v>
      </c>
      <c r="AL247" s="17">
        <v>0</v>
      </c>
      <c r="AM247" s="17">
        <v>0</v>
      </c>
      <c r="AN247" s="17">
        <v>0</v>
      </c>
      <c r="AO247" s="17">
        <v>0</v>
      </c>
      <c r="AP247" s="18">
        <f t="shared" si="3"/>
        <v>56669</v>
      </c>
    </row>
    <row r="248" spans="1:42" ht="15" customHeight="1" x14ac:dyDescent="0.2">
      <c r="A248" s="16" t="s">
        <v>625</v>
      </c>
      <c r="B248" s="16" t="s">
        <v>195</v>
      </c>
      <c r="C248" s="16" t="s">
        <v>195</v>
      </c>
      <c r="D248" s="16" t="s">
        <v>641</v>
      </c>
      <c r="E248" s="17">
        <v>91203</v>
      </c>
      <c r="F248" s="17">
        <v>123856</v>
      </c>
      <c r="G248" s="17">
        <v>190322</v>
      </c>
      <c r="H248" s="17">
        <v>188628</v>
      </c>
      <c r="I248" s="17">
        <v>14973</v>
      </c>
      <c r="J248" s="17">
        <v>0</v>
      </c>
      <c r="K248" s="17">
        <v>0</v>
      </c>
      <c r="L248" s="17">
        <v>0</v>
      </c>
      <c r="M248" s="17">
        <v>0</v>
      </c>
      <c r="N248" s="17">
        <v>0</v>
      </c>
      <c r="O248" s="17">
        <v>0</v>
      </c>
      <c r="P248" s="17">
        <v>0</v>
      </c>
      <c r="Q248" s="17">
        <v>0</v>
      </c>
      <c r="R248" s="17">
        <v>0</v>
      </c>
      <c r="S248" s="17">
        <v>0</v>
      </c>
      <c r="T248" s="17">
        <v>0</v>
      </c>
      <c r="U248" s="17">
        <v>0</v>
      </c>
      <c r="V248" s="17">
        <v>0</v>
      </c>
      <c r="W248" s="17">
        <v>0</v>
      </c>
      <c r="X248" s="17">
        <v>0</v>
      </c>
      <c r="Y248" s="17">
        <v>0</v>
      </c>
      <c r="Z248" s="17">
        <v>0</v>
      </c>
      <c r="AA248" s="17">
        <v>0</v>
      </c>
      <c r="AB248" s="17">
        <v>0</v>
      </c>
      <c r="AC248" s="17">
        <v>0</v>
      </c>
      <c r="AD248" s="17">
        <v>0</v>
      </c>
      <c r="AE248" s="17">
        <v>0</v>
      </c>
      <c r="AF248" s="17">
        <v>0</v>
      </c>
      <c r="AG248" s="17">
        <v>0</v>
      </c>
      <c r="AH248" s="17">
        <v>0</v>
      </c>
      <c r="AI248" s="17">
        <v>0</v>
      </c>
      <c r="AJ248" s="17">
        <v>0</v>
      </c>
      <c r="AK248" s="17">
        <v>0</v>
      </c>
      <c r="AL248" s="17">
        <v>0</v>
      </c>
      <c r="AM248" s="17">
        <v>0</v>
      </c>
      <c r="AN248" s="17">
        <v>0</v>
      </c>
      <c r="AO248" s="17">
        <v>0</v>
      </c>
      <c r="AP248" s="18">
        <f t="shared" si="3"/>
        <v>608982</v>
      </c>
    </row>
    <row r="249" spans="1:42" ht="15" customHeight="1" x14ac:dyDescent="0.2">
      <c r="A249" s="16" t="s">
        <v>625</v>
      </c>
      <c r="B249" s="16" t="s">
        <v>195</v>
      </c>
      <c r="C249" s="16" t="s">
        <v>243</v>
      </c>
      <c r="D249" s="16" t="s">
        <v>641</v>
      </c>
      <c r="E249" s="17">
        <v>823</v>
      </c>
      <c r="F249" s="17">
        <v>1242</v>
      </c>
      <c r="G249" s="17">
        <v>1401</v>
      </c>
      <c r="H249" s="17">
        <v>4240</v>
      </c>
      <c r="I249" s="17">
        <v>277</v>
      </c>
      <c r="J249" s="17">
        <v>0</v>
      </c>
      <c r="K249" s="17">
        <v>0</v>
      </c>
      <c r="L249" s="17">
        <v>0</v>
      </c>
      <c r="M249" s="17">
        <v>0</v>
      </c>
      <c r="N249" s="17">
        <v>0</v>
      </c>
      <c r="O249" s="17">
        <v>0</v>
      </c>
      <c r="P249" s="17">
        <v>0</v>
      </c>
      <c r="Q249" s="17">
        <v>0</v>
      </c>
      <c r="R249" s="17">
        <v>0</v>
      </c>
      <c r="S249" s="17">
        <v>0</v>
      </c>
      <c r="T249" s="17">
        <v>0</v>
      </c>
      <c r="U249" s="17">
        <v>0</v>
      </c>
      <c r="V249" s="17">
        <v>0</v>
      </c>
      <c r="W249" s="17">
        <v>0</v>
      </c>
      <c r="X249" s="17">
        <v>0</v>
      </c>
      <c r="Y249" s="17">
        <v>0</v>
      </c>
      <c r="Z249" s="17">
        <v>0</v>
      </c>
      <c r="AA249" s="17">
        <v>0</v>
      </c>
      <c r="AB249" s="17">
        <v>0</v>
      </c>
      <c r="AC249" s="17">
        <v>0</v>
      </c>
      <c r="AD249" s="17">
        <v>0</v>
      </c>
      <c r="AE249" s="17">
        <v>0</v>
      </c>
      <c r="AF249" s="17">
        <v>0</v>
      </c>
      <c r="AG249" s="17">
        <v>0</v>
      </c>
      <c r="AH249" s="17">
        <v>0</v>
      </c>
      <c r="AI249" s="17">
        <v>0</v>
      </c>
      <c r="AJ249" s="17">
        <v>0</v>
      </c>
      <c r="AK249" s="17">
        <v>0</v>
      </c>
      <c r="AL249" s="17">
        <v>0</v>
      </c>
      <c r="AM249" s="17">
        <v>0</v>
      </c>
      <c r="AN249" s="17">
        <v>0</v>
      </c>
      <c r="AO249" s="17">
        <v>0</v>
      </c>
      <c r="AP249" s="18">
        <f t="shared" si="3"/>
        <v>7983</v>
      </c>
    </row>
    <row r="250" spans="1:42" ht="15" customHeight="1" x14ac:dyDescent="0.2">
      <c r="A250" s="16" t="s">
        <v>625</v>
      </c>
      <c r="B250" s="16" t="s">
        <v>195</v>
      </c>
      <c r="C250" s="16" t="s">
        <v>302</v>
      </c>
      <c r="D250" s="16" t="s">
        <v>641</v>
      </c>
      <c r="E250" s="17">
        <v>1157</v>
      </c>
      <c r="F250" s="17">
        <v>2004</v>
      </c>
      <c r="G250" s="17">
        <v>2479</v>
      </c>
      <c r="H250" s="17">
        <v>2670</v>
      </c>
      <c r="I250" s="17">
        <v>227</v>
      </c>
      <c r="J250" s="17">
        <v>0</v>
      </c>
      <c r="K250" s="17">
        <v>0</v>
      </c>
      <c r="L250" s="17">
        <v>0</v>
      </c>
      <c r="M250" s="17">
        <v>0</v>
      </c>
      <c r="N250" s="17">
        <v>0</v>
      </c>
      <c r="O250" s="17">
        <v>0</v>
      </c>
      <c r="P250" s="17">
        <v>0</v>
      </c>
      <c r="Q250" s="17">
        <v>0</v>
      </c>
      <c r="R250" s="17">
        <v>0</v>
      </c>
      <c r="S250" s="17">
        <v>0</v>
      </c>
      <c r="T250" s="17">
        <v>0</v>
      </c>
      <c r="U250" s="17">
        <v>0</v>
      </c>
      <c r="V250" s="17">
        <v>0</v>
      </c>
      <c r="W250" s="17">
        <v>0</v>
      </c>
      <c r="X250" s="17">
        <v>0</v>
      </c>
      <c r="Y250" s="17">
        <v>0</v>
      </c>
      <c r="Z250" s="17">
        <v>0</v>
      </c>
      <c r="AA250" s="17">
        <v>0</v>
      </c>
      <c r="AB250" s="17">
        <v>0</v>
      </c>
      <c r="AC250" s="17">
        <v>0</v>
      </c>
      <c r="AD250" s="17">
        <v>0</v>
      </c>
      <c r="AE250" s="17">
        <v>0</v>
      </c>
      <c r="AF250" s="17">
        <v>0</v>
      </c>
      <c r="AG250" s="17">
        <v>0</v>
      </c>
      <c r="AH250" s="17">
        <v>0</v>
      </c>
      <c r="AI250" s="17">
        <v>0</v>
      </c>
      <c r="AJ250" s="17">
        <v>0</v>
      </c>
      <c r="AK250" s="17">
        <v>0</v>
      </c>
      <c r="AL250" s="17">
        <v>0</v>
      </c>
      <c r="AM250" s="17">
        <v>0</v>
      </c>
      <c r="AN250" s="17">
        <v>0</v>
      </c>
      <c r="AO250" s="17">
        <v>0</v>
      </c>
      <c r="AP250" s="18">
        <f t="shared" si="3"/>
        <v>8537</v>
      </c>
    </row>
    <row r="251" spans="1:42" ht="15" customHeight="1" x14ac:dyDescent="0.2">
      <c r="A251" s="16" t="s">
        <v>625</v>
      </c>
      <c r="B251" s="16" t="s">
        <v>195</v>
      </c>
      <c r="C251" s="16" t="s">
        <v>646</v>
      </c>
      <c r="D251" s="16" t="s">
        <v>641</v>
      </c>
      <c r="E251" s="17">
        <v>7693</v>
      </c>
      <c r="F251" s="17">
        <v>19547</v>
      </c>
      <c r="G251" s="17">
        <v>15249</v>
      </c>
      <c r="H251" s="17">
        <v>11896</v>
      </c>
      <c r="I251" s="17">
        <v>790</v>
      </c>
      <c r="J251" s="17">
        <v>0</v>
      </c>
      <c r="K251" s="17">
        <v>0</v>
      </c>
      <c r="L251" s="17">
        <v>0</v>
      </c>
      <c r="M251" s="17">
        <v>0</v>
      </c>
      <c r="N251" s="17">
        <v>0</v>
      </c>
      <c r="O251" s="17">
        <v>0</v>
      </c>
      <c r="P251" s="17">
        <v>0</v>
      </c>
      <c r="Q251" s="17">
        <v>0</v>
      </c>
      <c r="R251" s="17">
        <v>0</v>
      </c>
      <c r="S251" s="17">
        <v>0</v>
      </c>
      <c r="T251" s="17">
        <v>0</v>
      </c>
      <c r="U251" s="17">
        <v>0</v>
      </c>
      <c r="V251" s="17">
        <v>0</v>
      </c>
      <c r="W251" s="17">
        <v>0</v>
      </c>
      <c r="X251" s="17">
        <v>0</v>
      </c>
      <c r="Y251" s="17">
        <v>0</v>
      </c>
      <c r="Z251" s="17">
        <v>0</v>
      </c>
      <c r="AA251" s="17">
        <v>0</v>
      </c>
      <c r="AB251" s="17">
        <v>0</v>
      </c>
      <c r="AC251" s="17">
        <v>0</v>
      </c>
      <c r="AD251" s="17">
        <v>0</v>
      </c>
      <c r="AE251" s="17">
        <v>0</v>
      </c>
      <c r="AF251" s="17">
        <v>0</v>
      </c>
      <c r="AG251" s="17">
        <v>0</v>
      </c>
      <c r="AH251" s="17">
        <v>0</v>
      </c>
      <c r="AI251" s="17">
        <v>0</v>
      </c>
      <c r="AJ251" s="17">
        <v>0</v>
      </c>
      <c r="AK251" s="17">
        <v>0</v>
      </c>
      <c r="AL251" s="17">
        <v>0</v>
      </c>
      <c r="AM251" s="17">
        <v>0</v>
      </c>
      <c r="AN251" s="17">
        <v>0</v>
      </c>
      <c r="AO251" s="17">
        <v>0</v>
      </c>
      <c r="AP251" s="18">
        <f t="shared" si="3"/>
        <v>55175</v>
      </c>
    </row>
    <row r="252" spans="1:42" ht="15" customHeight="1" x14ac:dyDescent="0.2">
      <c r="A252" s="16" t="s">
        <v>625</v>
      </c>
      <c r="B252" s="16" t="s">
        <v>626</v>
      </c>
      <c r="C252" s="16" t="s">
        <v>158</v>
      </c>
      <c r="D252" s="16" t="s">
        <v>641</v>
      </c>
      <c r="E252" s="17">
        <v>0</v>
      </c>
      <c r="F252" s="17">
        <v>0</v>
      </c>
      <c r="G252" s="17">
        <v>81407</v>
      </c>
      <c r="H252" s="17">
        <v>72742</v>
      </c>
      <c r="I252" s="17">
        <v>46182</v>
      </c>
      <c r="J252" s="17">
        <v>72134</v>
      </c>
      <c r="K252" s="17">
        <v>47696</v>
      </c>
      <c r="L252" s="17">
        <v>0</v>
      </c>
      <c r="M252" s="17">
        <v>0</v>
      </c>
      <c r="N252" s="17">
        <v>0</v>
      </c>
      <c r="O252" s="17">
        <v>0</v>
      </c>
      <c r="P252" s="17">
        <v>0</v>
      </c>
      <c r="Q252" s="17">
        <v>0</v>
      </c>
      <c r="R252" s="17">
        <v>0</v>
      </c>
      <c r="S252" s="17">
        <v>0</v>
      </c>
      <c r="T252" s="17">
        <v>0</v>
      </c>
      <c r="U252" s="17">
        <v>0</v>
      </c>
      <c r="V252" s="17">
        <v>0</v>
      </c>
      <c r="W252" s="17">
        <v>0</v>
      </c>
      <c r="X252" s="17">
        <v>0</v>
      </c>
      <c r="Y252" s="17">
        <v>0</v>
      </c>
      <c r="Z252" s="17">
        <v>0</v>
      </c>
      <c r="AA252" s="17">
        <v>0</v>
      </c>
      <c r="AB252" s="17">
        <v>0</v>
      </c>
      <c r="AC252" s="17">
        <v>0</v>
      </c>
      <c r="AD252" s="17">
        <v>0</v>
      </c>
      <c r="AE252" s="17">
        <v>0</v>
      </c>
      <c r="AF252" s="17">
        <v>0</v>
      </c>
      <c r="AG252" s="17">
        <v>0</v>
      </c>
      <c r="AH252" s="17">
        <v>0</v>
      </c>
      <c r="AI252" s="17">
        <v>0</v>
      </c>
      <c r="AJ252" s="17">
        <v>0</v>
      </c>
      <c r="AK252" s="17">
        <v>0</v>
      </c>
      <c r="AL252" s="17">
        <v>0</v>
      </c>
      <c r="AM252" s="17">
        <v>0</v>
      </c>
      <c r="AN252" s="17">
        <v>0</v>
      </c>
      <c r="AO252" s="17">
        <v>0</v>
      </c>
      <c r="AP252" s="18">
        <f t="shared" si="3"/>
        <v>320161</v>
      </c>
    </row>
    <row r="253" spans="1:42" ht="15" customHeight="1" x14ac:dyDescent="0.2">
      <c r="A253" s="16" t="s">
        <v>625</v>
      </c>
      <c r="B253" s="16" t="s">
        <v>626</v>
      </c>
      <c r="C253" s="16" t="s">
        <v>238</v>
      </c>
      <c r="D253" s="16" t="s">
        <v>641</v>
      </c>
      <c r="E253" s="17">
        <v>0</v>
      </c>
      <c r="F253" s="17">
        <v>97385</v>
      </c>
      <c r="G253" s="17">
        <v>122988</v>
      </c>
      <c r="H253" s="17">
        <v>51802</v>
      </c>
      <c r="I253" s="17">
        <v>27708</v>
      </c>
      <c r="J253" s="17">
        <v>14888</v>
      </c>
      <c r="K253" s="17">
        <v>0</v>
      </c>
      <c r="L253" s="17">
        <v>0</v>
      </c>
      <c r="M253" s="17">
        <v>0</v>
      </c>
      <c r="N253" s="17">
        <v>0</v>
      </c>
      <c r="O253" s="17">
        <v>0</v>
      </c>
      <c r="P253" s="17">
        <v>0</v>
      </c>
      <c r="Q253" s="17">
        <v>0</v>
      </c>
      <c r="R253" s="17">
        <v>0</v>
      </c>
      <c r="S253" s="17">
        <v>0</v>
      </c>
      <c r="T253" s="17">
        <v>0</v>
      </c>
      <c r="U253" s="17">
        <v>0</v>
      </c>
      <c r="V253" s="17">
        <v>0</v>
      </c>
      <c r="W253" s="17">
        <v>0</v>
      </c>
      <c r="X253" s="17">
        <v>0</v>
      </c>
      <c r="Y253" s="17">
        <v>0</v>
      </c>
      <c r="Z253" s="17">
        <v>0</v>
      </c>
      <c r="AA253" s="17">
        <v>0</v>
      </c>
      <c r="AB253" s="17">
        <v>0</v>
      </c>
      <c r="AC253" s="17">
        <v>0</v>
      </c>
      <c r="AD253" s="17">
        <v>0</v>
      </c>
      <c r="AE253" s="17">
        <v>0</v>
      </c>
      <c r="AF253" s="17">
        <v>0</v>
      </c>
      <c r="AG253" s="17">
        <v>0</v>
      </c>
      <c r="AH253" s="17">
        <v>0</v>
      </c>
      <c r="AI253" s="17">
        <v>0</v>
      </c>
      <c r="AJ253" s="17">
        <v>0</v>
      </c>
      <c r="AK253" s="17">
        <v>0</v>
      </c>
      <c r="AL253" s="17">
        <v>0</v>
      </c>
      <c r="AM253" s="17">
        <v>0</v>
      </c>
      <c r="AN253" s="17">
        <v>0</v>
      </c>
      <c r="AO253" s="17">
        <v>0</v>
      </c>
      <c r="AP253" s="18">
        <f t="shared" si="3"/>
        <v>314771</v>
      </c>
    </row>
    <row r="254" spans="1:42" ht="15" customHeight="1" x14ac:dyDescent="0.2">
      <c r="A254" s="16" t="s">
        <v>625</v>
      </c>
      <c r="B254" s="16" t="s">
        <v>626</v>
      </c>
      <c r="C254" s="16" t="s">
        <v>374</v>
      </c>
      <c r="D254" s="16" t="s">
        <v>641</v>
      </c>
      <c r="E254" s="17">
        <v>464566</v>
      </c>
      <c r="F254" s="17">
        <v>1060511</v>
      </c>
      <c r="G254" s="17">
        <v>458104</v>
      </c>
      <c r="H254" s="17">
        <v>299606</v>
      </c>
      <c r="I254" s="17">
        <v>217456</v>
      </c>
      <c r="J254" s="17">
        <v>170654</v>
      </c>
      <c r="K254" s="17">
        <v>226706</v>
      </c>
      <c r="L254" s="17">
        <v>0</v>
      </c>
      <c r="M254" s="17">
        <v>0</v>
      </c>
      <c r="N254" s="17">
        <v>0</v>
      </c>
      <c r="O254" s="17">
        <v>0</v>
      </c>
      <c r="P254" s="17">
        <v>0</v>
      </c>
      <c r="Q254" s="17">
        <v>0</v>
      </c>
      <c r="R254" s="17">
        <v>0</v>
      </c>
      <c r="S254" s="17">
        <v>0</v>
      </c>
      <c r="T254" s="17">
        <v>0</v>
      </c>
      <c r="U254" s="17">
        <v>0</v>
      </c>
      <c r="V254" s="17">
        <v>0</v>
      </c>
      <c r="W254" s="17">
        <v>0</v>
      </c>
      <c r="X254" s="17">
        <v>0</v>
      </c>
      <c r="Y254" s="17">
        <v>0</v>
      </c>
      <c r="Z254" s="17">
        <v>0</v>
      </c>
      <c r="AA254" s="17">
        <v>0</v>
      </c>
      <c r="AB254" s="17">
        <v>0</v>
      </c>
      <c r="AC254" s="17">
        <v>0</v>
      </c>
      <c r="AD254" s="17">
        <v>0</v>
      </c>
      <c r="AE254" s="17">
        <v>0</v>
      </c>
      <c r="AF254" s="17">
        <v>0</v>
      </c>
      <c r="AG254" s="17">
        <v>0</v>
      </c>
      <c r="AH254" s="17">
        <v>0</v>
      </c>
      <c r="AI254" s="17">
        <v>0</v>
      </c>
      <c r="AJ254" s="17">
        <v>0</v>
      </c>
      <c r="AK254" s="17">
        <v>0</v>
      </c>
      <c r="AL254" s="17">
        <v>0</v>
      </c>
      <c r="AM254" s="17">
        <v>0</v>
      </c>
      <c r="AN254" s="17">
        <v>0</v>
      </c>
      <c r="AO254" s="17">
        <v>0</v>
      </c>
      <c r="AP254" s="18">
        <f t="shared" si="3"/>
        <v>2897603</v>
      </c>
    </row>
    <row r="255" spans="1:42" ht="15" customHeight="1" x14ac:dyDescent="0.2">
      <c r="A255" s="16" t="s">
        <v>625</v>
      </c>
      <c r="B255" s="16" t="s">
        <v>626</v>
      </c>
      <c r="C255" s="16" t="s">
        <v>398</v>
      </c>
      <c r="D255" s="16" t="s">
        <v>641</v>
      </c>
      <c r="E255" s="17">
        <v>32007</v>
      </c>
      <c r="F255" s="17">
        <v>28461</v>
      </c>
      <c r="G255" s="17">
        <v>15218</v>
      </c>
      <c r="H255" s="17">
        <v>3797</v>
      </c>
      <c r="I255" s="17">
        <v>95039</v>
      </c>
      <c r="J255" s="17">
        <v>62031</v>
      </c>
      <c r="K255" s="17">
        <v>41786</v>
      </c>
      <c r="L255" s="17">
        <v>0</v>
      </c>
      <c r="M255" s="17">
        <v>0</v>
      </c>
      <c r="N255" s="17">
        <v>0</v>
      </c>
      <c r="O255" s="17">
        <v>0</v>
      </c>
      <c r="P255" s="17">
        <v>0</v>
      </c>
      <c r="Q255" s="17">
        <v>0</v>
      </c>
      <c r="R255" s="17">
        <v>0</v>
      </c>
      <c r="S255" s="17">
        <v>0</v>
      </c>
      <c r="T255" s="17">
        <v>0</v>
      </c>
      <c r="U255" s="17">
        <v>0</v>
      </c>
      <c r="V255" s="17">
        <v>0</v>
      </c>
      <c r="W255" s="17">
        <v>0</v>
      </c>
      <c r="X255" s="17">
        <v>0</v>
      </c>
      <c r="Y255" s="17">
        <v>0</v>
      </c>
      <c r="Z255" s="17">
        <v>0</v>
      </c>
      <c r="AA255" s="17">
        <v>0</v>
      </c>
      <c r="AB255" s="17">
        <v>0</v>
      </c>
      <c r="AC255" s="17">
        <v>0</v>
      </c>
      <c r="AD255" s="17">
        <v>0</v>
      </c>
      <c r="AE255" s="17">
        <v>0</v>
      </c>
      <c r="AF255" s="17">
        <v>0</v>
      </c>
      <c r="AG255" s="17">
        <v>0</v>
      </c>
      <c r="AH255" s="17">
        <v>0</v>
      </c>
      <c r="AI255" s="17">
        <v>0</v>
      </c>
      <c r="AJ255" s="17">
        <v>0</v>
      </c>
      <c r="AK255" s="17">
        <v>0</v>
      </c>
      <c r="AL255" s="17">
        <v>0</v>
      </c>
      <c r="AM255" s="17">
        <v>0</v>
      </c>
      <c r="AN255" s="17">
        <v>0</v>
      </c>
      <c r="AO255" s="17">
        <v>0</v>
      </c>
      <c r="AP255" s="18">
        <f t="shared" si="3"/>
        <v>278339</v>
      </c>
    </row>
    <row r="256" spans="1:42" ht="15" customHeight="1" x14ac:dyDescent="0.2">
      <c r="A256" s="16" t="s">
        <v>625</v>
      </c>
      <c r="B256" s="16" t="s">
        <v>627</v>
      </c>
      <c r="C256" s="16" t="s">
        <v>164</v>
      </c>
      <c r="D256" s="16" t="s">
        <v>641</v>
      </c>
      <c r="E256" s="17">
        <v>532219</v>
      </c>
      <c r="F256" s="17">
        <v>868912</v>
      </c>
      <c r="G256" s="17">
        <v>1261337</v>
      </c>
      <c r="H256" s="17">
        <v>1247018</v>
      </c>
      <c r="I256" s="17">
        <v>1123751</v>
      </c>
      <c r="J256" s="17">
        <v>983546</v>
      </c>
      <c r="K256" s="17">
        <v>839203</v>
      </c>
      <c r="L256" s="17">
        <v>700349</v>
      </c>
      <c r="M256" s="17">
        <v>618817</v>
      </c>
      <c r="N256" s="17">
        <v>493762</v>
      </c>
      <c r="O256" s="17">
        <v>397140</v>
      </c>
      <c r="P256" s="17">
        <v>747991</v>
      </c>
      <c r="Q256" s="17">
        <v>621959</v>
      </c>
      <c r="R256" s="17">
        <v>521818</v>
      </c>
      <c r="S256" s="17">
        <v>423545</v>
      </c>
      <c r="T256" s="17">
        <v>0</v>
      </c>
      <c r="U256" s="17">
        <v>0</v>
      </c>
      <c r="V256" s="17">
        <v>0</v>
      </c>
      <c r="W256" s="17">
        <v>0</v>
      </c>
      <c r="X256" s="17">
        <v>0</v>
      </c>
      <c r="Y256" s="17">
        <v>0</v>
      </c>
      <c r="Z256" s="17">
        <v>0</v>
      </c>
      <c r="AA256" s="17">
        <v>0</v>
      </c>
      <c r="AB256" s="17">
        <v>0</v>
      </c>
      <c r="AC256" s="17">
        <v>0</v>
      </c>
      <c r="AD256" s="17">
        <v>0</v>
      </c>
      <c r="AE256" s="17">
        <v>0</v>
      </c>
      <c r="AF256" s="17">
        <v>0</v>
      </c>
      <c r="AG256" s="17">
        <v>0</v>
      </c>
      <c r="AH256" s="17">
        <v>0</v>
      </c>
      <c r="AI256" s="17">
        <v>0</v>
      </c>
      <c r="AJ256" s="17">
        <v>0</v>
      </c>
      <c r="AK256" s="17">
        <v>0</v>
      </c>
      <c r="AL256" s="17">
        <v>0</v>
      </c>
      <c r="AM256" s="17">
        <v>0</v>
      </c>
      <c r="AN256" s="17">
        <v>0</v>
      </c>
      <c r="AO256" s="17">
        <v>0</v>
      </c>
      <c r="AP256" s="18">
        <f t="shared" si="3"/>
        <v>11381367</v>
      </c>
    </row>
    <row r="257" spans="1:42" ht="15" customHeight="1" x14ac:dyDescent="0.2">
      <c r="A257" s="16" t="s">
        <v>625</v>
      </c>
      <c r="B257" s="16" t="s">
        <v>627</v>
      </c>
      <c r="C257" s="16" t="s">
        <v>167</v>
      </c>
      <c r="D257" s="16" t="s">
        <v>641</v>
      </c>
      <c r="E257" s="17">
        <v>145784</v>
      </c>
      <c r="F257" s="17">
        <v>274767</v>
      </c>
      <c r="G257" s="17">
        <v>322775</v>
      </c>
      <c r="H257" s="17">
        <v>327564</v>
      </c>
      <c r="I257" s="17">
        <v>264305</v>
      </c>
      <c r="J257" s="17">
        <v>237670</v>
      </c>
      <c r="K257" s="17">
        <v>228872</v>
      </c>
      <c r="L257" s="17">
        <v>197493</v>
      </c>
      <c r="M257" s="17">
        <v>148572</v>
      </c>
      <c r="N257" s="17">
        <v>104996</v>
      </c>
      <c r="O257" s="17">
        <v>113811</v>
      </c>
      <c r="P257" s="17">
        <v>196669</v>
      </c>
      <c r="Q257" s="17">
        <v>146916</v>
      </c>
      <c r="R257" s="17">
        <v>134674</v>
      </c>
      <c r="S257" s="17">
        <v>111868</v>
      </c>
      <c r="T257" s="17">
        <v>97726</v>
      </c>
      <c r="U257" s="17">
        <v>0</v>
      </c>
      <c r="V257" s="17">
        <v>0</v>
      </c>
      <c r="W257" s="17">
        <v>0</v>
      </c>
      <c r="X257" s="17">
        <v>0</v>
      </c>
      <c r="Y257" s="17">
        <v>0</v>
      </c>
      <c r="Z257" s="17">
        <v>0</v>
      </c>
      <c r="AA257" s="17">
        <v>0</v>
      </c>
      <c r="AB257" s="17">
        <v>0</v>
      </c>
      <c r="AC257" s="17">
        <v>0</v>
      </c>
      <c r="AD257" s="17">
        <v>0</v>
      </c>
      <c r="AE257" s="17">
        <v>0</v>
      </c>
      <c r="AF257" s="17">
        <v>0</v>
      </c>
      <c r="AG257" s="17">
        <v>0</v>
      </c>
      <c r="AH257" s="17">
        <v>0</v>
      </c>
      <c r="AI257" s="17">
        <v>0</v>
      </c>
      <c r="AJ257" s="17">
        <v>0</v>
      </c>
      <c r="AK257" s="17">
        <v>0</v>
      </c>
      <c r="AL257" s="17">
        <v>0</v>
      </c>
      <c r="AM257" s="17">
        <v>0</v>
      </c>
      <c r="AN257" s="17">
        <v>0</v>
      </c>
      <c r="AO257" s="17">
        <v>0</v>
      </c>
      <c r="AP257" s="18">
        <f t="shared" si="3"/>
        <v>3054462</v>
      </c>
    </row>
    <row r="258" spans="1:42" ht="15" customHeight="1" x14ac:dyDescent="0.2">
      <c r="A258" s="16" t="s">
        <v>625</v>
      </c>
      <c r="B258" s="16" t="s">
        <v>627</v>
      </c>
      <c r="C258" s="16" t="s">
        <v>369</v>
      </c>
      <c r="D258" s="16" t="s">
        <v>641</v>
      </c>
      <c r="E258" s="17"/>
      <c r="F258" s="17"/>
      <c r="G258" s="17">
        <v>3611</v>
      </c>
      <c r="H258" s="17">
        <v>6454</v>
      </c>
      <c r="I258" s="17">
        <v>23366</v>
      </c>
      <c r="J258" s="17">
        <v>19037</v>
      </c>
      <c r="K258" s="17">
        <v>16881</v>
      </c>
      <c r="L258" s="17">
        <v>15193</v>
      </c>
      <c r="M258" s="17">
        <v>4049</v>
      </c>
      <c r="N258" s="17">
        <v>44788</v>
      </c>
      <c r="O258" s="17">
        <v>0</v>
      </c>
      <c r="P258" s="17">
        <v>0</v>
      </c>
      <c r="Q258" s="17">
        <v>0</v>
      </c>
      <c r="R258" s="17">
        <v>0</v>
      </c>
      <c r="S258" s="17">
        <v>0</v>
      </c>
      <c r="T258" s="17">
        <v>0</v>
      </c>
      <c r="U258" s="17">
        <v>0</v>
      </c>
      <c r="V258" s="17">
        <v>0</v>
      </c>
      <c r="W258" s="17">
        <v>0</v>
      </c>
      <c r="X258" s="17">
        <v>0</v>
      </c>
      <c r="Y258" s="17">
        <v>0</v>
      </c>
      <c r="Z258" s="17">
        <v>0</v>
      </c>
      <c r="AA258" s="17">
        <v>0</v>
      </c>
      <c r="AB258" s="17">
        <v>0</v>
      </c>
      <c r="AC258" s="17">
        <v>0</v>
      </c>
      <c r="AD258" s="17">
        <v>0</v>
      </c>
      <c r="AE258" s="17">
        <v>0</v>
      </c>
      <c r="AF258" s="17">
        <v>0</v>
      </c>
      <c r="AG258" s="17">
        <v>0</v>
      </c>
      <c r="AH258" s="17">
        <v>0</v>
      </c>
      <c r="AI258" s="17">
        <v>0</v>
      </c>
      <c r="AJ258" s="17">
        <v>0</v>
      </c>
      <c r="AK258" s="17">
        <v>0</v>
      </c>
      <c r="AL258" s="17">
        <v>0</v>
      </c>
      <c r="AM258" s="17">
        <v>0</v>
      </c>
      <c r="AN258" s="17">
        <v>0</v>
      </c>
      <c r="AO258" s="17">
        <v>0</v>
      </c>
      <c r="AP258" s="18">
        <f t="shared" ref="AP258:AP321" si="4">SUM(E258:AO258)</f>
        <v>133379</v>
      </c>
    </row>
    <row r="259" spans="1:42" ht="15" customHeight="1" x14ac:dyDescent="0.2">
      <c r="A259" s="16" t="s">
        <v>625</v>
      </c>
      <c r="B259" s="16" t="s">
        <v>627</v>
      </c>
      <c r="C259" s="16" t="s">
        <v>370</v>
      </c>
      <c r="D259" s="16" t="s">
        <v>641</v>
      </c>
      <c r="E259" s="17">
        <v>139</v>
      </c>
      <c r="F259" s="17">
        <v>307</v>
      </c>
      <c r="G259" s="17">
        <v>501</v>
      </c>
      <c r="H259" s="17">
        <v>700</v>
      </c>
      <c r="I259" s="17">
        <v>896</v>
      </c>
      <c r="J259" s="17">
        <v>1070</v>
      </c>
      <c r="K259" s="17">
        <v>6924</v>
      </c>
      <c r="L259" s="17">
        <v>6346</v>
      </c>
      <c r="M259" s="17">
        <v>5853</v>
      </c>
      <c r="N259" s="17">
        <v>0</v>
      </c>
      <c r="O259" s="17">
        <v>0</v>
      </c>
      <c r="P259" s="17">
        <v>0</v>
      </c>
      <c r="Q259" s="17">
        <v>0</v>
      </c>
      <c r="R259" s="17">
        <v>0</v>
      </c>
      <c r="S259" s="17">
        <v>0</v>
      </c>
      <c r="T259" s="17">
        <v>0</v>
      </c>
      <c r="U259" s="17">
        <v>0</v>
      </c>
      <c r="V259" s="17">
        <v>0</v>
      </c>
      <c r="W259" s="17">
        <v>0</v>
      </c>
      <c r="X259" s="17">
        <v>0</v>
      </c>
      <c r="Y259" s="17">
        <v>0</v>
      </c>
      <c r="Z259" s="17">
        <v>0</v>
      </c>
      <c r="AA259" s="17">
        <v>0</v>
      </c>
      <c r="AB259" s="17">
        <v>0</v>
      </c>
      <c r="AC259" s="17">
        <v>0</v>
      </c>
      <c r="AD259" s="17">
        <v>0</v>
      </c>
      <c r="AE259" s="17">
        <v>0</v>
      </c>
      <c r="AF259" s="17">
        <v>0</v>
      </c>
      <c r="AG259" s="17">
        <v>0</v>
      </c>
      <c r="AH259" s="17">
        <v>0</v>
      </c>
      <c r="AI259" s="17">
        <v>0</v>
      </c>
      <c r="AJ259" s="17">
        <v>0</v>
      </c>
      <c r="AK259" s="17">
        <v>0</v>
      </c>
      <c r="AL259" s="17">
        <v>0</v>
      </c>
      <c r="AM259" s="17">
        <v>0</v>
      </c>
      <c r="AN259" s="17">
        <v>0</v>
      </c>
      <c r="AO259" s="17">
        <v>0</v>
      </c>
      <c r="AP259" s="18">
        <f t="shared" si="4"/>
        <v>22736</v>
      </c>
    </row>
    <row r="260" spans="1:42" ht="15" customHeight="1" x14ac:dyDescent="0.2">
      <c r="A260" s="16" t="s">
        <v>625</v>
      </c>
      <c r="B260" s="16" t="s">
        <v>628</v>
      </c>
      <c r="C260" s="16" t="s">
        <v>165</v>
      </c>
      <c r="D260" s="16" t="s">
        <v>641</v>
      </c>
      <c r="E260" s="17">
        <v>134285</v>
      </c>
      <c r="F260" s="17">
        <v>168196</v>
      </c>
      <c r="G260" s="17">
        <v>104817</v>
      </c>
      <c r="H260" s="17">
        <v>71514</v>
      </c>
      <c r="I260" s="17">
        <v>59751</v>
      </c>
      <c r="J260" s="17">
        <v>37834</v>
      </c>
      <c r="K260" s="17">
        <v>21764</v>
      </c>
      <c r="L260" s="17">
        <v>7611</v>
      </c>
      <c r="M260" s="17">
        <v>34022</v>
      </c>
      <c r="N260" s="17">
        <v>25908</v>
      </c>
      <c r="O260" s="17">
        <v>13974</v>
      </c>
      <c r="P260" s="17">
        <v>3765</v>
      </c>
      <c r="Q260" s="17">
        <v>0</v>
      </c>
      <c r="R260" s="17">
        <v>0</v>
      </c>
      <c r="S260" s="17">
        <v>0</v>
      </c>
      <c r="T260" s="17">
        <v>0</v>
      </c>
      <c r="U260" s="17">
        <v>0</v>
      </c>
      <c r="V260" s="17">
        <v>0</v>
      </c>
      <c r="W260" s="17">
        <v>0</v>
      </c>
      <c r="X260" s="17">
        <v>0</v>
      </c>
      <c r="Y260" s="17">
        <v>0</v>
      </c>
      <c r="Z260" s="17">
        <v>0</v>
      </c>
      <c r="AA260" s="17">
        <v>0</v>
      </c>
      <c r="AB260" s="17">
        <v>0</v>
      </c>
      <c r="AC260" s="17">
        <v>0</v>
      </c>
      <c r="AD260" s="17">
        <v>0</v>
      </c>
      <c r="AE260" s="17">
        <v>0</v>
      </c>
      <c r="AF260" s="17">
        <v>0</v>
      </c>
      <c r="AG260" s="17">
        <v>0</v>
      </c>
      <c r="AH260" s="17">
        <v>0</v>
      </c>
      <c r="AI260" s="17">
        <v>0</v>
      </c>
      <c r="AJ260" s="17">
        <v>0</v>
      </c>
      <c r="AK260" s="17">
        <v>0</v>
      </c>
      <c r="AL260" s="17">
        <v>0</v>
      </c>
      <c r="AM260" s="17">
        <v>0</v>
      </c>
      <c r="AN260" s="17">
        <v>0</v>
      </c>
      <c r="AO260" s="17">
        <v>0</v>
      </c>
      <c r="AP260" s="18">
        <f t="shared" si="4"/>
        <v>683441</v>
      </c>
    </row>
    <row r="261" spans="1:42" ht="15" customHeight="1" x14ac:dyDescent="0.2">
      <c r="A261" s="16" t="s">
        <v>625</v>
      </c>
      <c r="B261" s="16" t="s">
        <v>628</v>
      </c>
      <c r="C261" s="16" t="s">
        <v>175</v>
      </c>
      <c r="D261" s="16" t="s">
        <v>641</v>
      </c>
      <c r="E261" s="17">
        <v>210220</v>
      </c>
      <c r="F261" s="17">
        <v>249290</v>
      </c>
      <c r="G261" s="17">
        <v>280856</v>
      </c>
      <c r="H261" s="17">
        <v>210339</v>
      </c>
      <c r="I261" s="17">
        <v>173559</v>
      </c>
      <c r="J261" s="17">
        <v>176319</v>
      </c>
      <c r="K261" s="17">
        <v>154857</v>
      </c>
      <c r="L261" s="17">
        <v>163332</v>
      </c>
      <c r="M261" s="17">
        <v>139855</v>
      </c>
      <c r="N261" s="17">
        <v>120996</v>
      </c>
      <c r="O261" s="17">
        <v>93444</v>
      </c>
      <c r="P261" s="17">
        <v>67426</v>
      </c>
      <c r="Q261" s="17">
        <v>47937</v>
      </c>
      <c r="R261" s="17">
        <v>78377</v>
      </c>
      <c r="S261" s="17">
        <v>0</v>
      </c>
      <c r="T261" s="17">
        <v>0</v>
      </c>
      <c r="U261" s="17">
        <v>0</v>
      </c>
      <c r="V261" s="17">
        <v>0</v>
      </c>
      <c r="W261" s="17">
        <v>0</v>
      </c>
      <c r="X261" s="17">
        <v>0</v>
      </c>
      <c r="Y261" s="17">
        <v>0</v>
      </c>
      <c r="Z261" s="17">
        <v>0</v>
      </c>
      <c r="AA261" s="17">
        <v>0</v>
      </c>
      <c r="AB261" s="17">
        <v>0</v>
      </c>
      <c r="AC261" s="17">
        <v>0</v>
      </c>
      <c r="AD261" s="17">
        <v>0</v>
      </c>
      <c r="AE261" s="17">
        <v>0</v>
      </c>
      <c r="AF261" s="17">
        <v>0</v>
      </c>
      <c r="AG261" s="17">
        <v>0</v>
      </c>
      <c r="AH261" s="17">
        <v>0</v>
      </c>
      <c r="AI261" s="17">
        <v>0</v>
      </c>
      <c r="AJ261" s="17">
        <v>0</v>
      </c>
      <c r="AK261" s="17">
        <v>0</v>
      </c>
      <c r="AL261" s="17">
        <v>0</v>
      </c>
      <c r="AM261" s="17">
        <v>0</v>
      </c>
      <c r="AN261" s="17">
        <v>0</v>
      </c>
      <c r="AO261" s="17">
        <v>0</v>
      </c>
      <c r="AP261" s="18">
        <f t="shared" si="4"/>
        <v>2166807</v>
      </c>
    </row>
    <row r="262" spans="1:42" ht="15" customHeight="1" x14ac:dyDescent="0.2">
      <c r="A262" s="16" t="s">
        <v>629</v>
      </c>
      <c r="B262" s="16" t="s">
        <v>630</v>
      </c>
      <c r="C262" s="16" t="s">
        <v>328</v>
      </c>
      <c r="D262" s="16" t="s">
        <v>641</v>
      </c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>
        <v>44723.495300000002</v>
      </c>
      <c r="P262" s="17">
        <v>30307.6047</v>
      </c>
      <c r="Q262" s="17">
        <v>20659.439299999998</v>
      </c>
      <c r="R262" s="17">
        <v>15620.145</v>
      </c>
      <c r="S262" s="17">
        <v>12586.715200000001</v>
      </c>
      <c r="T262" s="17">
        <v>2402.6107999999999</v>
      </c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8">
        <f t="shared" si="4"/>
        <v>126300.01030000001</v>
      </c>
    </row>
    <row r="263" spans="1:42" ht="15" customHeight="1" x14ac:dyDescent="0.2">
      <c r="A263" s="16" t="s">
        <v>631</v>
      </c>
      <c r="B263" s="16" t="s">
        <v>632</v>
      </c>
      <c r="C263" s="16" t="s">
        <v>348</v>
      </c>
      <c r="D263" s="16" t="s">
        <v>641</v>
      </c>
      <c r="E263" s="17">
        <v>77717.057799999995</v>
      </c>
      <c r="F263" s="17">
        <v>79395.689299999998</v>
      </c>
      <c r="G263" s="17">
        <v>97767.066000000006</v>
      </c>
      <c r="H263" s="17">
        <v>69188.015599999999</v>
      </c>
      <c r="I263" s="17">
        <v>52526.9254</v>
      </c>
      <c r="J263" s="17">
        <v>171780.8365</v>
      </c>
      <c r="K263" s="17">
        <v>143830.3731</v>
      </c>
      <c r="L263" s="17">
        <v>106901.6786</v>
      </c>
      <c r="M263" s="17">
        <v>88384.154699999999</v>
      </c>
      <c r="N263" s="17">
        <v>73800.409499999994</v>
      </c>
      <c r="O263" s="17">
        <v>61310.984900000003</v>
      </c>
      <c r="P263" s="17">
        <v>49571.734799999998</v>
      </c>
      <c r="Q263" s="17">
        <v>46625.020799999998</v>
      </c>
      <c r="R263" s="17">
        <v>33927.369200000001</v>
      </c>
      <c r="S263" s="17">
        <v>487560.79249999998</v>
      </c>
      <c r="T263" s="17">
        <v>0</v>
      </c>
      <c r="U263" s="17">
        <v>0</v>
      </c>
      <c r="V263" s="17">
        <v>0</v>
      </c>
      <c r="W263" s="17">
        <v>0</v>
      </c>
      <c r="X263" s="17">
        <v>0</v>
      </c>
      <c r="Y263" s="17">
        <v>0</v>
      </c>
      <c r="Z263" s="17">
        <v>0</v>
      </c>
      <c r="AA263" s="17">
        <v>0</v>
      </c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8">
        <f t="shared" si="4"/>
        <v>1640288.1087</v>
      </c>
    </row>
    <row r="264" spans="1:42" ht="15" customHeight="1" x14ac:dyDescent="0.2">
      <c r="A264" s="16" t="s">
        <v>631</v>
      </c>
      <c r="B264" s="16" t="s">
        <v>632</v>
      </c>
      <c r="C264" s="16" t="s">
        <v>349</v>
      </c>
      <c r="D264" s="16" t="s">
        <v>641</v>
      </c>
      <c r="E264" s="17">
        <v>139910.79</v>
      </c>
      <c r="F264" s="17">
        <v>306121.84519999998</v>
      </c>
      <c r="G264" s="17">
        <v>218374.76439999999</v>
      </c>
      <c r="H264" s="17">
        <v>162140.31659999999</v>
      </c>
      <c r="I264" s="17">
        <v>129988.822</v>
      </c>
      <c r="J264" s="17">
        <v>103429.37360000001</v>
      </c>
      <c r="K264" s="17">
        <v>88072.829800000007</v>
      </c>
      <c r="L264" s="17">
        <v>76899.241399999999</v>
      </c>
      <c r="M264" s="17">
        <v>68753.461299999995</v>
      </c>
      <c r="N264" s="17">
        <v>61086.124300000003</v>
      </c>
      <c r="O264" s="17">
        <v>46973.341500000002</v>
      </c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8">
        <f t="shared" si="4"/>
        <v>1401750.9101000002</v>
      </c>
    </row>
    <row r="265" spans="1:42" ht="15" customHeight="1" x14ac:dyDescent="0.2">
      <c r="A265" s="16" t="s">
        <v>633</v>
      </c>
      <c r="B265" s="16" t="s">
        <v>634</v>
      </c>
      <c r="C265" s="16" t="s">
        <v>128</v>
      </c>
      <c r="D265" s="16" t="s">
        <v>641</v>
      </c>
      <c r="E265" s="17">
        <v>24203.313099999999</v>
      </c>
      <c r="F265" s="17">
        <v>55790.024700000002</v>
      </c>
      <c r="G265" s="17">
        <v>70852.220700000005</v>
      </c>
      <c r="H265" s="17">
        <v>52290.223700000002</v>
      </c>
      <c r="I265" s="17">
        <v>40427.4444</v>
      </c>
      <c r="J265" s="17">
        <v>32120.158100000001</v>
      </c>
      <c r="K265" s="17">
        <v>26250.394700000001</v>
      </c>
      <c r="L265" s="17">
        <v>20341.743399999999</v>
      </c>
      <c r="M265" s="17">
        <v>13661.7436</v>
      </c>
      <c r="N265" s="17">
        <v>0</v>
      </c>
      <c r="O265" s="17">
        <v>0</v>
      </c>
      <c r="P265" s="17">
        <v>0</v>
      </c>
      <c r="Q265" s="17">
        <v>0</v>
      </c>
      <c r="R265" s="17">
        <v>0</v>
      </c>
      <c r="S265" s="17">
        <v>0</v>
      </c>
      <c r="T265" s="17">
        <v>0</v>
      </c>
      <c r="U265" s="17">
        <v>0</v>
      </c>
      <c r="V265" s="17">
        <v>0</v>
      </c>
      <c r="W265" s="17">
        <v>0</v>
      </c>
      <c r="X265" s="17">
        <v>0</v>
      </c>
      <c r="Y265" s="17">
        <v>0</v>
      </c>
      <c r="Z265" s="17">
        <v>0</v>
      </c>
      <c r="AA265" s="17">
        <v>0</v>
      </c>
      <c r="AB265" s="17">
        <v>0</v>
      </c>
      <c r="AC265" s="17">
        <v>0</v>
      </c>
      <c r="AD265" s="17">
        <v>0</v>
      </c>
      <c r="AE265" s="17">
        <v>0</v>
      </c>
      <c r="AF265" s="17">
        <v>0</v>
      </c>
      <c r="AG265" s="17">
        <v>0</v>
      </c>
      <c r="AH265" s="17">
        <v>0</v>
      </c>
      <c r="AI265" s="17">
        <v>0</v>
      </c>
      <c r="AJ265" s="17">
        <v>0</v>
      </c>
      <c r="AK265" s="17">
        <v>0</v>
      </c>
      <c r="AL265" s="17">
        <v>0</v>
      </c>
      <c r="AM265" s="17">
        <v>0</v>
      </c>
      <c r="AN265" s="17">
        <v>0</v>
      </c>
      <c r="AO265" s="17">
        <v>0</v>
      </c>
      <c r="AP265" s="18">
        <f t="shared" si="4"/>
        <v>335937.26640000002</v>
      </c>
    </row>
    <row r="266" spans="1:42" ht="15" customHeight="1" x14ac:dyDescent="0.2">
      <c r="A266" s="16" t="s">
        <v>635</v>
      </c>
      <c r="B266" s="16" t="s">
        <v>417</v>
      </c>
      <c r="C266" s="16" t="s">
        <v>417</v>
      </c>
      <c r="D266" s="16" t="s">
        <v>641</v>
      </c>
      <c r="E266" s="17">
        <v>1551</v>
      </c>
      <c r="F266" s="17">
        <v>9147</v>
      </c>
      <c r="G266" s="17">
        <v>9932</v>
      </c>
      <c r="H266" s="17">
        <v>21818</v>
      </c>
      <c r="I266" s="17">
        <v>69856</v>
      </c>
      <c r="J266" s="17">
        <v>66477</v>
      </c>
      <c r="K266" s="17">
        <v>57440</v>
      </c>
      <c r="L266" s="17">
        <v>50198</v>
      </c>
      <c r="M266" s="17">
        <v>44432</v>
      </c>
      <c r="N266" s="17">
        <v>39442</v>
      </c>
      <c r="O266" s="17">
        <v>35383</v>
      </c>
      <c r="P266" s="17">
        <v>63507</v>
      </c>
      <c r="Q266" s="17">
        <v>58283</v>
      </c>
      <c r="R266" s="17">
        <v>53461</v>
      </c>
      <c r="S266" s="17">
        <v>49410</v>
      </c>
      <c r="T266" s="17">
        <v>45861</v>
      </c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8">
        <f t="shared" si="4"/>
        <v>676198</v>
      </c>
    </row>
    <row r="267" spans="1:42" ht="15" customHeight="1" x14ac:dyDescent="0.2">
      <c r="A267" s="16" t="s">
        <v>636</v>
      </c>
      <c r="B267" s="16" t="s">
        <v>637</v>
      </c>
      <c r="C267" s="16" t="s">
        <v>145</v>
      </c>
      <c r="D267" s="16" t="s">
        <v>641</v>
      </c>
      <c r="E267" s="17">
        <v>86.111000000000004</v>
      </c>
      <c r="F267" s="17">
        <v>224.11789999999999</v>
      </c>
      <c r="G267" s="17">
        <v>335.25049999999999</v>
      </c>
      <c r="H267" s="17">
        <v>13623.3069</v>
      </c>
      <c r="I267" s="17">
        <v>26891.715100000001</v>
      </c>
      <c r="J267" s="17">
        <v>13743.531499999999</v>
      </c>
      <c r="K267" s="17">
        <v>581.18830000000003</v>
      </c>
      <c r="L267" s="17">
        <v>300.88299999999998</v>
      </c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  <c r="AL267" s="17"/>
      <c r="AM267" s="17"/>
      <c r="AN267" s="17"/>
      <c r="AO267" s="17"/>
      <c r="AP267" s="18">
        <f t="shared" si="4"/>
        <v>55786.104200000002</v>
      </c>
    </row>
    <row r="268" spans="1:42" ht="15" customHeight="1" x14ac:dyDescent="0.2">
      <c r="A268" s="16" t="s">
        <v>636</v>
      </c>
      <c r="B268" s="16" t="s">
        <v>637</v>
      </c>
      <c r="C268" s="16" t="s">
        <v>213</v>
      </c>
      <c r="D268" s="16" t="s">
        <v>641</v>
      </c>
      <c r="E268" s="17">
        <v>100813.64290000001</v>
      </c>
      <c r="F268" s="17">
        <v>384817.57199999999</v>
      </c>
      <c r="G268" s="17">
        <v>398763.02539999998</v>
      </c>
      <c r="H268" s="17">
        <v>320300.14559999999</v>
      </c>
      <c r="I268" s="17">
        <v>314632.4607</v>
      </c>
      <c r="J268" s="17">
        <v>183042.7211</v>
      </c>
      <c r="K268" s="17">
        <v>67312.9565</v>
      </c>
      <c r="L268" s="17">
        <v>16151.073200000001</v>
      </c>
      <c r="M268" s="17">
        <v>29080.525699999998</v>
      </c>
      <c r="N268" s="17">
        <v>20989.670600000001</v>
      </c>
      <c r="O268" s="17">
        <v>4593.4588000000003</v>
      </c>
      <c r="P268" s="17">
        <v>4188.4683999999997</v>
      </c>
      <c r="Q268" s="17">
        <v>3821.6296000000002</v>
      </c>
      <c r="R268" s="17">
        <v>603.79679999999996</v>
      </c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  <c r="AL268" s="17"/>
      <c r="AM268" s="17"/>
      <c r="AN268" s="17"/>
      <c r="AO268" s="17"/>
      <c r="AP268" s="18">
        <f t="shared" si="4"/>
        <v>1849111.1472999998</v>
      </c>
    </row>
    <row r="269" spans="1:42" ht="15" customHeight="1" x14ac:dyDescent="0.2">
      <c r="A269" s="16" t="s">
        <v>638</v>
      </c>
      <c r="B269" s="16" t="s">
        <v>639</v>
      </c>
      <c r="C269" s="16" t="s">
        <v>123</v>
      </c>
      <c r="D269" s="16" t="s">
        <v>641</v>
      </c>
      <c r="E269" s="17">
        <v>72535.840299999996</v>
      </c>
      <c r="F269" s="17">
        <v>114480.7228</v>
      </c>
      <c r="G269" s="17">
        <v>118409.4409</v>
      </c>
      <c r="H269" s="17">
        <v>109416.10799999999</v>
      </c>
      <c r="I269" s="17">
        <v>102942.1171</v>
      </c>
      <c r="J269" s="17">
        <v>149770.06400000001</v>
      </c>
      <c r="K269" s="17">
        <v>125047.73639999999</v>
      </c>
      <c r="L269" s="17">
        <v>157927.0687</v>
      </c>
      <c r="M269" s="17">
        <v>166896.17550000001</v>
      </c>
      <c r="N269" s="17">
        <v>111249.734</v>
      </c>
      <c r="O269" s="17">
        <v>122957.5748</v>
      </c>
      <c r="P269" s="17">
        <v>125149.8486</v>
      </c>
      <c r="Q269" s="17">
        <v>80722.209400000007</v>
      </c>
      <c r="R269" s="17">
        <v>0</v>
      </c>
      <c r="S269" s="17">
        <v>0</v>
      </c>
      <c r="T269" s="17">
        <v>0</v>
      </c>
      <c r="U269" s="17">
        <v>0</v>
      </c>
      <c r="V269" s="17">
        <v>0</v>
      </c>
      <c r="W269" s="17">
        <v>0</v>
      </c>
      <c r="X269" s="17">
        <v>0</v>
      </c>
      <c r="Y269" s="17">
        <v>0</v>
      </c>
      <c r="Z269" s="17">
        <v>0</v>
      </c>
      <c r="AA269" s="17">
        <v>0</v>
      </c>
      <c r="AB269" s="17">
        <v>0</v>
      </c>
      <c r="AC269" s="17">
        <v>0</v>
      </c>
      <c r="AD269" s="17">
        <v>0</v>
      </c>
      <c r="AE269" s="17">
        <v>0</v>
      </c>
      <c r="AF269" s="17">
        <v>0</v>
      </c>
      <c r="AG269" s="17">
        <v>0</v>
      </c>
      <c r="AH269" s="17">
        <v>0</v>
      </c>
      <c r="AI269" s="17">
        <v>0</v>
      </c>
      <c r="AJ269" s="17">
        <v>0</v>
      </c>
      <c r="AK269" s="17">
        <v>0</v>
      </c>
      <c r="AL269" s="17">
        <v>0</v>
      </c>
      <c r="AM269" s="17">
        <v>0</v>
      </c>
      <c r="AN269" s="17">
        <v>0</v>
      </c>
      <c r="AO269" s="17">
        <v>0</v>
      </c>
      <c r="AP269" s="18">
        <f t="shared" si="4"/>
        <v>1557504.6404999997</v>
      </c>
    </row>
    <row r="270" spans="1:42" ht="15" customHeight="1" x14ac:dyDescent="0.2">
      <c r="A270" s="16" t="s">
        <v>638</v>
      </c>
      <c r="B270" s="16" t="s">
        <v>639</v>
      </c>
      <c r="C270" s="16" t="s">
        <v>139</v>
      </c>
      <c r="D270" s="16" t="s">
        <v>641</v>
      </c>
      <c r="E270" s="17">
        <v>119799.158</v>
      </c>
      <c r="F270" s="17">
        <v>184944.74129999999</v>
      </c>
      <c r="G270" s="17">
        <v>225674.6752</v>
      </c>
      <c r="H270" s="17">
        <v>225643.08670000001</v>
      </c>
      <c r="I270" s="17">
        <v>218397.0986</v>
      </c>
      <c r="J270" s="17">
        <v>223582.27989999999</v>
      </c>
      <c r="K270" s="17">
        <v>250037.19639999999</v>
      </c>
      <c r="L270" s="17">
        <v>238301.47630000001</v>
      </c>
      <c r="M270" s="17">
        <v>209821.59390000001</v>
      </c>
      <c r="N270" s="17">
        <v>161126.07209999999</v>
      </c>
      <c r="O270" s="17">
        <v>174062.60699999999</v>
      </c>
      <c r="P270" s="17">
        <v>192847.97399999999</v>
      </c>
      <c r="Q270" s="17">
        <v>168545.66750000001</v>
      </c>
      <c r="R270" s="17">
        <v>160644.36050000001</v>
      </c>
      <c r="S270" s="17">
        <v>131602.60190000001</v>
      </c>
      <c r="T270" s="17">
        <v>178568.0385</v>
      </c>
      <c r="U270" s="17">
        <v>0</v>
      </c>
      <c r="V270" s="17">
        <v>0</v>
      </c>
      <c r="W270" s="17">
        <v>0</v>
      </c>
      <c r="X270" s="17">
        <v>0</v>
      </c>
      <c r="Y270" s="17">
        <v>0</v>
      </c>
      <c r="Z270" s="17">
        <v>0</v>
      </c>
      <c r="AA270" s="17">
        <v>0</v>
      </c>
      <c r="AB270" s="17">
        <v>0</v>
      </c>
      <c r="AC270" s="17">
        <v>0</v>
      </c>
      <c r="AD270" s="17">
        <v>0</v>
      </c>
      <c r="AE270" s="17">
        <v>0</v>
      </c>
      <c r="AF270" s="17">
        <v>0</v>
      </c>
      <c r="AG270" s="17">
        <v>0</v>
      </c>
      <c r="AH270" s="17">
        <v>0</v>
      </c>
      <c r="AI270" s="17">
        <v>0</v>
      </c>
      <c r="AJ270" s="17">
        <v>0</v>
      </c>
      <c r="AK270" s="17">
        <v>0</v>
      </c>
      <c r="AL270" s="17">
        <v>0</v>
      </c>
      <c r="AM270" s="17">
        <v>0</v>
      </c>
      <c r="AN270" s="17">
        <v>0</v>
      </c>
      <c r="AO270" s="17">
        <v>0</v>
      </c>
      <c r="AP270" s="18">
        <f t="shared" si="4"/>
        <v>3063598.6277999999</v>
      </c>
    </row>
    <row r="271" spans="1:42" ht="15" customHeight="1" x14ac:dyDescent="0.2">
      <c r="A271" s="16" t="s">
        <v>638</v>
      </c>
      <c r="B271" s="16" t="s">
        <v>639</v>
      </c>
      <c r="C271" s="16" t="s">
        <v>274</v>
      </c>
      <c r="D271" s="16" t="s">
        <v>641</v>
      </c>
      <c r="E271" s="17">
        <v>10822.9244</v>
      </c>
      <c r="F271" s="17">
        <v>21764.052199999998</v>
      </c>
      <c r="G271" s="17">
        <v>28539.468099999998</v>
      </c>
      <c r="H271" s="17">
        <v>25286.9948</v>
      </c>
      <c r="I271" s="17">
        <v>29595.8406</v>
      </c>
      <c r="J271" s="17">
        <v>62808.397700000001</v>
      </c>
      <c r="K271" s="17">
        <v>31860.3262</v>
      </c>
      <c r="L271" s="17">
        <v>11326.649600000001</v>
      </c>
      <c r="M271" s="17">
        <v>15251.2111</v>
      </c>
      <c r="N271" s="17">
        <v>43900.999100000001</v>
      </c>
      <c r="O271" s="17">
        <v>39669.639499999997</v>
      </c>
      <c r="P271" s="17">
        <v>14031.2071</v>
      </c>
      <c r="Q271" s="17">
        <v>0</v>
      </c>
      <c r="R271" s="17">
        <v>0</v>
      </c>
      <c r="S271" s="17">
        <v>0</v>
      </c>
      <c r="T271" s="17">
        <v>0</v>
      </c>
      <c r="U271" s="17">
        <v>0</v>
      </c>
      <c r="V271" s="17">
        <v>0</v>
      </c>
      <c r="W271" s="17">
        <v>0</v>
      </c>
      <c r="X271" s="17">
        <v>0</v>
      </c>
      <c r="Y271" s="17">
        <v>0</v>
      </c>
      <c r="Z271" s="17">
        <v>0</v>
      </c>
      <c r="AA271" s="17">
        <v>0</v>
      </c>
      <c r="AB271" s="17">
        <v>0</v>
      </c>
      <c r="AC271" s="17">
        <v>0</v>
      </c>
      <c r="AD271" s="17">
        <v>0</v>
      </c>
      <c r="AE271" s="17">
        <v>0</v>
      </c>
      <c r="AF271" s="17">
        <v>0</v>
      </c>
      <c r="AG271" s="17">
        <v>0</v>
      </c>
      <c r="AH271" s="17">
        <v>0</v>
      </c>
      <c r="AI271" s="17">
        <v>0</v>
      </c>
      <c r="AJ271" s="17">
        <v>0</v>
      </c>
      <c r="AK271" s="17">
        <v>0</v>
      </c>
      <c r="AL271" s="17">
        <v>0</v>
      </c>
      <c r="AM271" s="17">
        <v>0</v>
      </c>
      <c r="AN271" s="17">
        <v>0</v>
      </c>
      <c r="AO271" s="17">
        <v>0</v>
      </c>
      <c r="AP271" s="18">
        <f t="shared" si="4"/>
        <v>334857.71040000004</v>
      </c>
    </row>
    <row r="272" spans="1:42" ht="15" customHeight="1" x14ac:dyDescent="0.2">
      <c r="A272" s="16" t="s">
        <v>638</v>
      </c>
      <c r="B272" s="16" t="s">
        <v>640</v>
      </c>
      <c r="C272" s="16" t="s">
        <v>137</v>
      </c>
      <c r="D272" s="16" t="s">
        <v>641</v>
      </c>
      <c r="E272" s="17">
        <v>13467.960499999999</v>
      </c>
      <c r="F272" s="17">
        <v>25906.632399999999</v>
      </c>
      <c r="G272" s="17">
        <v>34969.1993</v>
      </c>
      <c r="H272" s="17">
        <v>31368.734799999998</v>
      </c>
      <c r="I272" s="17">
        <v>42554.339599999999</v>
      </c>
      <c r="J272" s="17">
        <v>72086.843800000002</v>
      </c>
      <c r="K272" s="17">
        <v>102609.2248</v>
      </c>
      <c r="L272" s="17">
        <v>85416.108200000002</v>
      </c>
      <c r="M272" s="17">
        <v>43809.008199999997</v>
      </c>
      <c r="N272" s="17">
        <v>12787.635899999999</v>
      </c>
      <c r="O272" s="17">
        <v>0</v>
      </c>
      <c r="P272" s="17">
        <v>0</v>
      </c>
      <c r="Q272" s="17">
        <v>0</v>
      </c>
      <c r="R272" s="17">
        <v>0</v>
      </c>
      <c r="S272" s="17">
        <v>0</v>
      </c>
      <c r="T272" s="17">
        <v>0</v>
      </c>
      <c r="U272" s="17">
        <v>0</v>
      </c>
      <c r="V272" s="17">
        <v>0</v>
      </c>
      <c r="W272" s="17">
        <v>0</v>
      </c>
      <c r="X272" s="17">
        <v>0</v>
      </c>
      <c r="Y272" s="17">
        <v>0</v>
      </c>
      <c r="Z272" s="17">
        <v>0</v>
      </c>
      <c r="AA272" s="17">
        <v>0</v>
      </c>
      <c r="AB272" s="17">
        <v>0</v>
      </c>
      <c r="AC272" s="17">
        <v>0</v>
      </c>
      <c r="AD272" s="17">
        <v>0</v>
      </c>
      <c r="AE272" s="17">
        <v>0</v>
      </c>
      <c r="AF272" s="17">
        <v>0</v>
      </c>
      <c r="AG272" s="17">
        <v>0</v>
      </c>
      <c r="AH272" s="17">
        <v>0</v>
      </c>
      <c r="AI272" s="17">
        <v>0</v>
      </c>
      <c r="AJ272" s="17">
        <v>0</v>
      </c>
      <c r="AK272" s="17">
        <v>0</v>
      </c>
      <c r="AL272" s="17">
        <v>0</v>
      </c>
      <c r="AM272" s="17">
        <v>0</v>
      </c>
      <c r="AN272" s="17">
        <v>0</v>
      </c>
      <c r="AO272" s="17">
        <v>0</v>
      </c>
      <c r="AP272" s="18">
        <f t="shared" si="4"/>
        <v>464975.6875</v>
      </c>
    </row>
    <row r="273" spans="1:42" ht="15" customHeight="1" x14ac:dyDescent="0.2">
      <c r="A273" s="16" t="s">
        <v>638</v>
      </c>
      <c r="B273" s="16" t="s">
        <v>640</v>
      </c>
      <c r="C273" s="16" t="s">
        <v>154</v>
      </c>
      <c r="D273" s="16" t="s">
        <v>641</v>
      </c>
      <c r="E273" s="17">
        <v>0</v>
      </c>
      <c r="F273" s="17">
        <v>7548.1034</v>
      </c>
      <c r="G273" s="17">
        <v>76875.896599999993</v>
      </c>
      <c r="H273" s="17">
        <v>0</v>
      </c>
      <c r="I273" s="17">
        <v>0</v>
      </c>
      <c r="J273" s="17">
        <v>0</v>
      </c>
      <c r="K273" s="17">
        <v>0</v>
      </c>
      <c r="L273" s="17">
        <v>0</v>
      </c>
      <c r="M273" s="17">
        <v>0</v>
      </c>
      <c r="N273" s="17">
        <v>0</v>
      </c>
      <c r="O273" s="17">
        <v>0</v>
      </c>
      <c r="P273" s="17">
        <v>0</v>
      </c>
      <c r="Q273" s="17">
        <v>0</v>
      </c>
      <c r="R273" s="17">
        <v>0</v>
      </c>
      <c r="S273" s="17">
        <v>0</v>
      </c>
      <c r="T273" s="17">
        <v>0</v>
      </c>
      <c r="U273" s="17">
        <v>0</v>
      </c>
      <c r="V273" s="17">
        <v>0</v>
      </c>
      <c r="W273" s="17">
        <v>0</v>
      </c>
      <c r="X273" s="17">
        <v>0</v>
      </c>
      <c r="Y273" s="17">
        <v>0</v>
      </c>
      <c r="Z273" s="17">
        <v>0</v>
      </c>
      <c r="AA273" s="17">
        <v>0</v>
      </c>
      <c r="AB273" s="17">
        <v>0</v>
      </c>
      <c r="AC273" s="17">
        <v>0</v>
      </c>
      <c r="AD273" s="17">
        <v>0</v>
      </c>
      <c r="AE273" s="17">
        <v>0</v>
      </c>
      <c r="AF273" s="17">
        <v>0</v>
      </c>
      <c r="AG273" s="17">
        <v>0</v>
      </c>
      <c r="AH273" s="17">
        <v>0</v>
      </c>
      <c r="AI273" s="17">
        <v>0</v>
      </c>
      <c r="AJ273" s="17">
        <v>0</v>
      </c>
      <c r="AK273" s="17">
        <v>0</v>
      </c>
      <c r="AL273" s="17">
        <v>0</v>
      </c>
      <c r="AM273" s="17">
        <v>0</v>
      </c>
      <c r="AN273" s="17">
        <v>0</v>
      </c>
      <c r="AO273" s="17">
        <v>0</v>
      </c>
      <c r="AP273" s="18">
        <f t="shared" si="4"/>
        <v>84424</v>
      </c>
    </row>
    <row r="274" spans="1:42" ht="15" customHeight="1" x14ac:dyDescent="0.2">
      <c r="A274" s="16" t="s">
        <v>638</v>
      </c>
      <c r="B274" s="16" t="s">
        <v>640</v>
      </c>
      <c r="C274" s="16" t="s">
        <v>176</v>
      </c>
      <c r="D274" s="16" t="s">
        <v>641</v>
      </c>
      <c r="E274" s="17">
        <v>1046.0418999999999</v>
      </c>
      <c r="F274" s="17">
        <v>2907.1021000000001</v>
      </c>
      <c r="G274" s="17">
        <v>12071.576300000001</v>
      </c>
      <c r="H274" s="17">
        <v>10842.939700000001</v>
      </c>
      <c r="I274" s="17">
        <v>0</v>
      </c>
      <c r="J274" s="17">
        <v>0</v>
      </c>
      <c r="K274" s="17">
        <v>0</v>
      </c>
      <c r="L274" s="17">
        <v>0</v>
      </c>
      <c r="M274" s="17">
        <v>0</v>
      </c>
      <c r="N274" s="17">
        <v>0</v>
      </c>
      <c r="O274" s="17">
        <v>0</v>
      </c>
      <c r="P274" s="17">
        <v>0</v>
      </c>
      <c r="Q274" s="17">
        <v>0</v>
      </c>
      <c r="R274" s="17">
        <v>0</v>
      </c>
      <c r="S274" s="17">
        <v>0</v>
      </c>
      <c r="T274" s="17">
        <v>0</v>
      </c>
      <c r="U274" s="17">
        <v>0</v>
      </c>
      <c r="V274" s="17">
        <v>0</v>
      </c>
      <c r="W274" s="17">
        <v>0</v>
      </c>
      <c r="X274" s="17">
        <v>0</v>
      </c>
      <c r="Y274" s="17">
        <v>0</v>
      </c>
      <c r="Z274" s="17">
        <v>0</v>
      </c>
      <c r="AA274" s="17">
        <v>0</v>
      </c>
      <c r="AB274" s="17">
        <v>0</v>
      </c>
      <c r="AC274" s="17">
        <v>0</v>
      </c>
      <c r="AD274" s="17">
        <v>0</v>
      </c>
      <c r="AE274" s="17">
        <v>0</v>
      </c>
      <c r="AF274" s="17">
        <v>0</v>
      </c>
      <c r="AG274" s="17">
        <v>0</v>
      </c>
      <c r="AH274" s="17">
        <v>0</v>
      </c>
      <c r="AI274" s="17">
        <v>0</v>
      </c>
      <c r="AJ274" s="17">
        <v>0</v>
      </c>
      <c r="AK274" s="17">
        <v>0</v>
      </c>
      <c r="AL274" s="17">
        <v>0</v>
      </c>
      <c r="AM274" s="17">
        <v>0</v>
      </c>
      <c r="AN274" s="17">
        <v>0</v>
      </c>
      <c r="AO274" s="17">
        <v>0</v>
      </c>
      <c r="AP274" s="18">
        <f t="shared" si="4"/>
        <v>26867.660000000003</v>
      </c>
    </row>
    <row r="275" spans="1:42" ht="15" customHeight="1" x14ac:dyDescent="0.2">
      <c r="A275" s="16" t="s">
        <v>638</v>
      </c>
      <c r="B275" s="16" t="s">
        <v>640</v>
      </c>
      <c r="C275" s="16" t="s">
        <v>273</v>
      </c>
      <c r="D275" s="16" t="s">
        <v>641</v>
      </c>
      <c r="E275" s="17">
        <v>715.61360000000002</v>
      </c>
      <c r="F275" s="17">
        <v>74030.175399999993</v>
      </c>
      <c r="G275" s="17">
        <v>30354.210999999999</v>
      </c>
      <c r="H275" s="17">
        <v>0</v>
      </c>
      <c r="I275" s="17">
        <v>0</v>
      </c>
      <c r="J275" s="17">
        <v>0</v>
      </c>
      <c r="K275" s="17">
        <v>0</v>
      </c>
      <c r="L275" s="17">
        <v>0</v>
      </c>
      <c r="M275" s="17">
        <v>0</v>
      </c>
      <c r="N275" s="17">
        <v>0</v>
      </c>
      <c r="O275" s="17">
        <v>0</v>
      </c>
      <c r="P275" s="17">
        <v>0</v>
      </c>
      <c r="Q275" s="17">
        <v>0</v>
      </c>
      <c r="R275" s="17">
        <v>0</v>
      </c>
      <c r="S275" s="17">
        <v>0</v>
      </c>
      <c r="T275" s="17">
        <v>0</v>
      </c>
      <c r="U275" s="17">
        <v>0</v>
      </c>
      <c r="V275" s="17">
        <v>0</v>
      </c>
      <c r="W275" s="17">
        <v>0</v>
      </c>
      <c r="X275" s="17">
        <v>0</v>
      </c>
      <c r="Y275" s="17">
        <v>0</v>
      </c>
      <c r="Z275" s="17">
        <v>0</v>
      </c>
      <c r="AA275" s="17">
        <v>0</v>
      </c>
      <c r="AB275" s="17">
        <v>0</v>
      </c>
      <c r="AC275" s="17">
        <v>0</v>
      </c>
      <c r="AD275" s="17">
        <v>0</v>
      </c>
      <c r="AE275" s="17">
        <v>0</v>
      </c>
      <c r="AF275" s="17">
        <v>0</v>
      </c>
      <c r="AG275" s="17">
        <v>0</v>
      </c>
      <c r="AH275" s="17">
        <v>0</v>
      </c>
      <c r="AI275" s="17">
        <v>0</v>
      </c>
      <c r="AJ275" s="17">
        <v>0</v>
      </c>
      <c r="AK275" s="17">
        <v>0</v>
      </c>
      <c r="AL275" s="17">
        <v>0</v>
      </c>
      <c r="AM275" s="17">
        <v>0</v>
      </c>
      <c r="AN275" s="17">
        <v>0</v>
      </c>
      <c r="AO275" s="17">
        <v>0</v>
      </c>
      <c r="AP275" s="18">
        <f t="shared" si="4"/>
        <v>105099.99999999999</v>
      </c>
    </row>
    <row r="276" spans="1:42" ht="15" customHeight="1" x14ac:dyDescent="0.2">
      <c r="A276" s="16" t="s">
        <v>647</v>
      </c>
      <c r="B276" s="16" t="s">
        <v>648</v>
      </c>
      <c r="C276" s="16" t="s">
        <v>649</v>
      </c>
      <c r="D276" s="16" t="s">
        <v>641</v>
      </c>
      <c r="E276" s="17">
        <v>49070.287499999999</v>
      </c>
      <c r="F276" s="17">
        <v>145700.68119999999</v>
      </c>
      <c r="G276" s="17">
        <v>349503.96289999998</v>
      </c>
      <c r="H276" s="17">
        <v>320257.81910000002</v>
      </c>
      <c r="I276" s="17">
        <v>510501.80160000001</v>
      </c>
      <c r="J276" s="17">
        <v>512933.03879999998</v>
      </c>
      <c r="K276" s="17">
        <v>428603.16869999998</v>
      </c>
      <c r="L276" s="17">
        <v>364369.57909999997</v>
      </c>
      <c r="M276" s="17">
        <v>314579.79690000002</v>
      </c>
      <c r="N276" s="17">
        <v>275167.87589999998</v>
      </c>
      <c r="O276" s="17">
        <v>240062.05919999999</v>
      </c>
      <c r="P276" s="17">
        <v>211211.3829</v>
      </c>
      <c r="Q276" s="17">
        <v>188127.8884</v>
      </c>
      <c r="R276" s="17">
        <v>168521.85209999999</v>
      </c>
      <c r="S276" s="17">
        <v>149625.03289999999</v>
      </c>
      <c r="T276" s="17">
        <v>134804.7298</v>
      </c>
      <c r="U276" s="17">
        <v>123028.939</v>
      </c>
      <c r="V276" s="17">
        <v>112360.7426</v>
      </c>
      <c r="W276" s="17">
        <v>101911.10739999999</v>
      </c>
      <c r="X276" s="17">
        <v>93232.447899999999</v>
      </c>
      <c r="Y276" s="17">
        <v>85594.079299999998</v>
      </c>
      <c r="Z276" s="17">
        <v>79207.831900000005</v>
      </c>
      <c r="AA276" s="17">
        <v>72193.849600000001</v>
      </c>
      <c r="AB276" s="17">
        <v>67491.395300000004</v>
      </c>
      <c r="AC276" s="17">
        <v>63013.699099999998</v>
      </c>
      <c r="AD276" s="17">
        <v>59452.201999999997</v>
      </c>
      <c r="AE276" s="17">
        <v>55592.211000000003</v>
      </c>
      <c r="AF276" s="17">
        <v>51885.730300000003</v>
      </c>
      <c r="AG276" s="17">
        <v>49179.4139</v>
      </c>
      <c r="AH276" s="17">
        <v>47381.027300000002</v>
      </c>
      <c r="AI276" s="17">
        <v>43429.9709</v>
      </c>
      <c r="AJ276" s="17">
        <v>39819.291400000002</v>
      </c>
      <c r="AK276" s="17">
        <v>76178.319499999998</v>
      </c>
      <c r="AL276" s="17">
        <v>70689.464699999997</v>
      </c>
      <c r="AM276" s="17">
        <v>65591.084300000002</v>
      </c>
      <c r="AN276" s="17">
        <v>62657.881800000003</v>
      </c>
      <c r="AO276" s="17">
        <v>310767.39270000003</v>
      </c>
      <c r="AP276" s="18">
        <f t="shared" si="4"/>
        <v>6093699.0389</v>
      </c>
    </row>
    <row r="277" spans="1:42" ht="19.5" customHeight="1" x14ac:dyDescent="0.2">
      <c r="AP277" s="19">
        <f>SUM(AP2:AP276)</f>
        <v>635628237.54940009</v>
      </c>
    </row>
  </sheetData>
  <autoFilter ref="A1:AP277" xr:uid="{00000000-0009-0000-0000-000002000000}"/>
  <pageMargins left="0.78749999999999998" right="0.78749999999999998" top="0.78749999999999998" bottom="1.23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Q264"/>
  <sheetViews>
    <sheetView showGridLines="0" zoomScaleNormal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B8" sqref="B8"/>
    </sheetView>
  </sheetViews>
  <sheetFormatPr baseColWidth="10" defaultColWidth="11.5" defaultRowHeight="15" x14ac:dyDescent="0.2"/>
  <cols>
    <col min="1" max="1" width="43" style="13" customWidth="1"/>
    <col min="2" max="2" width="27.1640625" style="13" customWidth="1"/>
    <col min="3" max="3" width="28.6640625" style="13" customWidth="1"/>
    <col min="4" max="4" width="14.33203125" style="13" customWidth="1"/>
    <col min="5" max="42" width="13.5" style="13" customWidth="1"/>
    <col min="43" max="43" width="9" style="13" hidden="1" customWidth="1"/>
    <col min="44" max="16384" width="11.5" style="13"/>
  </cols>
  <sheetData>
    <row r="1" spans="1:42" ht="15" customHeight="1" x14ac:dyDescent="0.2">
      <c r="A1" s="14" t="s">
        <v>506</v>
      </c>
      <c r="B1" s="15" t="s">
        <v>507</v>
      </c>
      <c r="C1" s="15" t="s">
        <v>0</v>
      </c>
      <c r="D1" s="15" t="s">
        <v>508</v>
      </c>
      <c r="E1" s="15">
        <v>2024</v>
      </c>
      <c r="F1" s="15">
        <v>2025</v>
      </c>
      <c r="G1" s="15">
        <v>2026</v>
      </c>
      <c r="H1" s="15">
        <v>2027</v>
      </c>
      <c r="I1" s="15">
        <v>2028</v>
      </c>
      <c r="J1" s="15">
        <v>2029</v>
      </c>
      <c r="K1" s="15">
        <v>2030</v>
      </c>
      <c r="L1" s="15">
        <v>2031</v>
      </c>
      <c r="M1" s="15">
        <v>2032</v>
      </c>
      <c r="N1" s="15">
        <v>2033</v>
      </c>
      <c r="O1" s="15">
        <v>2034</v>
      </c>
      <c r="P1" s="15">
        <v>2035</v>
      </c>
      <c r="Q1" s="15">
        <v>2036</v>
      </c>
      <c r="R1" s="15">
        <v>2037</v>
      </c>
      <c r="S1" s="15">
        <v>2038</v>
      </c>
      <c r="T1" s="15">
        <v>2039</v>
      </c>
      <c r="U1" s="15">
        <v>2040</v>
      </c>
      <c r="V1" s="15">
        <v>2041</v>
      </c>
      <c r="W1" s="15">
        <v>2042</v>
      </c>
      <c r="X1" s="15">
        <v>2043</v>
      </c>
      <c r="Y1" s="15">
        <v>2044</v>
      </c>
      <c r="Z1" s="15">
        <v>2045</v>
      </c>
      <c r="AA1" s="15">
        <v>2046</v>
      </c>
      <c r="AB1" s="15">
        <v>2047</v>
      </c>
      <c r="AC1" s="15">
        <v>2048</v>
      </c>
      <c r="AD1" s="15">
        <v>2049</v>
      </c>
      <c r="AE1" s="15">
        <v>2050</v>
      </c>
      <c r="AF1" s="15">
        <v>2051</v>
      </c>
      <c r="AG1" s="15">
        <v>2052</v>
      </c>
      <c r="AH1" s="15">
        <v>2053</v>
      </c>
      <c r="AI1" s="15">
        <v>2054</v>
      </c>
      <c r="AJ1" s="15">
        <v>2055</v>
      </c>
      <c r="AK1" s="15">
        <v>2056</v>
      </c>
      <c r="AL1" s="15">
        <v>2057</v>
      </c>
      <c r="AM1" s="15">
        <v>2058</v>
      </c>
      <c r="AN1" s="15">
        <v>2059</v>
      </c>
      <c r="AO1" s="15">
        <v>2060</v>
      </c>
      <c r="AP1" s="15" t="s">
        <v>509</v>
      </c>
    </row>
    <row r="2" spans="1:42" ht="15" customHeight="1" x14ac:dyDescent="0.2">
      <c r="A2" s="16" t="s">
        <v>510</v>
      </c>
      <c r="B2" s="16" t="s">
        <v>355</v>
      </c>
      <c r="C2" s="16" t="s">
        <v>355</v>
      </c>
      <c r="D2" s="16" t="s">
        <v>650</v>
      </c>
      <c r="E2" s="17">
        <v>142645.1777</v>
      </c>
      <c r="F2" s="17">
        <v>169803.5607</v>
      </c>
      <c r="G2" s="17">
        <v>185456.43729999999</v>
      </c>
      <c r="H2" s="17">
        <v>167383.95569999999</v>
      </c>
      <c r="I2" s="17">
        <v>124289.727</v>
      </c>
      <c r="J2" s="17">
        <v>96604.333499999993</v>
      </c>
      <c r="K2" s="17">
        <v>78623.910699999993</v>
      </c>
      <c r="L2" s="17">
        <v>66599.918000000005</v>
      </c>
      <c r="M2" s="17">
        <v>58476.369100000004</v>
      </c>
      <c r="N2" s="17">
        <v>195700</v>
      </c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8">
        <f t="shared" ref="AP2:AP65" si="0">SUM(E2:AO2)</f>
        <v>1285583.3896999999</v>
      </c>
    </row>
    <row r="3" spans="1:42" ht="15" customHeight="1" x14ac:dyDescent="0.2">
      <c r="A3" s="16" t="s">
        <v>512</v>
      </c>
      <c r="B3" s="16" t="s">
        <v>366</v>
      </c>
      <c r="C3" s="16" t="s">
        <v>366</v>
      </c>
      <c r="D3" s="16" t="s">
        <v>650</v>
      </c>
      <c r="E3" s="17">
        <v>34000</v>
      </c>
      <c r="F3" s="17">
        <v>40000</v>
      </c>
      <c r="G3" s="17">
        <v>44000</v>
      </c>
      <c r="H3" s="17">
        <v>46000</v>
      </c>
      <c r="I3" s="17">
        <v>53000</v>
      </c>
      <c r="J3" s="17">
        <v>51000</v>
      </c>
      <c r="K3" s="17">
        <v>37000</v>
      </c>
      <c r="L3" s="17">
        <v>37000</v>
      </c>
      <c r="M3" s="17">
        <v>44000</v>
      </c>
      <c r="N3" s="17">
        <v>66000</v>
      </c>
      <c r="O3" s="17">
        <v>141000</v>
      </c>
      <c r="P3" s="17">
        <v>122000</v>
      </c>
      <c r="Q3" s="17">
        <v>10000</v>
      </c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8">
        <f t="shared" si="0"/>
        <v>725000</v>
      </c>
    </row>
    <row r="4" spans="1:42" ht="15" customHeight="1" x14ac:dyDescent="0.2">
      <c r="A4" s="16" t="s">
        <v>513</v>
      </c>
      <c r="B4" s="16" t="s">
        <v>514</v>
      </c>
      <c r="C4" s="16" t="s">
        <v>332</v>
      </c>
      <c r="D4" s="16" t="s">
        <v>650</v>
      </c>
      <c r="E4" s="17">
        <v>114305.617</v>
      </c>
      <c r="F4" s="17">
        <v>108350.3602</v>
      </c>
      <c r="G4" s="17">
        <v>87189.041500000007</v>
      </c>
      <c r="H4" s="17">
        <v>71453.224499999997</v>
      </c>
      <c r="I4" s="17">
        <v>59252.880599999997</v>
      </c>
      <c r="J4" s="17">
        <v>49177.218200000003</v>
      </c>
      <c r="K4" s="17">
        <v>41199.430399999997</v>
      </c>
      <c r="L4" s="17">
        <v>34735.893100000001</v>
      </c>
      <c r="M4" s="17">
        <v>29544.5406</v>
      </c>
      <c r="N4" s="17">
        <v>25144.337100000001</v>
      </c>
      <c r="O4" s="17">
        <v>18689.880700000002</v>
      </c>
      <c r="P4" s="17">
        <v>6899.1187</v>
      </c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8">
        <f t="shared" si="0"/>
        <v>645941.54259999993</v>
      </c>
    </row>
    <row r="5" spans="1:42" ht="15" customHeight="1" x14ac:dyDescent="0.2">
      <c r="A5" s="16" t="s">
        <v>515</v>
      </c>
      <c r="B5" s="16" t="s">
        <v>516</v>
      </c>
      <c r="C5" s="16" t="s">
        <v>171</v>
      </c>
      <c r="D5" s="16" t="s">
        <v>650</v>
      </c>
      <c r="E5" s="17">
        <v>5515.7030000000004</v>
      </c>
      <c r="F5" s="17">
        <v>14345.532300000001</v>
      </c>
      <c r="G5" s="17">
        <v>21114.794099999999</v>
      </c>
      <c r="H5" s="17">
        <v>27221.317800000001</v>
      </c>
      <c r="I5" s="17">
        <v>31707.641100000001</v>
      </c>
      <c r="J5" s="17">
        <v>8307.9503999999997</v>
      </c>
      <c r="K5" s="17">
        <v>0</v>
      </c>
      <c r="L5" s="17">
        <v>0</v>
      </c>
      <c r="M5" s="17">
        <v>0</v>
      </c>
      <c r="N5" s="17">
        <v>0</v>
      </c>
      <c r="O5" s="17">
        <v>0</v>
      </c>
      <c r="P5" s="17">
        <v>0</v>
      </c>
      <c r="Q5" s="17">
        <v>0</v>
      </c>
      <c r="R5" s="17">
        <v>0</v>
      </c>
      <c r="S5" s="17">
        <v>0</v>
      </c>
      <c r="T5" s="17">
        <v>0</v>
      </c>
      <c r="U5" s="17">
        <v>0</v>
      </c>
      <c r="V5" s="17">
        <v>0</v>
      </c>
      <c r="W5" s="17">
        <v>0</v>
      </c>
      <c r="X5" s="17">
        <v>0</v>
      </c>
      <c r="Y5" s="17">
        <v>0</v>
      </c>
      <c r="Z5" s="17">
        <v>0</v>
      </c>
      <c r="AA5" s="17">
        <v>0</v>
      </c>
      <c r="AB5" s="17">
        <v>0</v>
      </c>
      <c r="AC5" s="17">
        <v>0</v>
      </c>
      <c r="AD5" s="17">
        <v>0</v>
      </c>
      <c r="AE5" s="17">
        <v>0</v>
      </c>
      <c r="AF5" s="17">
        <v>0</v>
      </c>
      <c r="AG5" s="17">
        <v>0</v>
      </c>
      <c r="AH5" s="17">
        <v>0</v>
      </c>
      <c r="AI5" s="17">
        <v>0</v>
      </c>
      <c r="AJ5" s="17">
        <v>0</v>
      </c>
      <c r="AK5" s="17">
        <v>0</v>
      </c>
      <c r="AL5" s="17">
        <v>0</v>
      </c>
      <c r="AM5" s="17">
        <v>0</v>
      </c>
      <c r="AN5" s="17">
        <v>0</v>
      </c>
      <c r="AO5" s="17">
        <v>0</v>
      </c>
      <c r="AP5" s="18">
        <f t="shared" si="0"/>
        <v>108212.9387</v>
      </c>
    </row>
    <row r="6" spans="1:42" ht="15" customHeight="1" x14ac:dyDescent="0.2">
      <c r="A6" s="16" t="s">
        <v>515</v>
      </c>
      <c r="B6" s="16" t="s">
        <v>516</v>
      </c>
      <c r="C6" s="16" t="s">
        <v>172</v>
      </c>
      <c r="D6" s="16" t="s">
        <v>650</v>
      </c>
      <c r="E6" s="17">
        <v>3696.7411999999999</v>
      </c>
      <c r="F6" s="17">
        <v>9056.4143000000004</v>
      </c>
      <c r="G6" s="17">
        <v>13447.5394</v>
      </c>
      <c r="H6" s="17">
        <v>16825.221600000001</v>
      </c>
      <c r="I6" s="17">
        <v>19379.589499999998</v>
      </c>
      <c r="J6" s="17">
        <v>5070.7897000000003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  <c r="AC6" s="17">
        <v>0</v>
      </c>
      <c r="AD6" s="17">
        <v>0</v>
      </c>
      <c r="AE6" s="17">
        <v>0</v>
      </c>
      <c r="AF6" s="17">
        <v>0</v>
      </c>
      <c r="AG6" s="17">
        <v>0</v>
      </c>
      <c r="AH6" s="17">
        <v>0</v>
      </c>
      <c r="AI6" s="17">
        <v>0</v>
      </c>
      <c r="AJ6" s="17">
        <v>0</v>
      </c>
      <c r="AK6" s="17">
        <v>0</v>
      </c>
      <c r="AL6" s="17">
        <v>0</v>
      </c>
      <c r="AM6" s="17">
        <v>0</v>
      </c>
      <c r="AN6" s="17">
        <v>0</v>
      </c>
      <c r="AO6" s="17">
        <v>0</v>
      </c>
      <c r="AP6" s="18">
        <f t="shared" si="0"/>
        <v>67476.295700000002</v>
      </c>
    </row>
    <row r="7" spans="1:42" ht="15" customHeight="1" x14ac:dyDescent="0.2">
      <c r="A7" s="16" t="s">
        <v>515</v>
      </c>
      <c r="B7" s="16" t="s">
        <v>516</v>
      </c>
      <c r="C7" s="16" t="s">
        <v>234</v>
      </c>
      <c r="D7" s="16" t="s">
        <v>650</v>
      </c>
      <c r="E7" s="17">
        <v>1927.2954999999999</v>
      </c>
      <c r="F7" s="17">
        <v>5341.6090999999997</v>
      </c>
      <c r="G7" s="17">
        <v>8144.1788999999999</v>
      </c>
      <c r="H7" s="17">
        <v>10426.328299999999</v>
      </c>
      <c r="I7" s="17">
        <v>12306.917299999999</v>
      </c>
      <c r="J7" s="17">
        <v>3266.5522999999998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  <c r="AC7" s="17">
        <v>0</v>
      </c>
      <c r="AD7" s="17">
        <v>0</v>
      </c>
      <c r="AE7" s="17">
        <v>0</v>
      </c>
      <c r="AF7" s="17">
        <v>0</v>
      </c>
      <c r="AG7" s="17">
        <v>0</v>
      </c>
      <c r="AH7" s="17">
        <v>0</v>
      </c>
      <c r="AI7" s="17">
        <v>0</v>
      </c>
      <c r="AJ7" s="17">
        <v>0</v>
      </c>
      <c r="AK7" s="17">
        <v>0</v>
      </c>
      <c r="AL7" s="17">
        <v>0</v>
      </c>
      <c r="AM7" s="17">
        <v>0</v>
      </c>
      <c r="AN7" s="17">
        <v>0</v>
      </c>
      <c r="AO7" s="17">
        <v>0</v>
      </c>
      <c r="AP7" s="18">
        <f t="shared" si="0"/>
        <v>41412.881400000006</v>
      </c>
    </row>
    <row r="8" spans="1:42" ht="15" customHeight="1" x14ac:dyDescent="0.2">
      <c r="A8" s="16" t="s">
        <v>515</v>
      </c>
      <c r="B8" s="16" t="s">
        <v>516</v>
      </c>
      <c r="C8" s="16" t="s">
        <v>344</v>
      </c>
      <c r="D8" s="16" t="s">
        <v>650</v>
      </c>
      <c r="E8" s="17">
        <v>4795.2201999999997</v>
      </c>
      <c r="F8" s="17">
        <v>14274.611800000001</v>
      </c>
      <c r="G8" s="17">
        <v>24508.511900000001</v>
      </c>
      <c r="H8" s="17">
        <v>31169.606</v>
      </c>
      <c r="I8" s="17">
        <v>32006.708299999998</v>
      </c>
      <c r="J8" s="17">
        <v>8267.9143000000004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  <c r="AC8" s="17">
        <v>0</v>
      </c>
      <c r="AD8" s="17">
        <v>0</v>
      </c>
      <c r="AE8" s="17">
        <v>0</v>
      </c>
      <c r="AF8" s="17">
        <v>0</v>
      </c>
      <c r="AG8" s="17">
        <v>0</v>
      </c>
      <c r="AH8" s="17">
        <v>0</v>
      </c>
      <c r="AI8" s="17">
        <v>0</v>
      </c>
      <c r="AJ8" s="17">
        <v>0</v>
      </c>
      <c r="AK8" s="17">
        <v>0</v>
      </c>
      <c r="AL8" s="17">
        <v>0</v>
      </c>
      <c r="AM8" s="17">
        <v>0</v>
      </c>
      <c r="AN8" s="17">
        <v>0</v>
      </c>
      <c r="AO8" s="17">
        <v>0</v>
      </c>
      <c r="AP8" s="18">
        <f t="shared" si="0"/>
        <v>115022.57250000001</v>
      </c>
    </row>
    <row r="9" spans="1:42" ht="15" customHeight="1" x14ac:dyDescent="0.2">
      <c r="A9" s="16" t="s">
        <v>515</v>
      </c>
      <c r="B9" s="16" t="s">
        <v>516</v>
      </c>
      <c r="C9" s="16" t="s">
        <v>345</v>
      </c>
      <c r="D9" s="16" t="s">
        <v>650</v>
      </c>
      <c r="E9" s="17">
        <v>2118.6536999999998</v>
      </c>
      <c r="F9" s="17">
        <v>5701.4201000000003</v>
      </c>
      <c r="G9" s="17">
        <v>8475.8755000000001</v>
      </c>
      <c r="H9" s="17">
        <v>15105.0298</v>
      </c>
      <c r="I9" s="17">
        <v>11574.489299999999</v>
      </c>
      <c r="J9" s="17">
        <v>3031.5140000000001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7">
        <v>0</v>
      </c>
      <c r="R9" s="17">
        <v>0</v>
      </c>
      <c r="S9" s="17">
        <v>0</v>
      </c>
      <c r="T9" s="17">
        <v>0</v>
      </c>
      <c r="U9" s="17">
        <v>0</v>
      </c>
      <c r="V9" s="17">
        <v>0</v>
      </c>
      <c r="W9" s="17">
        <v>0</v>
      </c>
      <c r="X9" s="17">
        <v>0</v>
      </c>
      <c r="Y9" s="17">
        <v>0</v>
      </c>
      <c r="Z9" s="17">
        <v>0</v>
      </c>
      <c r="AA9" s="17">
        <v>0</v>
      </c>
      <c r="AB9" s="17">
        <v>0</v>
      </c>
      <c r="AC9" s="17">
        <v>0</v>
      </c>
      <c r="AD9" s="17">
        <v>0</v>
      </c>
      <c r="AE9" s="17">
        <v>0</v>
      </c>
      <c r="AF9" s="17">
        <v>0</v>
      </c>
      <c r="AG9" s="17">
        <v>0</v>
      </c>
      <c r="AH9" s="17">
        <v>0</v>
      </c>
      <c r="AI9" s="17">
        <v>0</v>
      </c>
      <c r="AJ9" s="17">
        <v>0</v>
      </c>
      <c r="AK9" s="17">
        <v>0</v>
      </c>
      <c r="AL9" s="17">
        <v>0</v>
      </c>
      <c r="AM9" s="17">
        <v>0</v>
      </c>
      <c r="AN9" s="17">
        <v>0</v>
      </c>
      <c r="AO9" s="17">
        <v>0</v>
      </c>
      <c r="AP9" s="18">
        <f t="shared" si="0"/>
        <v>46006.982400000001</v>
      </c>
    </row>
    <row r="10" spans="1:42" ht="15" customHeight="1" x14ac:dyDescent="0.2">
      <c r="A10" s="16" t="s">
        <v>515</v>
      </c>
      <c r="B10" s="16" t="s">
        <v>516</v>
      </c>
      <c r="C10" s="16" t="s">
        <v>346</v>
      </c>
      <c r="D10" s="16" t="s">
        <v>650</v>
      </c>
      <c r="E10" s="17">
        <v>721.85230000000001</v>
      </c>
      <c r="F10" s="17">
        <v>4396.7125999999998</v>
      </c>
      <c r="G10" s="17">
        <v>7614.5631999999996</v>
      </c>
      <c r="H10" s="17">
        <v>10064.0401</v>
      </c>
      <c r="I10" s="17">
        <v>11938.8251</v>
      </c>
      <c r="J10" s="17">
        <v>3160.9486000000002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0</v>
      </c>
      <c r="AC10" s="17">
        <v>0</v>
      </c>
      <c r="AD10" s="17">
        <v>0</v>
      </c>
      <c r="AE10" s="17">
        <v>0</v>
      </c>
      <c r="AF10" s="17">
        <v>0</v>
      </c>
      <c r="AG10" s="17">
        <v>0</v>
      </c>
      <c r="AH10" s="17">
        <v>0</v>
      </c>
      <c r="AI10" s="17">
        <v>0</v>
      </c>
      <c r="AJ10" s="17">
        <v>0</v>
      </c>
      <c r="AK10" s="17">
        <v>0</v>
      </c>
      <c r="AL10" s="17">
        <v>0</v>
      </c>
      <c r="AM10" s="17">
        <v>0</v>
      </c>
      <c r="AN10" s="17">
        <v>0</v>
      </c>
      <c r="AO10" s="17">
        <v>0</v>
      </c>
      <c r="AP10" s="18">
        <f t="shared" si="0"/>
        <v>37896.941900000005</v>
      </c>
    </row>
    <row r="11" spans="1:42" ht="15" customHeight="1" x14ac:dyDescent="0.2">
      <c r="A11" s="16" t="s">
        <v>515</v>
      </c>
      <c r="B11" s="16" t="s">
        <v>516</v>
      </c>
      <c r="C11" s="16" t="s">
        <v>347</v>
      </c>
      <c r="D11" s="16" t="s">
        <v>650</v>
      </c>
      <c r="E11" s="17">
        <v>3668.3980000000001</v>
      </c>
      <c r="F11" s="17">
        <v>7373.3154999999997</v>
      </c>
      <c r="G11" s="17">
        <v>9899.6321000000007</v>
      </c>
      <c r="H11" s="17">
        <v>11722.0237</v>
      </c>
      <c r="I11" s="17">
        <v>13042.0167</v>
      </c>
      <c r="J11" s="17">
        <v>3354.4953</v>
      </c>
      <c r="K11" s="17">
        <v>0</v>
      </c>
      <c r="L11" s="17">
        <v>0</v>
      </c>
      <c r="M11" s="17">
        <v>0</v>
      </c>
      <c r="N11" s="17">
        <v>0</v>
      </c>
      <c r="O11" s="17">
        <v>0</v>
      </c>
      <c r="P11" s="17">
        <v>0</v>
      </c>
      <c r="Q11" s="17">
        <v>0</v>
      </c>
      <c r="R11" s="17">
        <v>0</v>
      </c>
      <c r="S11" s="17">
        <v>0</v>
      </c>
      <c r="T11" s="17">
        <v>0</v>
      </c>
      <c r="U11" s="17">
        <v>0</v>
      </c>
      <c r="V11" s="17">
        <v>0</v>
      </c>
      <c r="W11" s="17">
        <v>0</v>
      </c>
      <c r="X11" s="17">
        <v>0</v>
      </c>
      <c r="Y11" s="17">
        <v>0</v>
      </c>
      <c r="Z11" s="17">
        <v>0</v>
      </c>
      <c r="AA11" s="17">
        <v>0</v>
      </c>
      <c r="AB11" s="17">
        <v>0</v>
      </c>
      <c r="AC11" s="17">
        <v>0</v>
      </c>
      <c r="AD11" s="17">
        <v>0</v>
      </c>
      <c r="AE11" s="17">
        <v>0</v>
      </c>
      <c r="AF11" s="17">
        <v>0</v>
      </c>
      <c r="AG11" s="17">
        <v>0</v>
      </c>
      <c r="AH11" s="17">
        <v>0</v>
      </c>
      <c r="AI11" s="17">
        <v>0</v>
      </c>
      <c r="AJ11" s="17">
        <v>0</v>
      </c>
      <c r="AK11" s="17">
        <v>0</v>
      </c>
      <c r="AL11" s="17">
        <v>0</v>
      </c>
      <c r="AM11" s="17">
        <v>0</v>
      </c>
      <c r="AN11" s="17">
        <v>0</v>
      </c>
      <c r="AO11" s="17">
        <v>0</v>
      </c>
      <c r="AP11" s="18">
        <f t="shared" si="0"/>
        <v>49059.881300000001</v>
      </c>
    </row>
    <row r="12" spans="1:42" ht="15" customHeight="1" x14ac:dyDescent="0.2">
      <c r="A12" s="16" t="s">
        <v>515</v>
      </c>
      <c r="B12" s="16" t="s">
        <v>516</v>
      </c>
      <c r="C12" s="16" t="s">
        <v>367</v>
      </c>
      <c r="D12" s="16" t="s">
        <v>650</v>
      </c>
      <c r="E12" s="17">
        <v>237.017</v>
      </c>
      <c r="F12" s="17">
        <v>654.64139999999998</v>
      </c>
      <c r="G12" s="17">
        <v>1000.1707</v>
      </c>
      <c r="H12" s="17">
        <v>1283.6044999999999</v>
      </c>
      <c r="I12" s="17">
        <v>1518.037</v>
      </c>
      <c r="J12" s="17">
        <v>403.26080000000002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  <c r="X12" s="17">
        <v>0</v>
      </c>
      <c r="Y12" s="17">
        <v>0</v>
      </c>
      <c r="Z12" s="17">
        <v>0</v>
      </c>
      <c r="AA12" s="17">
        <v>0</v>
      </c>
      <c r="AB12" s="17">
        <v>0</v>
      </c>
      <c r="AC12" s="17">
        <v>0</v>
      </c>
      <c r="AD12" s="17">
        <v>0</v>
      </c>
      <c r="AE12" s="17">
        <v>0</v>
      </c>
      <c r="AF12" s="17">
        <v>0</v>
      </c>
      <c r="AG12" s="17">
        <v>0</v>
      </c>
      <c r="AH12" s="17">
        <v>0</v>
      </c>
      <c r="AI12" s="17">
        <v>0</v>
      </c>
      <c r="AJ12" s="17">
        <v>0</v>
      </c>
      <c r="AK12" s="17">
        <v>0</v>
      </c>
      <c r="AL12" s="17">
        <v>0</v>
      </c>
      <c r="AM12" s="17">
        <v>0</v>
      </c>
      <c r="AN12" s="17">
        <v>0</v>
      </c>
      <c r="AO12" s="17">
        <v>0</v>
      </c>
      <c r="AP12" s="18">
        <f t="shared" si="0"/>
        <v>5096.7313999999997</v>
      </c>
    </row>
    <row r="13" spans="1:42" ht="15" customHeight="1" x14ac:dyDescent="0.2">
      <c r="A13" s="16" t="s">
        <v>515</v>
      </c>
      <c r="B13" s="16" t="s">
        <v>516</v>
      </c>
      <c r="C13" s="16" t="s">
        <v>409</v>
      </c>
      <c r="D13" s="16" t="s">
        <v>650</v>
      </c>
      <c r="E13" s="17">
        <v>778.99590000000001</v>
      </c>
      <c r="F13" s="17">
        <v>2097.3404999999998</v>
      </c>
      <c r="G13" s="17">
        <v>3121.6459</v>
      </c>
      <c r="H13" s="17">
        <v>3909.4630999999999</v>
      </c>
      <c r="I13" s="17">
        <v>4519.8348999999998</v>
      </c>
      <c r="J13" s="17">
        <v>1184.999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  <c r="AE13" s="17">
        <v>0</v>
      </c>
      <c r="AF13" s="17">
        <v>0</v>
      </c>
      <c r="AG13" s="17">
        <v>0</v>
      </c>
      <c r="AH13" s="17">
        <v>0</v>
      </c>
      <c r="AI13" s="17">
        <v>0</v>
      </c>
      <c r="AJ13" s="17">
        <v>0</v>
      </c>
      <c r="AK13" s="17">
        <v>0</v>
      </c>
      <c r="AL13" s="17">
        <v>0</v>
      </c>
      <c r="AM13" s="17">
        <v>0</v>
      </c>
      <c r="AN13" s="17">
        <v>0</v>
      </c>
      <c r="AO13" s="17">
        <v>0</v>
      </c>
      <c r="AP13" s="18">
        <f t="shared" si="0"/>
        <v>15612.2793</v>
      </c>
    </row>
    <row r="14" spans="1:42" ht="15" customHeight="1" x14ac:dyDescent="0.2">
      <c r="A14" s="16" t="s">
        <v>515</v>
      </c>
      <c r="B14" s="16" t="s">
        <v>516</v>
      </c>
      <c r="C14" s="16" t="s">
        <v>410</v>
      </c>
      <c r="D14" s="16" t="s">
        <v>650</v>
      </c>
      <c r="E14" s="17">
        <v>1750.972</v>
      </c>
      <c r="F14" s="17">
        <v>4593.5150999999996</v>
      </c>
      <c r="G14" s="17">
        <v>6937.5659999999998</v>
      </c>
      <c r="H14" s="17">
        <v>8765.4771000000001</v>
      </c>
      <c r="I14" s="17">
        <v>10166.596</v>
      </c>
      <c r="J14" s="17">
        <v>2667.1848</v>
      </c>
      <c r="K14" s="17">
        <v>0</v>
      </c>
      <c r="L14" s="17">
        <v>0</v>
      </c>
      <c r="M14" s="17">
        <v>0</v>
      </c>
      <c r="N14" s="17">
        <v>0</v>
      </c>
      <c r="O14" s="17">
        <v>0</v>
      </c>
      <c r="P14" s="17">
        <v>0</v>
      </c>
      <c r="Q14" s="17">
        <v>0</v>
      </c>
      <c r="R14" s="17">
        <v>0</v>
      </c>
      <c r="S14" s="17">
        <v>0</v>
      </c>
      <c r="T14" s="17">
        <v>0</v>
      </c>
      <c r="U14" s="17">
        <v>0</v>
      </c>
      <c r="V14" s="17">
        <v>0</v>
      </c>
      <c r="W14" s="17">
        <v>0</v>
      </c>
      <c r="X14" s="17">
        <v>0</v>
      </c>
      <c r="Y14" s="17">
        <v>0</v>
      </c>
      <c r="Z14" s="17">
        <v>0</v>
      </c>
      <c r="AA14" s="17">
        <v>0</v>
      </c>
      <c r="AB14" s="17">
        <v>0</v>
      </c>
      <c r="AC14" s="17">
        <v>0</v>
      </c>
      <c r="AD14" s="17">
        <v>0</v>
      </c>
      <c r="AE14" s="17">
        <v>0</v>
      </c>
      <c r="AF14" s="17">
        <v>0</v>
      </c>
      <c r="AG14" s="17">
        <v>0</v>
      </c>
      <c r="AH14" s="17">
        <v>0</v>
      </c>
      <c r="AI14" s="17">
        <v>0</v>
      </c>
      <c r="AJ14" s="17">
        <v>0</v>
      </c>
      <c r="AK14" s="17">
        <v>0</v>
      </c>
      <c r="AL14" s="17">
        <v>0</v>
      </c>
      <c r="AM14" s="17">
        <v>0</v>
      </c>
      <c r="AN14" s="17">
        <v>0</v>
      </c>
      <c r="AO14" s="17">
        <v>0</v>
      </c>
      <c r="AP14" s="18">
        <f t="shared" si="0"/>
        <v>34881.311000000002</v>
      </c>
    </row>
    <row r="15" spans="1:42" ht="15" customHeight="1" x14ac:dyDescent="0.2">
      <c r="A15" s="16" t="s">
        <v>515</v>
      </c>
      <c r="B15" s="16" t="s">
        <v>516</v>
      </c>
      <c r="C15" s="16" t="s">
        <v>411</v>
      </c>
      <c r="D15" s="16" t="s">
        <v>650</v>
      </c>
      <c r="E15" s="17">
        <v>397.94209999999998</v>
      </c>
      <c r="F15" s="17">
        <v>1058.4876999999999</v>
      </c>
      <c r="G15" s="17">
        <v>1890.2094999999999</v>
      </c>
      <c r="H15" s="17">
        <v>3382.3899000000001</v>
      </c>
      <c r="I15" s="17">
        <v>1849.6141</v>
      </c>
      <c r="J15" s="17">
        <v>485.12740000000002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  <c r="AE15" s="17">
        <v>0</v>
      </c>
      <c r="AF15" s="17">
        <v>0</v>
      </c>
      <c r="AG15" s="17">
        <v>0</v>
      </c>
      <c r="AH15" s="17">
        <v>0</v>
      </c>
      <c r="AI15" s="17">
        <v>0</v>
      </c>
      <c r="AJ15" s="17">
        <v>0</v>
      </c>
      <c r="AK15" s="17">
        <v>0</v>
      </c>
      <c r="AL15" s="17">
        <v>0</v>
      </c>
      <c r="AM15" s="17">
        <v>0</v>
      </c>
      <c r="AN15" s="17">
        <v>0</v>
      </c>
      <c r="AO15" s="17">
        <v>0</v>
      </c>
      <c r="AP15" s="18">
        <f t="shared" si="0"/>
        <v>9063.7706999999991</v>
      </c>
    </row>
    <row r="16" spans="1:42" ht="15" customHeight="1" x14ac:dyDescent="0.2">
      <c r="A16" s="16" t="s">
        <v>515</v>
      </c>
      <c r="B16" s="16" t="s">
        <v>516</v>
      </c>
      <c r="C16" s="16" t="s">
        <v>419</v>
      </c>
      <c r="D16" s="16" t="s">
        <v>650</v>
      </c>
      <c r="E16" s="17">
        <v>89.548500000000004</v>
      </c>
      <c r="F16" s="17">
        <v>244.65260000000001</v>
      </c>
      <c r="G16" s="17">
        <v>370.01960000000003</v>
      </c>
      <c r="H16" s="17">
        <v>470.9332</v>
      </c>
      <c r="I16" s="17">
        <v>1676.7429999999999</v>
      </c>
      <c r="J16" s="17">
        <v>1772.8420000000001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  <c r="AE16" s="17">
        <v>0</v>
      </c>
      <c r="AF16" s="17">
        <v>0</v>
      </c>
      <c r="AG16" s="17">
        <v>0</v>
      </c>
      <c r="AH16" s="17">
        <v>0</v>
      </c>
      <c r="AI16" s="17">
        <v>0</v>
      </c>
      <c r="AJ16" s="17">
        <v>0</v>
      </c>
      <c r="AK16" s="17">
        <v>0</v>
      </c>
      <c r="AL16" s="17">
        <v>0</v>
      </c>
      <c r="AM16" s="17">
        <v>0</v>
      </c>
      <c r="AN16" s="17">
        <v>0</v>
      </c>
      <c r="AO16" s="17">
        <v>0</v>
      </c>
      <c r="AP16" s="18">
        <f t="shared" si="0"/>
        <v>4624.7389000000003</v>
      </c>
    </row>
    <row r="17" spans="1:42" ht="15" customHeight="1" x14ac:dyDescent="0.2">
      <c r="A17" s="16" t="s">
        <v>515</v>
      </c>
      <c r="B17" s="16" t="s">
        <v>517</v>
      </c>
      <c r="C17" s="16" t="s">
        <v>365</v>
      </c>
      <c r="D17" s="16" t="s">
        <v>650</v>
      </c>
      <c r="E17" s="17">
        <v>6808.4014999999999</v>
      </c>
      <c r="F17" s="17">
        <v>38443.3557</v>
      </c>
      <c r="G17" s="17">
        <v>0</v>
      </c>
      <c r="H17" s="17">
        <v>0</v>
      </c>
      <c r="I17" s="17">
        <v>0</v>
      </c>
      <c r="J17" s="17">
        <v>0</v>
      </c>
      <c r="K17" s="17">
        <v>0</v>
      </c>
      <c r="L17" s="17">
        <v>0</v>
      </c>
      <c r="M17" s="17">
        <v>0</v>
      </c>
      <c r="N17" s="17">
        <v>0</v>
      </c>
      <c r="O17" s="17">
        <v>0</v>
      </c>
      <c r="P17" s="17">
        <v>0</v>
      </c>
      <c r="Q17" s="17">
        <v>0</v>
      </c>
      <c r="R17" s="17">
        <v>0</v>
      </c>
      <c r="S17" s="17">
        <v>0</v>
      </c>
      <c r="T17" s="17">
        <v>0</v>
      </c>
      <c r="U17" s="17">
        <v>0</v>
      </c>
      <c r="V17" s="17">
        <v>0</v>
      </c>
      <c r="W17" s="17">
        <v>0</v>
      </c>
      <c r="X17" s="17">
        <v>0</v>
      </c>
      <c r="Y17" s="17">
        <v>0</v>
      </c>
      <c r="Z17" s="17">
        <v>0</v>
      </c>
      <c r="AA17" s="17">
        <v>0</v>
      </c>
      <c r="AB17" s="17">
        <v>0</v>
      </c>
      <c r="AC17" s="17">
        <v>0</v>
      </c>
      <c r="AD17" s="17">
        <v>0</v>
      </c>
      <c r="AE17" s="17">
        <v>0</v>
      </c>
      <c r="AF17" s="17">
        <v>0</v>
      </c>
      <c r="AG17" s="17">
        <v>0</v>
      </c>
      <c r="AH17" s="17">
        <v>0</v>
      </c>
      <c r="AI17" s="17">
        <v>0</v>
      </c>
      <c r="AJ17" s="17">
        <v>0</v>
      </c>
      <c r="AK17" s="17">
        <v>0</v>
      </c>
      <c r="AL17" s="17">
        <v>0</v>
      </c>
      <c r="AM17" s="17">
        <v>0</v>
      </c>
      <c r="AN17" s="17">
        <v>0</v>
      </c>
      <c r="AO17" s="17">
        <v>0</v>
      </c>
      <c r="AP17" s="18">
        <f t="shared" si="0"/>
        <v>45251.7572</v>
      </c>
    </row>
    <row r="18" spans="1:42" ht="15" customHeight="1" x14ac:dyDescent="0.2">
      <c r="A18" s="16" t="s">
        <v>518</v>
      </c>
      <c r="B18" s="16" t="s">
        <v>519</v>
      </c>
      <c r="C18" s="16" t="s">
        <v>156</v>
      </c>
      <c r="D18" s="16" t="s">
        <v>650</v>
      </c>
      <c r="E18" s="17">
        <v>45655</v>
      </c>
      <c r="F18" s="17">
        <v>50082</v>
      </c>
      <c r="G18" s="17">
        <v>73844</v>
      </c>
      <c r="H18" s="17">
        <v>120893</v>
      </c>
      <c r="I18" s="17">
        <v>247313</v>
      </c>
      <c r="J18" s="17">
        <v>201173</v>
      </c>
      <c r="K18" s="17">
        <v>140143</v>
      </c>
      <c r="L18" s="17">
        <v>99897</v>
      </c>
      <c r="M18" s="17">
        <v>73050</v>
      </c>
      <c r="N18" s="17">
        <v>61151</v>
      </c>
      <c r="O18" s="17">
        <v>82901</v>
      </c>
      <c r="P18" s="17">
        <v>61089</v>
      </c>
      <c r="Q18" s="17">
        <v>40807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  <c r="AE18" s="17">
        <v>0</v>
      </c>
      <c r="AF18" s="17">
        <v>0</v>
      </c>
      <c r="AG18" s="17">
        <v>0</v>
      </c>
      <c r="AH18" s="17">
        <v>0</v>
      </c>
      <c r="AI18" s="17">
        <v>0</v>
      </c>
      <c r="AJ18" s="17">
        <v>0</v>
      </c>
      <c r="AK18" s="17">
        <v>0</v>
      </c>
      <c r="AL18" s="17">
        <v>0</v>
      </c>
      <c r="AM18" s="17">
        <v>0</v>
      </c>
      <c r="AN18" s="17">
        <v>0</v>
      </c>
      <c r="AO18" s="17">
        <v>0</v>
      </c>
      <c r="AP18" s="18">
        <f t="shared" si="0"/>
        <v>1297998</v>
      </c>
    </row>
    <row r="19" spans="1:42" ht="15" customHeight="1" x14ac:dyDescent="0.2">
      <c r="A19" s="16" t="s">
        <v>518</v>
      </c>
      <c r="B19" s="16" t="s">
        <v>519</v>
      </c>
      <c r="C19" s="16" t="s">
        <v>237</v>
      </c>
      <c r="D19" s="16" t="s">
        <v>650</v>
      </c>
      <c r="E19" s="17">
        <v>24551</v>
      </c>
      <c r="F19" s="17">
        <v>46141</v>
      </c>
      <c r="G19" s="17">
        <v>64882</v>
      </c>
      <c r="H19" s="17">
        <v>62587</v>
      </c>
      <c r="I19" s="17">
        <v>52583</v>
      </c>
      <c r="J19" s="17">
        <v>44088</v>
      </c>
      <c r="K19" s="17">
        <v>37234</v>
      </c>
      <c r="L19" s="17">
        <v>34120</v>
      </c>
      <c r="M19" s="17">
        <v>29746</v>
      </c>
      <c r="N19" s="17">
        <v>45000</v>
      </c>
      <c r="O19" s="17">
        <v>53799</v>
      </c>
      <c r="P19" s="17">
        <v>43017</v>
      </c>
      <c r="Q19" s="17">
        <v>30933</v>
      </c>
      <c r="R19" s="17">
        <v>24163</v>
      </c>
      <c r="S19" s="17">
        <v>19662</v>
      </c>
      <c r="T19" s="17">
        <v>16292</v>
      </c>
      <c r="U19" s="17">
        <v>13765</v>
      </c>
      <c r="V19" s="17">
        <v>33589</v>
      </c>
      <c r="W19" s="17">
        <v>29588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17">
        <v>0</v>
      </c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8">
        <f t="shared" si="0"/>
        <v>705740</v>
      </c>
    </row>
    <row r="20" spans="1:42" ht="15" customHeight="1" x14ac:dyDescent="0.2">
      <c r="A20" s="16" t="s">
        <v>518</v>
      </c>
      <c r="B20" s="16" t="s">
        <v>520</v>
      </c>
      <c r="C20" s="16" t="s">
        <v>226</v>
      </c>
      <c r="D20" s="16" t="s">
        <v>650</v>
      </c>
      <c r="E20" s="17">
        <v>37334</v>
      </c>
      <c r="F20" s="17">
        <v>32690</v>
      </c>
      <c r="G20" s="17">
        <v>39114</v>
      </c>
      <c r="H20" s="17">
        <v>35118</v>
      </c>
      <c r="I20" s="17">
        <v>30809</v>
      </c>
      <c r="J20" s="17">
        <v>26927</v>
      </c>
      <c r="K20" s="17">
        <v>23633</v>
      </c>
      <c r="L20" s="17">
        <v>21874</v>
      </c>
      <c r="M20" s="17">
        <v>18324</v>
      </c>
      <c r="N20" s="17">
        <v>12952</v>
      </c>
      <c r="O20" s="17">
        <v>29090</v>
      </c>
      <c r="P20" s="17">
        <v>38092</v>
      </c>
      <c r="Q20" s="17">
        <v>24655</v>
      </c>
      <c r="R20" s="17">
        <v>16713</v>
      </c>
      <c r="S20" s="17">
        <v>30566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17">
        <v>0</v>
      </c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8">
        <f t="shared" si="0"/>
        <v>417891</v>
      </c>
    </row>
    <row r="21" spans="1:42" ht="15" customHeight="1" x14ac:dyDescent="0.2">
      <c r="A21" s="16" t="s">
        <v>518</v>
      </c>
      <c r="B21" s="16" t="s">
        <v>520</v>
      </c>
      <c r="C21" s="16" t="s">
        <v>286</v>
      </c>
      <c r="D21" s="16" t="s">
        <v>650</v>
      </c>
      <c r="E21" s="17">
        <v>66657</v>
      </c>
      <c r="F21" s="17">
        <v>126318</v>
      </c>
      <c r="G21" s="17">
        <v>91161</v>
      </c>
      <c r="H21" s="17">
        <v>95261</v>
      </c>
      <c r="I21" s="17">
        <v>79450</v>
      </c>
      <c r="J21" s="17">
        <v>56329</v>
      </c>
      <c r="K21" s="17">
        <v>46049</v>
      </c>
      <c r="L21" s="17">
        <v>36847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17">
        <v>0</v>
      </c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8">
        <f t="shared" si="0"/>
        <v>598072</v>
      </c>
    </row>
    <row r="22" spans="1:42" ht="15" customHeight="1" x14ac:dyDescent="0.2">
      <c r="A22" s="16" t="s">
        <v>518</v>
      </c>
      <c r="B22" s="16" t="s">
        <v>520</v>
      </c>
      <c r="C22" s="16" t="s">
        <v>289</v>
      </c>
      <c r="D22" s="16" t="s">
        <v>650</v>
      </c>
      <c r="E22" s="17">
        <v>11487</v>
      </c>
      <c r="F22" s="17">
        <v>18219</v>
      </c>
      <c r="G22" s="17">
        <v>50261</v>
      </c>
      <c r="H22" s="17">
        <v>62669</v>
      </c>
      <c r="I22" s="17">
        <v>42291</v>
      </c>
      <c r="J22" s="17">
        <v>25826</v>
      </c>
      <c r="K22" s="17">
        <v>17301</v>
      </c>
      <c r="L22" s="17">
        <v>15733</v>
      </c>
      <c r="M22" s="17">
        <v>72438</v>
      </c>
      <c r="N22" s="17">
        <v>45434</v>
      </c>
      <c r="O22" s="17">
        <v>31850</v>
      </c>
      <c r="P22" s="17">
        <v>24612</v>
      </c>
      <c r="Q22" s="17">
        <v>43462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17">
        <v>0</v>
      </c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8">
        <f t="shared" si="0"/>
        <v>461583</v>
      </c>
    </row>
    <row r="23" spans="1:42" ht="15" customHeight="1" x14ac:dyDescent="0.2">
      <c r="A23" s="16" t="s">
        <v>518</v>
      </c>
      <c r="B23" s="16" t="s">
        <v>520</v>
      </c>
      <c r="C23" s="16" t="s">
        <v>358</v>
      </c>
      <c r="D23" s="16" t="s">
        <v>650</v>
      </c>
      <c r="E23" s="17">
        <v>10651</v>
      </c>
      <c r="F23" s="17">
        <v>11362</v>
      </c>
      <c r="G23" s="17">
        <v>63234</v>
      </c>
      <c r="H23" s="17">
        <v>52425</v>
      </c>
      <c r="I23" s="17">
        <v>35848</v>
      </c>
      <c r="J23" s="17">
        <v>24382</v>
      </c>
      <c r="K23" s="17">
        <v>16499</v>
      </c>
      <c r="L23" s="17">
        <v>11140</v>
      </c>
      <c r="M23" s="17">
        <v>7462</v>
      </c>
      <c r="N23" s="17">
        <v>6194</v>
      </c>
      <c r="O23" s="17">
        <v>4826</v>
      </c>
      <c r="P23" s="17">
        <v>3072</v>
      </c>
      <c r="Q23" s="17">
        <v>48218</v>
      </c>
      <c r="R23" s="17">
        <v>35831</v>
      </c>
      <c r="S23" s="17">
        <v>26564</v>
      </c>
      <c r="T23" s="17">
        <v>19601</v>
      </c>
      <c r="U23" s="17">
        <v>14450</v>
      </c>
      <c r="V23" s="17">
        <v>10549</v>
      </c>
      <c r="W23" s="17">
        <v>21570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17">
        <v>0</v>
      </c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8">
        <f t="shared" si="0"/>
        <v>423878</v>
      </c>
    </row>
    <row r="24" spans="1:42" ht="15" customHeight="1" x14ac:dyDescent="0.2">
      <c r="A24" s="16" t="s">
        <v>518</v>
      </c>
      <c r="B24" s="16" t="s">
        <v>300</v>
      </c>
      <c r="C24" s="16" t="s">
        <v>300</v>
      </c>
      <c r="D24" s="16" t="s">
        <v>650</v>
      </c>
      <c r="E24" s="17">
        <v>693</v>
      </c>
      <c r="F24" s="17">
        <v>38478</v>
      </c>
      <c r="G24" s="17">
        <v>39760</v>
      </c>
      <c r="H24" s="17">
        <v>29997</v>
      </c>
      <c r="I24" s="17">
        <v>22731</v>
      </c>
      <c r="J24" s="17">
        <v>17188</v>
      </c>
      <c r="K24" s="17">
        <v>13129</v>
      </c>
      <c r="L24" s="17">
        <v>10132</v>
      </c>
      <c r="M24" s="17">
        <v>7955</v>
      </c>
      <c r="N24" s="17">
        <v>6319</v>
      </c>
      <c r="O24" s="17">
        <v>16885</v>
      </c>
      <c r="P24" s="17">
        <v>14136</v>
      </c>
      <c r="Q24" s="17">
        <v>0</v>
      </c>
      <c r="R24" s="17">
        <v>0</v>
      </c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17">
        <v>0</v>
      </c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8">
        <f t="shared" si="0"/>
        <v>217403</v>
      </c>
    </row>
    <row r="25" spans="1:42" ht="15" customHeight="1" x14ac:dyDescent="0.2">
      <c r="A25" s="16" t="s">
        <v>518</v>
      </c>
      <c r="B25" s="16" t="s">
        <v>521</v>
      </c>
      <c r="C25" s="16" t="s">
        <v>148</v>
      </c>
      <c r="D25" s="16" t="s">
        <v>650</v>
      </c>
      <c r="E25" s="17">
        <v>27942</v>
      </c>
      <c r="F25" s="17">
        <v>36507</v>
      </c>
      <c r="G25" s="17">
        <v>39379</v>
      </c>
      <c r="H25" s="17">
        <v>39053</v>
      </c>
      <c r="I25" s="17">
        <v>37231</v>
      </c>
      <c r="J25" s="17">
        <v>34471</v>
      </c>
      <c r="K25" s="17">
        <v>86809</v>
      </c>
      <c r="L25" s="17">
        <v>70931</v>
      </c>
      <c r="M25" s="17">
        <v>58647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17">
        <v>0</v>
      </c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8">
        <f t="shared" si="0"/>
        <v>430970</v>
      </c>
    </row>
    <row r="26" spans="1:42" ht="15" customHeight="1" x14ac:dyDescent="0.2">
      <c r="A26" s="16" t="s">
        <v>518</v>
      </c>
      <c r="B26" s="16" t="s">
        <v>521</v>
      </c>
      <c r="C26" s="16" t="s">
        <v>404</v>
      </c>
      <c r="D26" s="16" t="s">
        <v>650</v>
      </c>
      <c r="E26" s="17">
        <v>152965</v>
      </c>
      <c r="F26" s="17">
        <v>153205</v>
      </c>
      <c r="G26" s="17">
        <v>136610</v>
      </c>
      <c r="H26" s="17">
        <v>203019</v>
      </c>
      <c r="I26" s="17">
        <v>194456</v>
      </c>
      <c r="J26" s="17">
        <v>156584</v>
      </c>
      <c r="K26" s="17">
        <v>128247</v>
      </c>
      <c r="L26" s="17">
        <v>168082</v>
      </c>
      <c r="M26" s="17">
        <v>160760</v>
      </c>
      <c r="N26" s="17">
        <v>210510</v>
      </c>
      <c r="O26" s="17">
        <v>247748</v>
      </c>
      <c r="P26" s="17">
        <v>345246</v>
      </c>
      <c r="Q26" s="17">
        <v>375181</v>
      </c>
      <c r="R26" s="17">
        <v>271124</v>
      </c>
      <c r="S26" s="17">
        <v>200651</v>
      </c>
      <c r="T26" s="17">
        <v>151975</v>
      </c>
      <c r="U26" s="17">
        <v>115867</v>
      </c>
      <c r="V26" s="17">
        <v>91589</v>
      </c>
      <c r="W26" s="17">
        <v>154800</v>
      </c>
      <c r="X26" s="17">
        <v>0</v>
      </c>
      <c r="Y26" s="17">
        <v>0</v>
      </c>
      <c r="Z26" s="17">
        <v>0</v>
      </c>
      <c r="AA26" s="17">
        <v>0</v>
      </c>
      <c r="AB26" s="17">
        <v>0</v>
      </c>
      <c r="AC26" s="17">
        <v>0</v>
      </c>
      <c r="AD26" s="17">
        <v>0</v>
      </c>
      <c r="AE26" s="17">
        <v>0</v>
      </c>
      <c r="AF26" s="17">
        <v>0</v>
      </c>
      <c r="AG26" s="17">
        <v>0</v>
      </c>
      <c r="AH26" s="17">
        <v>0</v>
      </c>
      <c r="AI26" s="17">
        <v>0</v>
      </c>
      <c r="AJ26" s="17">
        <v>0</v>
      </c>
      <c r="AK26" s="17">
        <v>0</v>
      </c>
      <c r="AL26" s="17">
        <v>0</v>
      </c>
      <c r="AM26" s="17">
        <v>0</v>
      </c>
      <c r="AN26" s="17">
        <v>0</v>
      </c>
      <c r="AO26" s="17">
        <v>0</v>
      </c>
      <c r="AP26" s="18">
        <f t="shared" si="0"/>
        <v>3618619</v>
      </c>
    </row>
    <row r="27" spans="1:42" ht="15" customHeight="1" x14ac:dyDescent="0.2">
      <c r="A27" s="16" t="s">
        <v>522</v>
      </c>
      <c r="B27" s="16" t="s">
        <v>130</v>
      </c>
      <c r="C27" s="16" t="s">
        <v>130</v>
      </c>
      <c r="D27" s="16" t="s">
        <v>650</v>
      </c>
      <c r="E27" s="17">
        <v>80192.572100000005</v>
      </c>
      <c r="F27" s="17">
        <v>178512.45310000001</v>
      </c>
      <c r="G27" s="17">
        <v>302958.45059999998</v>
      </c>
      <c r="H27" s="17">
        <v>303772.69079999998</v>
      </c>
      <c r="I27" s="17">
        <v>305046.9547</v>
      </c>
      <c r="J27" s="17">
        <v>268199.587</v>
      </c>
      <c r="K27" s="17">
        <v>234190.7648</v>
      </c>
      <c r="L27" s="17">
        <v>187228.45250000001</v>
      </c>
      <c r="M27" s="17">
        <v>160116.6974</v>
      </c>
      <c r="N27" s="17">
        <v>551904.14870000002</v>
      </c>
      <c r="O27" s="17">
        <v>0</v>
      </c>
      <c r="P27" s="17">
        <v>0</v>
      </c>
      <c r="Q27" s="17">
        <v>0</v>
      </c>
      <c r="R27" s="17">
        <v>0</v>
      </c>
      <c r="S27" s="17">
        <v>0</v>
      </c>
      <c r="T27" s="17">
        <v>0</v>
      </c>
      <c r="U27" s="17">
        <v>0</v>
      </c>
      <c r="V27" s="17">
        <v>0</v>
      </c>
      <c r="W27" s="17">
        <v>0</v>
      </c>
      <c r="X27" s="17">
        <v>0</v>
      </c>
      <c r="Y27" s="17">
        <v>0</v>
      </c>
      <c r="Z27" s="17">
        <v>0</v>
      </c>
      <c r="AA27" s="17">
        <v>0</v>
      </c>
      <c r="AB27" s="17">
        <v>0</v>
      </c>
      <c r="AC27" s="17">
        <v>0</v>
      </c>
      <c r="AD27" s="17">
        <v>0</v>
      </c>
      <c r="AE27" s="17">
        <v>0</v>
      </c>
      <c r="AF27" s="17">
        <v>0</v>
      </c>
      <c r="AG27" s="17">
        <v>0</v>
      </c>
      <c r="AH27" s="17">
        <v>0</v>
      </c>
      <c r="AI27" s="17">
        <v>0</v>
      </c>
      <c r="AJ27" s="17">
        <v>0</v>
      </c>
      <c r="AK27" s="17">
        <v>0</v>
      </c>
      <c r="AL27" s="17">
        <v>0</v>
      </c>
      <c r="AM27" s="17">
        <v>0</v>
      </c>
      <c r="AN27" s="17">
        <v>0</v>
      </c>
      <c r="AO27" s="17">
        <v>0</v>
      </c>
      <c r="AP27" s="18">
        <f t="shared" si="0"/>
        <v>2572122.7717000004</v>
      </c>
    </row>
    <row r="28" spans="1:42" ht="15" customHeight="1" x14ac:dyDescent="0.2">
      <c r="A28" s="16" t="s">
        <v>522</v>
      </c>
      <c r="B28" s="16" t="s">
        <v>130</v>
      </c>
      <c r="C28" s="16" t="s">
        <v>394</v>
      </c>
      <c r="D28" s="16" t="s">
        <v>650</v>
      </c>
      <c r="E28" s="17">
        <v>24099.5825</v>
      </c>
      <c r="F28" s="17">
        <v>58144.703800000003</v>
      </c>
      <c r="G28" s="17">
        <v>61684.932099999998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  <c r="AE28" s="17">
        <v>0</v>
      </c>
      <c r="AF28" s="17">
        <v>0</v>
      </c>
      <c r="AG28" s="17">
        <v>0</v>
      </c>
      <c r="AH28" s="17">
        <v>0</v>
      </c>
      <c r="AI28" s="17">
        <v>0</v>
      </c>
      <c r="AJ28" s="17">
        <v>0</v>
      </c>
      <c r="AK28" s="17">
        <v>0</v>
      </c>
      <c r="AL28" s="17">
        <v>0</v>
      </c>
      <c r="AM28" s="17">
        <v>0</v>
      </c>
      <c r="AN28" s="17">
        <v>0</v>
      </c>
      <c r="AO28" s="17">
        <v>0</v>
      </c>
      <c r="AP28" s="18">
        <f t="shared" si="0"/>
        <v>143929.21840000001</v>
      </c>
    </row>
    <row r="29" spans="1:42" ht="15" customHeight="1" x14ac:dyDescent="0.2">
      <c r="A29" s="16" t="s">
        <v>522</v>
      </c>
      <c r="B29" s="16" t="s">
        <v>523</v>
      </c>
      <c r="C29" s="16" t="s">
        <v>125</v>
      </c>
      <c r="D29" s="16" t="s">
        <v>650</v>
      </c>
      <c r="E29" s="17">
        <v>58036</v>
      </c>
      <c r="F29" s="17">
        <v>37391</v>
      </c>
      <c r="G29" s="17">
        <v>29213</v>
      </c>
      <c r="H29" s="17">
        <v>22869</v>
      </c>
      <c r="I29" s="17">
        <v>17946</v>
      </c>
      <c r="J29" s="17">
        <v>34357</v>
      </c>
      <c r="K29" s="17">
        <v>0</v>
      </c>
      <c r="L29" s="17">
        <v>0</v>
      </c>
      <c r="M29" s="17">
        <v>0</v>
      </c>
      <c r="N29" s="17">
        <v>0</v>
      </c>
      <c r="O29" s="17">
        <v>0</v>
      </c>
      <c r="P29" s="17">
        <v>0</v>
      </c>
      <c r="Q29" s="17">
        <v>0</v>
      </c>
      <c r="R29" s="17">
        <v>0</v>
      </c>
      <c r="S29" s="17">
        <v>0</v>
      </c>
      <c r="T29" s="17">
        <v>0</v>
      </c>
      <c r="U29" s="17">
        <v>0</v>
      </c>
      <c r="V29" s="17">
        <v>0</v>
      </c>
      <c r="W29" s="17">
        <v>0</v>
      </c>
      <c r="X29" s="17">
        <v>0</v>
      </c>
      <c r="Y29" s="17">
        <v>0</v>
      </c>
      <c r="Z29" s="17">
        <v>0</v>
      </c>
      <c r="AA29" s="17">
        <v>0</v>
      </c>
      <c r="AB29" s="17">
        <v>0</v>
      </c>
      <c r="AC29" s="17">
        <v>0</v>
      </c>
      <c r="AD29" s="17">
        <v>0</v>
      </c>
      <c r="AE29" s="17">
        <v>0</v>
      </c>
      <c r="AF29" s="17">
        <v>0</v>
      </c>
      <c r="AG29" s="17">
        <v>0</v>
      </c>
      <c r="AH29" s="17">
        <v>0</v>
      </c>
      <c r="AI29" s="17">
        <v>0</v>
      </c>
      <c r="AJ29" s="17">
        <v>0</v>
      </c>
      <c r="AK29" s="17">
        <v>0</v>
      </c>
      <c r="AL29" s="17">
        <v>0</v>
      </c>
      <c r="AM29" s="17">
        <v>0</v>
      </c>
      <c r="AN29" s="17">
        <v>0</v>
      </c>
      <c r="AO29" s="17">
        <v>0</v>
      </c>
      <c r="AP29" s="18">
        <f t="shared" si="0"/>
        <v>199812</v>
      </c>
    </row>
    <row r="30" spans="1:42" ht="15" customHeight="1" x14ac:dyDescent="0.2">
      <c r="A30" s="16" t="s">
        <v>522</v>
      </c>
      <c r="B30" s="16" t="s">
        <v>523</v>
      </c>
      <c r="C30" s="16" t="s">
        <v>174</v>
      </c>
      <c r="D30" s="16" t="s">
        <v>650</v>
      </c>
      <c r="E30" s="17">
        <v>16210</v>
      </c>
      <c r="F30" s="17">
        <v>16658</v>
      </c>
      <c r="G30" s="17">
        <v>16723</v>
      </c>
      <c r="H30" s="17">
        <v>16512</v>
      </c>
      <c r="I30" s="17">
        <v>16168</v>
      </c>
      <c r="J30" s="17">
        <v>15620</v>
      </c>
      <c r="K30" s="17">
        <v>15048</v>
      </c>
      <c r="L30" s="17">
        <v>14433</v>
      </c>
      <c r="M30" s="17">
        <v>13832</v>
      </c>
      <c r="N30" s="17">
        <v>13152</v>
      </c>
      <c r="O30" s="17">
        <v>12510</v>
      </c>
      <c r="P30" s="17">
        <v>11877</v>
      </c>
      <c r="Q30" s="17">
        <v>11291</v>
      </c>
      <c r="R30" s="17">
        <v>10656</v>
      </c>
      <c r="S30" s="17">
        <v>10072</v>
      </c>
      <c r="T30" s="17">
        <v>9511</v>
      </c>
      <c r="U30" s="17">
        <v>9001</v>
      </c>
      <c r="V30" s="17">
        <v>8603</v>
      </c>
      <c r="W30" s="17">
        <v>8277</v>
      </c>
      <c r="X30" s="17">
        <v>7454</v>
      </c>
      <c r="Y30" s="17">
        <v>7001</v>
      </c>
      <c r="Z30" s="17">
        <v>46625</v>
      </c>
      <c r="AA30" s="17">
        <v>42490</v>
      </c>
      <c r="AB30" s="17">
        <v>0</v>
      </c>
      <c r="AC30" s="17">
        <v>0</v>
      </c>
      <c r="AD30" s="17">
        <v>0</v>
      </c>
      <c r="AE30" s="17">
        <v>0</v>
      </c>
      <c r="AF30" s="17">
        <v>0</v>
      </c>
      <c r="AG30" s="17">
        <v>0</v>
      </c>
      <c r="AH30" s="17">
        <v>0</v>
      </c>
      <c r="AI30" s="17">
        <v>0</v>
      </c>
      <c r="AJ30" s="17">
        <v>0</v>
      </c>
      <c r="AK30" s="17">
        <v>0</v>
      </c>
      <c r="AL30" s="17">
        <v>0</v>
      </c>
      <c r="AM30" s="17">
        <v>0</v>
      </c>
      <c r="AN30" s="17">
        <v>0</v>
      </c>
      <c r="AO30" s="17">
        <v>0</v>
      </c>
      <c r="AP30" s="18">
        <f t="shared" si="0"/>
        <v>349724</v>
      </c>
    </row>
    <row r="31" spans="1:42" ht="15" customHeight="1" x14ac:dyDescent="0.2">
      <c r="A31" s="16" t="s">
        <v>522</v>
      </c>
      <c r="B31" s="16" t="s">
        <v>523</v>
      </c>
      <c r="C31" s="16" t="s">
        <v>364</v>
      </c>
      <c r="D31" s="16" t="s">
        <v>650</v>
      </c>
      <c r="E31" s="17">
        <v>0</v>
      </c>
      <c r="F31" s="17">
        <v>0</v>
      </c>
      <c r="G31" s="17">
        <v>0</v>
      </c>
      <c r="H31" s="17">
        <v>0</v>
      </c>
      <c r="I31" s="17">
        <v>0</v>
      </c>
      <c r="J31" s="17">
        <v>21590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0</v>
      </c>
      <c r="X31" s="17">
        <v>0</v>
      </c>
      <c r="Y31" s="17">
        <v>0</v>
      </c>
      <c r="Z31" s="17">
        <v>0</v>
      </c>
      <c r="AA31" s="17">
        <v>0</v>
      </c>
      <c r="AB31" s="17">
        <v>0</v>
      </c>
      <c r="AC31" s="17">
        <v>0</v>
      </c>
      <c r="AD31" s="17">
        <v>0</v>
      </c>
      <c r="AE31" s="17">
        <v>0</v>
      </c>
      <c r="AF31" s="17">
        <v>0</v>
      </c>
      <c r="AG31" s="17">
        <v>0</v>
      </c>
      <c r="AH31" s="17">
        <v>0</v>
      </c>
      <c r="AI31" s="17">
        <v>0</v>
      </c>
      <c r="AJ31" s="17">
        <v>0</v>
      </c>
      <c r="AK31" s="17">
        <v>0</v>
      </c>
      <c r="AL31" s="17">
        <v>0</v>
      </c>
      <c r="AM31" s="17">
        <v>0</v>
      </c>
      <c r="AN31" s="17">
        <v>0</v>
      </c>
      <c r="AO31" s="17">
        <v>0</v>
      </c>
      <c r="AP31" s="18">
        <f t="shared" si="0"/>
        <v>21590</v>
      </c>
    </row>
    <row r="32" spans="1:42" ht="15" customHeight="1" x14ac:dyDescent="0.2">
      <c r="A32" s="16" t="s">
        <v>522</v>
      </c>
      <c r="B32" s="16" t="s">
        <v>523</v>
      </c>
      <c r="C32" s="16" t="s">
        <v>393</v>
      </c>
      <c r="D32" s="16" t="s">
        <v>650</v>
      </c>
      <c r="E32" s="17">
        <v>1846</v>
      </c>
      <c r="F32" s="17">
        <v>2087</v>
      </c>
      <c r="G32" s="17">
        <v>2294</v>
      </c>
      <c r="H32" s="17">
        <v>2471</v>
      </c>
      <c r="I32" s="17">
        <v>2625</v>
      </c>
      <c r="J32" s="17">
        <v>2737</v>
      </c>
      <c r="K32" s="17">
        <v>2833</v>
      </c>
      <c r="L32" s="17">
        <v>2907</v>
      </c>
      <c r="M32" s="17">
        <v>2971</v>
      </c>
      <c r="N32" s="17">
        <v>3002</v>
      </c>
      <c r="O32" s="17">
        <v>3026</v>
      </c>
      <c r="P32" s="17">
        <v>3038</v>
      </c>
      <c r="Q32" s="17">
        <v>3041</v>
      </c>
      <c r="R32" s="17">
        <v>3021</v>
      </c>
      <c r="S32" s="17">
        <v>3000</v>
      </c>
      <c r="T32" s="17">
        <v>2969</v>
      </c>
      <c r="U32" s="17">
        <v>2940</v>
      </c>
      <c r="V32" s="17">
        <v>7232</v>
      </c>
      <c r="W32" s="17">
        <v>13140</v>
      </c>
      <c r="X32" s="17">
        <v>12417</v>
      </c>
      <c r="Y32" s="17">
        <v>11767</v>
      </c>
      <c r="Z32" s="17">
        <v>8188</v>
      </c>
      <c r="AA32" s="17">
        <v>0</v>
      </c>
      <c r="AB32" s="17">
        <v>0</v>
      </c>
      <c r="AC32" s="17">
        <v>0</v>
      </c>
      <c r="AD32" s="17">
        <v>0</v>
      </c>
      <c r="AE32" s="17">
        <v>0</v>
      </c>
      <c r="AF32" s="17">
        <v>0</v>
      </c>
      <c r="AG32" s="17">
        <v>0</v>
      </c>
      <c r="AH32" s="17">
        <v>0</v>
      </c>
      <c r="AI32" s="17">
        <v>0</v>
      </c>
      <c r="AJ32" s="17">
        <v>0</v>
      </c>
      <c r="AK32" s="17">
        <v>0</v>
      </c>
      <c r="AL32" s="17">
        <v>0</v>
      </c>
      <c r="AM32" s="17">
        <v>0</v>
      </c>
      <c r="AN32" s="17">
        <v>0</v>
      </c>
      <c r="AO32" s="17">
        <v>0</v>
      </c>
      <c r="AP32" s="18">
        <f t="shared" si="0"/>
        <v>99552</v>
      </c>
    </row>
    <row r="33" spans="1:42" ht="15" customHeight="1" x14ac:dyDescent="0.2">
      <c r="A33" s="16" t="s">
        <v>522</v>
      </c>
      <c r="B33" s="16" t="s">
        <v>524</v>
      </c>
      <c r="C33" s="16" t="s">
        <v>117</v>
      </c>
      <c r="D33" s="16" t="s">
        <v>650</v>
      </c>
      <c r="E33" s="17">
        <v>6736.4657999999999</v>
      </c>
      <c r="F33" s="17">
        <v>8018.7127</v>
      </c>
      <c r="G33" s="17">
        <v>6025.6709000000001</v>
      </c>
      <c r="H33" s="17">
        <v>4470.5832</v>
      </c>
      <c r="I33" s="17">
        <v>3272.0003999999999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17">
        <v>0</v>
      </c>
      <c r="P33" s="17">
        <v>0</v>
      </c>
      <c r="Q33" s="17">
        <v>0</v>
      </c>
      <c r="R33" s="17">
        <v>0</v>
      </c>
      <c r="S33" s="17">
        <v>0</v>
      </c>
      <c r="T33" s="17">
        <v>0</v>
      </c>
      <c r="U33" s="17">
        <v>0</v>
      </c>
      <c r="V33" s="17">
        <v>0</v>
      </c>
      <c r="W33" s="17">
        <v>0</v>
      </c>
      <c r="X33" s="17">
        <v>0</v>
      </c>
      <c r="Y33" s="17">
        <v>0</v>
      </c>
      <c r="Z33" s="17">
        <v>0</v>
      </c>
      <c r="AA33" s="17">
        <v>0</v>
      </c>
      <c r="AB33" s="17">
        <v>0</v>
      </c>
      <c r="AC33" s="17">
        <v>0</v>
      </c>
      <c r="AD33" s="17">
        <v>0</v>
      </c>
      <c r="AE33" s="17">
        <v>0</v>
      </c>
      <c r="AF33" s="17">
        <v>0</v>
      </c>
      <c r="AG33" s="17">
        <v>0</v>
      </c>
      <c r="AH33" s="17">
        <v>0</v>
      </c>
      <c r="AI33" s="17">
        <v>0</v>
      </c>
      <c r="AJ33" s="17">
        <v>0</v>
      </c>
      <c r="AK33" s="17">
        <v>0</v>
      </c>
      <c r="AL33" s="17">
        <v>0</v>
      </c>
      <c r="AM33" s="17">
        <v>0</v>
      </c>
      <c r="AN33" s="17">
        <v>0</v>
      </c>
      <c r="AO33" s="17">
        <v>0</v>
      </c>
      <c r="AP33" s="18">
        <f t="shared" si="0"/>
        <v>28523.433000000001</v>
      </c>
    </row>
    <row r="34" spans="1:42" ht="15" customHeight="1" x14ac:dyDescent="0.2">
      <c r="A34" s="16" t="s">
        <v>522</v>
      </c>
      <c r="B34" s="16" t="s">
        <v>525</v>
      </c>
      <c r="C34" s="16" t="s">
        <v>233</v>
      </c>
      <c r="D34" s="16" t="s">
        <v>650</v>
      </c>
      <c r="E34" s="17">
        <v>821</v>
      </c>
      <c r="F34" s="17">
        <v>3277</v>
      </c>
      <c r="G34" s="17">
        <v>3905</v>
      </c>
      <c r="H34" s="17">
        <v>3587</v>
      </c>
      <c r="I34" s="17">
        <v>7400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  <c r="Y34" s="17">
        <v>0</v>
      </c>
      <c r="Z34" s="17">
        <v>0</v>
      </c>
      <c r="AA34" s="17">
        <v>0</v>
      </c>
      <c r="AB34" s="17">
        <v>0</v>
      </c>
      <c r="AC34" s="17">
        <v>0</v>
      </c>
      <c r="AD34" s="17">
        <v>0</v>
      </c>
      <c r="AE34" s="17">
        <v>0</v>
      </c>
      <c r="AF34" s="17">
        <v>0</v>
      </c>
      <c r="AG34" s="17">
        <v>0</v>
      </c>
      <c r="AH34" s="17">
        <v>0</v>
      </c>
      <c r="AI34" s="17">
        <v>0</v>
      </c>
      <c r="AJ34" s="17">
        <v>0</v>
      </c>
      <c r="AK34" s="17">
        <v>0</v>
      </c>
      <c r="AL34" s="17">
        <v>0</v>
      </c>
      <c r="AM34" s="17">
        <v>0</v>
      </c>
      <c r="AN34" s="17">
        <v>0</v>
      </c>
      <c r="AO34" s="17">
        <v>0</v>
      </c>
      <c r="AP34" s="18">
        <f t="shared" si="0"/>
        <v>18990</v>
      </c>
    </row>
    <row r="35" spans="1:42" ht="15" customHeight="1" x14ac:dyDescent="0.2">
      <c r="A35" s="16" t="s">
        <v>522</v>
      </c>
      <c r="B35" s="16" t="s">
        <v>527</v>
      </c>
      <c r="C35" s="16" t="s">
        <v>395</v>
      </c>
      <c r="D35" s="16" t="s">
        <v>650</v>
      </c>
      <c r="E35" s="17">
        <v>1329</v>
      </c>
      <c r="F35" s="17">
        <v>3792</v>
      </c>
      <c r="G35" s="17">
        <v>4725</v>
      </c>
      <c r="H35" s="17">
        <v>4323</v>
      </c>
      <c r="I35" s="17">
        <v>3966</v>
      </c>
      <c r="J35" s="17">
        <v>3620</v>
      </c>
      <c r="K35" s="17">
        <v>3311</v>
      </c>
      <c r="L35" s="17">
        <v>3031</v>
      </c>
      <c r="M35" s="17">
        <v>2779</v>
      </c>
      <c r="N35" s="17">
        <v>2536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  <c r="Y35" s="17">
        <v>0</v>
      </c>
      <c r="Z35" s="17">
        <v>0</v>
      </c>
      <c r="AA35" s="17">
        <v>0</v>
      </c>
      <c r="AB35" s="17">
        <v>0</v>
      </c>
      <c r="AC35" s="17">
        <v>0</v>
      </c>
      <c r="AD35" s="17">
        <v>0</v>
      </c>
      <c r="AE35" s="17">
        <v>0</v>
      </c>
      <c r="AF35" s="17">
        <v>0</v>
      </c>
      <c r="AG35" s="17">
        <v>0</v>
      </c>
      <c r="AH35" s="17">
        <v>0</v>
      </c>
      <c r="AI35" s="17">
        <v>0</v>
      </c>
      <c r="AJ35" s="17">
        <v>0</v>
      </c>
      <c r="AK35" s="17">
        <v>0</v>
      </c>
      <c r="AL35" s="17">
        <v>0</v>
      </c>
      <c r="AM35" s="17">
        <v>0</v>
      </c>
      <c r="AN35" s="17">
        <v>0</v>
      </c>
      <c r="AO35" s="17">
        <v>0</v>
      </c>
      <c r="AP35" s="18">
        <f t="shared" si="0"/>
        <v>33412</v>
      </c>
    </row>
    <row r="36" spans="1:42" ht="15" customHeight="1" x14ac:dyDescent="0.2">
      <c r="A36" s="16" t="s">
        <v>522</v>
      </c>
      <c r="B36" s="16" t="s">
        <v>528</v>
      </c>
      <c r="C36" s="16" t="s">
        <v>166</v>
      </c>
      <c r="D36" s="16" t="s">
        <v>650</v>
      </c>
      <c r="E36" s="17">
        <v>0</v>
      </c>
      <c r="F36" s="17">
        <v>0</v>
      </c>
      <c r="G36" s="17">
        <v>86079</v>
      </c>
      <c r="H36" s="17">
        <v>581580</v>
      </c>
      <c r="I36" s="17">
        <v>527456</v>
      </c>
      <c r="J36" s="17">
        <v>736606</v>
      </c>
      <c r="K36" s="17">
        <v>512256</v>
      </c>
      <c r="L36" s="17">
        <v>365767</v>
      </c>
      <c r="M36" s="17">
        <v>262663</v>
      </c>
      <c r="N36" s="17">
        <v>196061</v>
      </c>
      <c r="O36" s="17">
        <v>140932</v>
      </c>
      <c r="P36" s="17">
        <v>108703</v>
      </c>
      <c r="Q36" s="17">
        <v>123817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  <c r="Y36" s="17">
        <v>0</v>
      </c>
      <c r="Z36" s="17">
        <v>0</v>
      </c>
      <c r="AA36" s="17">
        <v>0</v>
      </c>
      <c r="AB36" s="17">
        <v>0</v>
      </c>
      <c r="AC36" s="17">
        <v>0</v>
      </c>
      <c r="AD36" s="17">
        <v>0</v>
      </c>
      <c r="AE36" s="17">
        <v>0</v>
      </c>
      <c r="AF36" s="17">
        <v>0</v>
      </c>
      <c r="AG36" s="17">
        <v>0</v>
      </c>
      <c r="AH36" s="17">
        <v>0</v>
      </c>
      <c r="AI36" s="17">
        <v>0</v>
      </c>
      <c r="AJ36" s="17">
        <v>0</v>
      </c>
      <c r="AK36" s="17">
        <v>0</v>
      </c>
      <c r="AL36" s="17">
        <v>0</v>
      </c>
      <c r="AM36" s="17">
        <v>0</v>
      </c>
      <c r="AN36" s="17">
        <v>0</v>
      </c>
      <c r="AO36" s="17">
        <v>0</v>
      </c>
      <c r="AP36" s="18">
        <f t="shared" si="0"/>
        <v>3641920</v>
      </c>
    </row>
    <row r="37" spans="1:42" ht="15" customHeight="1" x14ac:dyDescent="0.2">
      <c r="A37" s="16" t="s">
        <v>522</v>
      </c>
      <c r="B37" s="16" t="s">
        <v>529</v>
      </c>
      <c r="C37" s="16" t="s">
        <v>122</v>
      </c>
      <c r="D37" s="16" t="s">
        <v>650</v>
      </c>
      <c r="E37" s="17">
        <v>779283</v>
      </c>
      <c r="F37" s="17">
        <v>1605396</v>
      </c>
      <c r="G37" s="17">
        <v>1830871</v>
      </c>
      <c r="H37" s="17">
        <v>1802126</v>
      </c>
      <c r="I37" s="17">
        <v>1651804</v>
      </c>
      <c r="J37" s="17">
        <v>1526650</v>
      </c>
      <c r="K37" s="17">
        <v>1405859</v>
      </c>
      <c r="L37" s="17">
        <v>1268277</v>
      </c>
      <c r="M37" s="17">
        <v>1131621</v>
      </c>
      <c r="N37" s="17">
        <v>991999</v>
      </c>
      <c r="O37" s="17">
        <v>868080</v>
      </c>
      <c r="P37" s="17">
        <v>758637</v>
      </c>
      <c r="Q37" s="17">
        <v>663867</v>
      </c>
      <c r="R37" s="17">
        <v>576242</v>
      </c>
      <c r="S37" s="17">
        <v>0</v>
      </c>
      <c r="T37" s="17">
        <v>0</v>
      </c>
      <c r="U37" s="17">
        <v>0</v>
      </c>
      <c r="V37" s="17">
        <v>0</v>
      </c>
      <c r="W37" s="17">
        <v>0</v>
      </c>
      <c r="X37" s="17">
        <v>0</v>
      </c>
      <c r="Y37" s="17">
        <v>0</v>
      </c>
      <c r="Z37" s="17">
        <v>0</v>
      </c>
      <c r="AA37" s="17">
        <v>0</v>
      </c>
      <c r="AB37" s="17">
        <v>0</v>
      </c>
      <c r="AC37" s="17">
        <v>0</v>
      </c>
      <c r="AD37" s="17">
        <v>0</v>
      </c>
      <c r="AE37" s="17">
        <v>0</v>
      </c>
      <c r="AF37" s="17">
        <v>0</v>
      </c>
      <c r="AG37" s="17">
        <v>0</v>
      </c>
      <c r="AH37" s="17">
        <v>0</v>
      </c>
      <c r="AI37" s="17">
        <v>0</v>
      </c>
      <c r="AJ37" s="17">
        <v>0</v>
      </c>
      <c r="AK37" s="17">
        <v>0</v>
      </c>
      <c r="AL37" s="17">
        <v>0</v>
      </c>
      <c r="AM37" s="17">
        <v>0</v>
      </c>
      <c r="AN37" s="17">
        <v>0</v>
      </c>
      <c r="AO37" s="17">
        <v>0</v>
      </c>
      <c r="AP37" s="18">
        <f t="shared" si="0"/>
        <v>16860712</v>
      </c>
    </row>
    <row r="38" spans="1:42" ht="15" customHeight="1" x14ac:dyDescent="0.2">
      <c r="A38" s="16" t="s">
        <v>522</v>
      </c>
      <c r="B38" s="16" t="s">
        <v>530</v>
      </c>
      <c r="C38" s="16" t="s">
        <v>183</v>
      </c>
      <c r="D38" s="16" t="s">
        <v>650</v>
      </c>
      <c r="E38" s="17">
        <v>729239</v>
      </c>
      <c r="F38" s="17">
        <v>1631906</v>
      </c>
      <c r="G38" s="17">
        <v>2141808</v>
      </c>
      <c r="H38" s="17">
        <v>2474611</v>
      </c>
      <c r="I38" s="17">
        <v>2638543</v>
      </c>
      <c r="J38" s="17">
        <v>2725042</v>
      </c>
      <c r="K38" s="17">
        <v>2758059</v>
      </c>
      <c r="L38" s="17">
        <v>2697153</v>
      </c>
      <c r="M38" s="17">
        <v>2603210</v>
      </c>
      <c r="N38" s="17">
        <v>2490128</v>
      </c>
      <c r="O38" s="17">
        <v>2361450</v>
      </c>
      <c r="P38" s="17">
        <v>2230497</v>
      </c>
      <c r="Q38" s="17">
        <v>2104596</v>
      </c>
      <c r="R38" s="17">
        <v>1986470</v>
      </c>
      <c r="S38" s="17">
        <v>1901591</v>
      </c>
      <c r="T38" s="17">
        <v>1833595</v>
      </c>
      <c r="U38" s="17">
        <v>1726511</v>
      </c>
      <c r="V38" s="17">
        <v>1535998</v>
      </c>
      <c r="W38" s="17">
        <v>1333132</v>
      </c>
      <c r="X38" s="17">
        <v>1218989</v>
      </c>
      <c r="Y38" s="17">
        <v>1128456</v>
      </c>
      <c r="Z38" s="17">
        <v>1029120</v>
      </c>
      <c r="AA38" s="17">
        <v>937134</v>
      </c>
      <c r="AB38" s="17">
        <v>850904</v>
      </c>
      <c r="AC38" s="17">
        <v>790664</v>
      </c>
      <c r="AD38" s="17">
        <v>725337</v>
      </c>
      <c r="AE38" s="17">
        <v>681444</v>
      </c>
      <c r="AF38" s="17">
        <v>627670</v>
      </c>
      <c r="AG38" s="17">
        <v>1686026</v>
      </c>
      <c r="AH38" s="17">
        <v>1495581</v>
      </c>
      <c r="AI38" s="17">
        <v>1315221</v>
      </c>
      <c r="AJ38" s="17">
        <v>0</v>
      </c>
      <c r="AK38" s="17">
        <v>0</v>
      </c>
      <c r="AL38" s="17">
        <v>0</v>
      </c>
      <c r="AM38" s="17">
        <v>0</v>
      </c>
      <c r="AN38" s="17">
        <v>0</v>
      </c>
      <c r="AO38" s="17">
        <v>0</v>
      </c>
      <c r="AP38" s="18">
        <f t="shared" si="0"/>
        <v>52390085</v>
      </c>
    </row>
    <row r="39" spans="1:42" ht="15" customHeight="1" x14ac:dyDescent="0.2">
      <c r="A39" s="16" t="s">
        <v>522</v>
      </c>
      <c r="B39" s="16" t="s">
        <v>530</v>
      </c>
      <c r="C39" s="16" t="s">
        <v>184</v>
      </c>
      <c r="D39" s="16" t="s">
        <v>650</v>
      </c>
      <c r="E39" s="17">
        <v>1820</v>
      </c>
      <c r="F39" s="17">
        <v>2034</v>
      </c>
      <c r="G39" s="17">
        <v>5808</v>
      </c>
      <c r="H39" s="17">
        <v>8700</v>
      </c>
      <c r="I39" s="17">
        <v>10648</v>
      </c>
      <c r="J39" s="17">
        <v>12049</v>
      </c>
      <c r="K39" s="17">
        <v>12995</v>
      </c>
      <c r="L39" s="17">
        <v>13710</v>
      </c>
      <c r="M39" s="17">
        <v>14236</v>
      </c>
      <c r="N39" s="17">
        <v>14661</v>
      </c>
      <c r="O39" s="17">
        <v>14914</v>
      </c>
      <c r="P39" s="17">
        <v>15125</v>
      </c>
      <c r="Q39" s="17">
        <v>15277</v>
      </c>
      <c r="R39" s="17">
        <v>15427</v>
      </c>
      <c r="S39" s="17">
        <v>15455</v>
      </c>
      <c r="T39" s="17">
        <v>15491</v>
      </c>
      <c r="U39" s="17">
        <v>15509</v>
      </c>
      <c r="V39" s="17">
        <v>15324</v>
      </c>
      <c r="W39" s="17">
        <v>14535</v>
      </c>
      <c r="X39" s="17">
        <v>13749</v>
      </c>
      <c r="Y39" s="17">
        <v>12962</v>
      </c>
      <c r="Z39" s="17">
        <v>12224</v>
      </c>
      <c r="AA39" s="17">
        <v>11455</v>
      </c>
      <c r="AB39" s="17">
        <v>10767</v>
      </c>
      <c r="AC39" s="17">
        <v>10117</v>
      </c>
      <c r="AD39" s="17">
        <v>9535</v>
      </c>
      <c r="AE39" s="17">
        <v>8938</v>
      </c>
      <c r="AF39" s="17">
        <v>8400</v>
      </c>
      <c r="AG39" s="17">
        <v>31800</v>
      </c>
      <c r="AH39" s="17">
        <v>30046</v>
      </c>
      <c r="AI39" s="17">
        <v>28213</v>
      </c>
      <c r="AJ39" s="17">
        <v>0</v>
      </c>
      <c r="AK39" s="17">
        <v>0</v>
      </c>
      <c r="AL39" s="17">
        <v>0</v>
      </c>
      <c r="AM39" s="17">
        <v>0</v>
      </c>
      <c r="AN39" s="17">
        <v>0</v>
      </c>
      <c r="AO39" s="17">
        <v>0</v>
      </c>
      <c r="AP39" s="18">
        <f t="shared" si="0"/>
        <v>421924</v>
      </c>
    </row>
    <row r="40" spans="1:42" ht="15" customHeight="1" x14ac:dyDescent="0.2">
      <c r="A40" s="16" t="s">
        <v>522</v>
      </c>
      <c r="B40" s="16" t="s">
        <v>530</v>
      </c>
      <c r="C40" s="16" t="s">
        <v>185</v>
      </c>
      <c r="D40" s="16" t="s">
        <v>650</v>
      </c>
      <c r="E40" s="17">
        <v>404165</v>
      </c>
      <c r="F40" s="17">
        <v>997349</v>
      </c>
      <c r="G40" s="17">
        <v>1474302</v>
      </c>
      <c r="H40" s="17">
        <v>1778806</v>
      </c>
      <c r="I40" s="17">
        <v>1976484</v>
      </c>
      <c r="J40" s="17">
        <v>2097472</v>
      </c>
      <c r="K40" s="17">
        <v>2148950</v>
      </c>
      <c r="L40" s="17">
        <v>2120117</v>
      </c>
      <c r="M40" s="17">
        <v>2035375</v>
      </c>
      <c r="N40" s="17">
        <v>1890198</v>
      </c>
      <c r="O40" s="17">
        <v>1744978</v>
      </c>
      <c r="P40" s="17">
        <v>1609409</v>
      </c>
      <c r="Q40" s="17">
        <v>1481003</v>
      </c>
      <c r="R40" s="17">
        <v>1345666</v>
      </c>
      <c r="S40" s="17">
        <v>1261056</v>
      </c>
      <c r="T40" s="17">
        <v>1189613</v>
      </c>
      <c r="U40" s="17">
        <v>1087927</v>
      </c>
      <c r="V40" s="17">
        <v>963265</v>
      </c>
      <c r="W40" s="17">
        <v>866644</v>
      </c>
      <c r="X40" s="17">
        <v>793067</v>
      </c>
      <c r="Y40" s="17">
        <v>722503</v>
      </c>
      <c r="Z40" s="17">
        <v>663119</v>
      </c>
      <c r="AA40" s="17">
        <v>615608</v>
      </c>
      <c r="AB40" s="17">
        <v>571973</v>
      </c>
      <c r="AC40" s="17">
        <v>537530</v>
      </c>
      <c r="AD40" s="17">
        <v>495181</v>
      </c>
      <c r="AE40" s="17">
        <v>458131</v>
      </c>
      <c r="AF40" s="17">
        <v>417331</v>
      </c>
      <c r="AG40" s="17">
        <v>1143602</v>
      </c>
      <c r="AH40" s="17">
        <v>1008215</v>
      </c>
      <c r="AI40" s="17">
        <v>855791</v>
      </c>
      <c r="AJ40" s="17">
        <v>0</v>
      </c>
      <c r="AK40" s="17">
        <v>0</v>
      </c>
      <c r="AL40" s="17">
        <v>0</v>
      </c>
      <c r="AM40" s="17">
        <v>0</v>
      </c>
      <c r="AN40" s="17">
        <v>0</v>
      </c>
      <c r="AO40" s="17">
        <v>0</v>
      </c>
      <c r="AP40" s="18">
        <f t="shared" si="0"/>
        <v>36754830</v>
      </c>
    </row>
    <row r="41" spans="1:42" ht="15" customHeight="1" x14ac:dyDescent="0.2">
      <c r="A41" s="16" t="s">
        <v>522</v>
      </c>
      <c r="B41" s="16" t="s">
        <v>530</v>
      </c>
      <c r="C41" s="16" t="s">
        <v>193</v>
      </c>
      <c r="D41" s="16" t="s">
        <v>650</v>
      </c>
      <c r="E41" s="17">
        <v>611341</v>
      </c>
      <c r="F41" s="17">
        <v>699547</v>
      </c>
      <c r="G41" s="17">
        <v>1003416</v>
      </c>
      <c r="H41" s="17">
        <v>1240300</v>
      </c>
      <c r="I41" s="17">
        <v>1534970</v>
      </c>
      <c r="J41" s="17">
        <v>1734419</v>
      </c>
      <c r="K41" s="17">
        <v>1868617</v>
      </c>
      <c r="L41" s="17">
        <v>1955682</v>
      </c>
      <c r="M41" s="17">
        <v>1986223</v>
      </c>
      <c r="N41" s="17">
        <v>1983795</v>
      </c>
      <c r="O41" s="17">
        <v>1953401</v>
      </c>
      <c r="P41" s="17">
        <v>1813553</v>
      </c>
      <c r="Q41" s="17">
        <v>1623636</v>
      </c>
      <c r="R41" s="17">
        <v>1499877</v>
      </c>
      <c r="S41" s="17">
        <v>1398665</v>
      </c>
      <c r="T41" s="17">
        <v>1299995</v>
      </c>
      <c r="U41" s="17">
        <v>1206301</v>
      </c>
      <c r="V41" s="17">
        <v>1129797</v>
      </c>
      <c r="W41" s="17">
        <v>3040408</v>
      </c>
      <c r="X41" s="17">
        <v>2728278</v>
      </c>
      <c r="Y41" s="17">
        <v>2459175</v>
      </c>
      <c r="Z41" s="17">
        <v>2200888</v>
      </c>
      <c r="AA41" s="17">
        <v>0</v>
      </c>
      <c r="AB41" s="17">
        <v>0</v>
      </c>
      <c r="AC41" s="17">
        <v>0</v>
      </c>
      <c r="AD41" s="17">
        <v>0</v>
      </c>
      <c r="AE41" s="17">
        <v>0</v>
      </c>
      <c r="AF41" s="17">
        <v>0</v>
      </c>
      <c r="AG41" s="17">
        <v>0</v>
      </c>
      <c r="AH41" s="17">
        <v>0</v>
      </c>
      <c r="AI41" s="17">
        <v>0</v>
      </c>
      <c r="AJ41" s="17">
        <v>0</v>
      </c>
      <c r="AK41" s="17">
        <v>0</v>
      </c>
      <c r="AL41" s="17">
        <v>0</v>
      </c>
      <c r="AM41" s="17">
        <v>0</v>
      </c>
      <c r="AN41" s="17">
        <v>0</v>
      </c>
      <c r="AO41" s="17">
        <v>0</v>
      </c>
      <c r="AP41" s="18">
        <f t="shared" si="0"/>
        <v>36972284</v>
      </c>
    </row>
    <row r="42" spans="1:42" ht="15" customHeight="1" x14ac:dyDescent="0.2">
      <c r="A42" s="16" t="s">
        <v>522</v>
      </c>
      <c r="B42" s="16" t="s">
        <v>530</v>
      </c>
      <c r="C42" s="16" t="s">
        <v>194</v>
      </c>
      <c r="D42" s="16" t="s">
        <v>650</v>
      </c>
      <c r="E42" s="17">
        <v>141416</v>
      </c>
      <c r="F42" s="17">
        <v>322712</v>
      </c>
      <c r="G42" s="17">
        <v>502990</v>
      </c>
      <c r="H42" s="17">
        <v>670815</v>
      </c>
      <c r="I42" s="17">
        <v>807396</v>
      </c>
      <c r="J42" s="17">
        <v>975137</v>
      </c>
      <c r="K42" s="17">
        <v>1113359</v>
      </c>
      <c r="L42" s="17">
        <v>1207387</v>
      </c>
      <c r="M42" s="17">
        <v>1255737</v>
      </c>
      <c r="N42" s="17">
        <v>1281344</v>
      </c>
      <c r="O42" s="17">
        <v>1272500</v>
      </c>
      <c r="P42" s="17">
        <v>1167942</v>
      </c>
      <c r="Q42" s="17">
        <v>1040735</v>
      </c>
      <c r="R42" s="17">
        <v>964843</v>
      </c>
      <c r="S42" s="17">
        <v>903280</v>
      </c>
      <c r="T42" s="17">
        <v>845866</v>
      </c>
      <c r="U42" s="17">
        <v>778918</v>
      </c>
      <c r="V42" s="17">
        <v>737292</v>
      </c>
      <c r="W42" s="17">
        <v>1769266</v>
      </c>
      <c r="X42" s="17">
        <v>1593169</v>
      </c>
      <c r="Y42" s="17">
        <v>1437800</v>
      </c>
      <c r="Z42" s="17">
        <v>1291594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17">
        <v>0</v>
      </c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8">
        <f t="shared" si="0"/>
        <v>22081498</v>
      </c>
    </row>
    <row r="43" spans="1:42" ht="15" customHeight="1" x14ac:dyDescent="0.2">
      <c r="A43" s="16" t="s">
        <v>522</v>
      </c>
      <c r="B43" s="16" t="s">
        <v>531</v>
      </c>
      <c r="C43" s="16" t="s">
        <v>427</v>
      </c>
      <c r="D43" s="16" t="s">
        <v>650</v>
      </c>
      <c r="E43" s="17">
        <v>10437</v>
      </c>
      <c r="F43" s="17">
        <v>64373</v>
      </c>
      <c r="G43" s="17">
        <v>89525</v>
      </c>
      <c r="H43" s="17">
        <v>90186</v>
      </c>
      <c r="I43" s="17">
        <v>83996</v>
      </c>
      <c r="J43" s="17">
        <v>74415</v>
      </c>
      <c r="K43" s="17">
        <v>67787</v>
      </c>
      <c r="L43" s="17">
        <v>59415</v>
      </c>
      <c r="M43" s="17">
        <v>184448</v>
      </c>
      <c r="N43" s="17">
        <v>150494</v>
      </c>
      <c r="O43" s="17">
        <v>0</v>
      </c>
      <c r="P43" s="17">
        <v>0</v>
      </c>
      <c r="Q43" s="17">
        <v>0</v>
      </c>
      <c r="R43" s="17">
        <v>0</v>
      </c>
      <c r="S43" s="17">
        <v>0</v>
      </c>
      <c r="T43" s="17">
        <v>0</v>
      </c>
      <c r="U43" s="17">
        <v>0</v>
      </c>
      <c r="V43" s="17">
        <v>0</v>
      </c>
      <c r="W43" s="17">
        <v>0</v>
      </c>
      <c r="X43" s="17">
        <v>0</v>
      </c>
      <c r="Y43" s="17">
        <v>0</v>
      </c>
      <c r="Z43" s="17">
        <v>0</v>
      </c>
      <c r="AA43" s="17">
        <v>0</v>
      </c>
      <c r="AB43" s="17">
        <v>0</v>
      </c>
      <c r="AC43" s="17">
        <v>0</v>
      </c>
      <c r="AD43" s="17">
        <v>0</v>
      </c>
      <c r="AE43" s="17">
        <v>0</v>
      </c>
      <c r="AF43" s="17">
        <v>0</v>
      </c>
      <c r="AG43" s="17">
        <v>0</v>
      </c>
      <c r="AH43" s="17">
        <v>0</v>
      </c>
      <c r="AI43" s="17">
        <v>0</v>
      </c>
      <c r="AJ43" s="17">
        <v>0</v>
      </c>
      <c r="AK43" s="17">
        <v>0</v>
      </c>
      <c r="AL43" s="17">
        <v>0</v>
      </c>
      <c r="AM43" s="17">
        <v>0</v>
      </c>
      <c r="AN43" s="17">
        <v>0</v>
      </c>
      <c r="AO43" s="17">
        <v>0</v>
      </c>
      <c r="AP43" s="18">
        <f t="shared" si="0"/>
        <v>875076</v>
      </c>
    </row>
    <row r="44" spans="1:42" ht="15" customHeight="1" x14ac:dyDescent="0.2">
      <c r="A44" s="16" t="s">
        <v>522</v>
      </c>
      <c r="B44" s="16" t="s">
        <v>532</v>
      </c>
      <c r="C44" s="16" t="s">
        <v>264</v>
      </c>
      <c r="D44" s="16" t="s">
        <v>650</v>
      </c>
      <c r="E44" s="17">
        <v>20359.195</v>
      </c>
      <c r="F44" s="17">
        <v>41337.616399999999</v>
      </c>
      <c r="G44" s="17">
        <v>69189.829500000007</v>
      </c>
      <c r="H44" s="17">
        <v>485360.41590000002</v>
      </c>
      <c r="I44" s="17">
        <v>498620.4803</v>
      </c>
      <c r="J44" s="17">
        <v>395348.67249999999</v>
      </c>
      <c r="K44" s="17">
        <v>309977.30800000002</v>
      </c>
      <c r="L44" s="17">
        <v>263935.08519999997</v>
      </c>
      <c r="M44" s="17">
        <v>230525.53200000001</v>
      </c>
      <c r="N44" s="17">
        <v>200733.4234</v>
      </c>
      <c r="O44" s="17">
        <v>175236.48139999999</v>
      </c>
      <c r="P44" s="17">
        <v>153417.2672</v>
      </c>
      <c r="Q44" s="17">
        <v>135704.90349999999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7">
        <v>0</v>
      </c>
      <c r="X44" s="17">
        <v>0</v>
      </c>
      <c r="Y44" s="17">
        <v>0</v>
      </c>
      <c r="Z44" s="17">
        <v>0</v>
      </c>
      <c r="AA44" s="17">
        <v>0</v>
      </c>
      <c r="AB44" s="17">
        <v>0</v>
      </c>
      <c r="AC44" s="17">
        <v>0</v>
      </c>
      <c r="AD44" s="17">
        <v>0</v>
      </c>
      <c r="AE44" s="17">
        <v>0</v>
      </c>
      <c r="AF44" s="17">
        <v>0</v>
      </c>
      <c r="AG44" s="17">
        <v>0</v>
      </c>
      <c r="AH44" s="17">
        <v>0</v>
      </c>
      <c r="AI44" s="17">
        <v>0</v>
      </c>
      <c r="AJ44" s="17">
        <v>0</v>
      </c>
      <c r="AK44" s="17">
        <v>0</v>
      </c>
      <c r="AL44" s="17">
        <v>0</v>
      </c>
      <c r="AM44" s="17">
        <v>0</v>
      </c>
      <c r="AN44" s="17">
        <v>0</v>
      </c>
      <c r="AO44" s="17">
        <v>0</v>
      </c>
      <c r="AP44" s="18">
        <f t="shared" si="0"/>
        <v>2979746.2103000004</v>
      </c>
    </row>
    <row r="45" spans="1:42" ht="15" customHeight="1" x14ac:dyDescent="0.2">
      <c r="A45" s="16" t="s">
        <v>522</v>
      </c>
      <c r="B45" s="16" t="s">
        <v>532</v>
      </c>
      <c r="C45" s="16" t="s">
        <v>277</v>
      </c>
      <c r="D45" s="16" t="s">
        <v>650</v>
      </c>
      <c r="E45" s="17">
        <v>2043021.5215</v>
      </c>
      <c r="F45" s="17">
        <v>2981748.9101</v>
      </c>
      <c r="G45" s="17">
        <v>3520803.4627999999</v>
      </c>
      <c r="H45" s="17">
        <v>3991620.6861999999</v>
      </c>
      <c r="I45" s="17">
        <v>3809316.0811999999</v>
      </c>
      <c r="J45" s="17">
        <v>3599572.5841999999</v>
      </c>
      <c r="K45" s="17">
        <v>3330393.2962000002</v>
      </c>
      <c r="L45" s="17">
        <v>2972802.9271</v>
      </c>
      <c r="M45" s="17">
        <v>2660039.1003</v>
      </c>
      <c r="N45" s="17">
        <v>2353956.0808000001</v>
      </c>
      <c r="O45" s="17">
        <v>2054030.8629000001</v>
      </c>
      <c r="P45" s="17">
        <v>1824311.2971999999</v>
      </c>
      <c r="Q45" s="17">
        <v>1642545.2712000001</v>
      </c>
      <c r="R45" s="17">
        <v>1377219.7442999999</v>
      </c>
      <c r="S45" s="17">
        <v>2336962.4622</v>
      </c>
      <c r="T45" s="17">
        <v>2117461.8325999998</v>
      </c>
      <c r="U45" s="17">
        <v>1932916.7531000001</v>
      </c>
      <c r="V45" s="17">
        <v>1763311.0466</v>
      </c>
      <c r="W45" s="17">
        <v>1616980.0381</v>
      </c>
      <c r="X45" s="17">
        <v>1486281.5046000001</v>
      </c>
      <c r="Y45" s="17">
        <v>1364517.8500999999</v>
      </c>
      <c r="Z45" s="17">
        <v>1230084.1385999999</v>
      </c>
      <c r="AA45" s="17">
        <v>0</v>
      </c>
      <c r="AB45" s="17">
        <v>0</v>
      </c>
      <c r="AC45" s="17">
        <v>0</v>
      </c>
      <c r="AD45" s="17">
        <v>0</v>
      </c>
      <c r="AE45" s="17">
        <v>0</v>
      </c>
      <c r="AF45" s="17">
        <v>0</v>
      </c>
      <c r="AG45" s="17">
        <v>0</v>
      </c>
      <c r="AH45" s="17">
        <v>0</v>
      </c>
      <c r="AI45" s="17">
        <v>0</v>
      </c>
      <c r="AJ45" s="17">
        <v>0</v>
      </c>
      <c r="AK45" s="17">
        <v>0</v>
      </c>
      <c r="AL45" s="17">
        <v>0</v>
      </c>
      <c r="AM45" s="17">
        <v>0</v>
      </c>
      <c r="AN45" s="17">
        <v>0</v>
      </c>
      <c r="AO45" s="17">
        <v>0</v>
      </c>
      <c r="AP45" s="18">
        <f t="shared" si="0"/>
        <v>52009897.451899998</v>
      </c>
    </row>
    <row r="46" spans="1:42" ht="15" customHeight="1" x14ac:dyDescent="0.2">
      <c r="A46" s="16" t="s">
        <v>522</v>
      </c>
      <c r="B46" s="16" t="s">
        <v>534</v>
      </c>
      <c r="C46" s="16" t="s">
        <v>181</v>
      </c>
      <c r="D46" s="16" t="s">
        <v>650</v>
      </c>
      <c r="E46" s="17">
        <v>109152</v>
      </c>
      <c r="F46" s="17">
        <v>95104</v>
      </c>
      <c r="G46" s="17">
        <v>273946</v>
      </c>
      <c r="H46" s="17">
        <v>365103</v>
      </c>
      <c r="I46" s="17">
        <v>293720</v>
      </c>
      <c r="J46" s="17">
        <v>236275</v>
      </c>
      <c r="K46" s="17">
        <v>188976</v>
      </c>
      <c r="L46" s="17">
        <v>151222</v>
      </c>
      <c r="M46" s="17">
        <v>126083</v>
      </c>
      <c r="N46" s="17">
        <v>0</v>
      </c>
      <c r="O46" s="17">
        <v>0</v>
      </c>
      <c r="P46" s="17">
        <v>0</v>
      </c>
      <c r="Q46" s="17">
        <v>0</v>
      </c>
      <c r="R46" s="17">
        <v>0</v>
      </c>
      <c r="S46" s="17">
        <v>0</v>
      </c>
      <c r="T46" s="17">
        <v>0</v>
      </c>
      <c r="U46" s="17">
        <v>0</v>
      </c>
      <c r="V46" s="17">
        <v>0</v>
      </c>
      <c r="W46" s="17">
        <v>0</v>
      </c>
      <c r="X46" s="17">
        <v>0</v>
      </c>
      <c r="Y46" s="17">
        <v>0</v>
      </c>
      <c r="Z46" s="17">
        <v>0</v>
      </c>
      <c r="AA46" s="17">
        <v>0</v>
      </c>
      <c r="AB46" s="17">
        <v>0</v>
      </c>
      <c r="AC46" s="17">
        <v>0</v>
      </c>
      <c r="AD46" s="17">
        <v>0</v>
      </c>
      <c r="AE46" s="17">
        <v>0</v>
      </c>
      <c r="AF46" s="17">
        <v>0</v>
      </c>
      <c r="AG46" s="17">
        <v>0</v>
      </c>
      <c r="AH46" s="17">
        <v>0</v>
      </c>
      <c r="AI46" s="17">
        <v>0</v>
      </c>
      <c r="AJ46" s="17">
        <v>0</v>
      </c>
      <c r="AK46" s="17">
        <v>0</v>
      </c>
      <c r="AL46" s="17">
        <v>0</v>
      </c>
      <c r="AM46" s="17">
        <v>0</v>
      </c>
      <c r="AN46" s="17">
        <v>0</v>
      </c>
      <c r="AO46" s="17">
        <v>0</v>
      </c>
      <c r="AP46" s="18">
        <f t="shared" si="0"/>
        <v>1839581</v>
      </c>
    </row>
    <row r="47" spans="1:42" ht="15" customHeight="1" x14ac:dyDescent="0.2">
      <c r="A47" s="16" t="s">
        <v>522</v>
      </c>
      <c r="B47" s="16" t="s">
        <v>534</v>
      </c>
      <c r="C47" s="16" t="s">
        <v>182</v>
      </c>
      <c r="D47" s="16" t="s">
        <v>650</v>
      </c>
      <c r="E47" s="17">
        <v>0</v>
      </c>
      <c r="F47" s="17">
        <v>4174</v>
      </c>
      <c r="G47" s="17">
        <v>19163</v>
      </c>
      <c r="H47" s="17">
        <v>19166</v>
      </c>
      <c r="I47" s="17">
        <v>17242</v>
      </c>
      <c r="J47" s="17">
        <v>13718</v>
      </c>
      <c r="K47" s="17">
        <v>10950</v>
      </c>
      <c r="L47" s="17">
        <v>8741</v>
      </c>
      <c r="M47" s="17">
        <v>6993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  <c r="AE47" s="17">
        <v>0</v>
      </c>
      <c r="AF47" s="17">
        <v>0</v>
      </c>
      <c r="AG47" s="17">
        <v>0</v>
      </c>
      <c r="AH47" s="17">
        <v>0</v>
      </c>
      <c r="AI47" s="17">
        <v>0</v>
      </c>
      <c r="AJ47" s="17">
        <v>0</v>
      </c>
      <c r="AK47" s="17">
        <v>0</v>
      </c>
      <c r="AL47" s="17">
        <v>0</v>
      </c>
      <c r="AM47" s="17">
        <v>0</v>
      </c>
      <c r="AN47" s="17">
        <v>0</v>
      </c>
      <c r="AO47" s="17">
        <v>0</v>
      </c>
      <c r="AP47" s="18">
        <f t="shared" si="0"/>
        <v>100147</v>
      </c>
    </row>
    <row r="48" spans="1:42" ht="15" customHeight="1" x14ac:dyDescent="0.2">
      <c r="A48" s="16" t="s">
        <v>522</v>
      </c>
      <c r="B48" s="16" t="s">
        <v>534</v>
      </c>
      <c r="C48" s="16" t="s">
        <v>216</v>
      </c>
      <c r="D48" s="16" t="s">
        <v>650</v>
      </c>
      <c r="E48" s="17">
        <v>6327</v>
      </c>
      <c r="F48" s="17">
        <v>8370</v>
      </c>
      <c r="G48" s="17">
        <v>9825</v>
      </c>
      <c r="H48" s="17">
        <v>10814</v>
      </c>
      <c r="I48" s="17">
        <v>11476</v>
      </c>
      <c r="J48" s="17">
        <v>11791</v>
      </c>
      <c r="K48" s="17">
        <v>11922</v>
      </c>
      <c r="L48" s="17">
        <v>11882</v>
      </c>
      <c r="M48" s="17">
        <v>11739</v>
      </c>
      <c r="N48" s="17">
        <v>11429</v>
      </c>
      <c r="O48" s="17">
        <v>11079</v>
      </c>
      <c r="P48" s="17">
        <v>10672</v>
      </c>
      <c r="Q48" s="17">
        <v>10243</v>
      </c>
      <c r="R48" s="17">
        <v>9728</v>
      </c>
      <c r="S48" s="17">
        <v>9248</v>
      </c>
      <c r="T48" s="17">
        <v>8785</v>
      </c>
      <c r="U48" s="17">
        <v>8367</v>
      </c>
      <c r="V48" s="17">
        <v>27857</v>
      </c>
      <c r="W48" s="17">
        <v>26465</v>
      </c>
      <c r="X48" s="17">
        <v>25143</v>
      </c>
      <c r="Y48" s="17">
        <v>0</v>
      </c>
      <c r="Z48" s="17">
        <v>0</v>
      </c>
      <c r="AA48" s="17">
        <v>0</v>
      </c>
      <c r="AB48" s="17">
        <v>0</v>
      </c>
      <c r="AC48" s="17">
        <v>0</v>
      </c>
      <c r="AD48" s="17">
        <v>0</v>
      </c>
      <c r="AE48" s="17">
        <v>0</v>
      </c>
      <c r="AF48" s="17">
        <v>0</v>
      </c>
      <c r="AG48" s="17">
        <v>0</v>
      </c>
      <c r="AH48" s="17">
        <v>0</v>
      </c>
      <c r="AI48" s="17">
        <v>0</v>
      </c>
      <c r="AJ48" s="17">
        <v>0</v>
      </c>
      <c r="AK48" s="17">
        <v>0</v>
      </c>
      <c r="AL48" s="17">
        <v>0</v>
      </c>
      <c r="AM48" s="17">
        <v>0</v>
      </c>
      <c r="AN48" s="17">
        <v>0</v>
      </c>
      <c r="AO48" s="17">
        <v>0</v>
      </c>
      <c r="AP48" s="18">
        <f t="shared" si="0"/>
        <v>253162</v>
      </c>
    </row>
    <row r="49" spans="1:42" ht="15" customHeight="1" x14ac:dyDescent="0.2">
      <c r="A49" s="16" t="s">
        <v>522</v>
      </c>
      <c r="B49" s="16" t="s">
        <v>534</v>
      </c>
      <c r="C49" s="16" t="s">
        <v>350</v>
      </c>
      <c r="D49" s="16" t="s">
        <v>650</v>
      </c>
      <c r="E49" s="17">
        <v>0</v>
      </c>
      <c r="F49" s="17">
        <v>0</v>
      </c>
      <c r="G49" s="17">
        <v>0</v>
      </c>
      <c r="H49" s="17">
        <v>1140</v>
      </c>
      <c r="I49" s="17">
        <v>8590</v>
      </c>
      <c r="J49" s="17">
        <v>8772</v>
      </c>
      <c r="K49" s="17">
        <v>8053</v>
      </c>
      <c r="L49" s="17">
        <v>6442</v>
      </c>
      <c r="M49" s="17">
        <v>5159</v>
      </c>
      <c r="N49" s="17">
        <v>0</v>
      </c>
      <c r="O49" s="17">
        <v>0</v>
      </c>
      <c r="P49" s="17">
        <v>0</v>
      </c>
      <c r="Q49" s="17">
        <v>0</v>
      </c>
      <c r="R49" s="17">
        <v>0</v>
      </c>
      <c r="S49" s="17">
        <v>0</v>
      </c>
      <c r="T49" s="17">
        <v>0</v>
      </c>
      <c r="U49" s="17">
        <v>0</v>
      </c>
      <c r="V49" s="17">
        <v>0</v>
      </c>
      <c r="W49" s="17">
        <v>0</v>
      </c>
      <c r="X49" s="17">
        <v>0</v>
      </c>
      <c r="Y49" s="17">
        <v>0</v>
      </c>
      <c r="Z49" s="17">
        <v>0</v>
      </c>
      <c r="AA49" s="17">
        <v>0</v>
      </c>
      <c r="AB49" s="17">
        <v>0</v>
      </c>
      <c r="AC49" s="17">
        <v>0</v>
      </c>
      <c r="AD49" s="17">
        <v>0</v>
      </c>
      <c r="AE49" s="17">
        <v>0</v>
      </c>
      <c r="AF49" s="17">
        <v>0</v>
      </c>
      <c r="AG49" s="17">
        <v>0</v>
      </c>
      <c r="AH49" s="17">
        <v>0</v>
      </c>
      <c r="AI49" s="17">
        <v>0</v>
      </c>
      <c r="AJ49" s="17">
        <v>0</v>
      </c>
      <c r="AK49" s="17">
        <v>0</v>
      </c>
      <c r="AL49" s="17">
        <v>0</v>
      </c>
      <c r="AM49" s="17">
        <v>0</v>
      </c>
      <c r="AN49" s="17">
        <v>0</v>
      </c>
      <c r="AO49" s="17">
        <v>0</v>
      </c>
      <c r="AP49" s="18">
        <f t="shared" si="0"/>
        <v>38156</v>
      </c>
    </row>
    <row r="50" spans="1:42" ht="15" customHeight="1" x14ac:dyDescent="0.2">
      <c r="A50" s="16" t="s">
        <v>522</v>
      </c>
      <c r="B50" s="16" t="s">
        <v>534</v>
      </c>
      <c r="C50" s="16" t="s">
        <v>430</v>
      </c>
      <c r="D50" s="16" t="s">
        <v>650</v>
      </c>
      <c r="E50" s="17">
        <v>11959</v>
      </c>
      <c r="F50" s="17">
        <v>35141</v>
      </c>
      <c r="G50" s="17">
        <v>65963</v>
      </c>
      <c r="H50" s="17">
        <v>116871</v>
      </c>
      <c r="I50" s="17">
        <v>148793</v>
      </c>
      <c r="J50" s="17">
        <v>164935</v>
      </c>
      <c r="K50" s="17">
        <v>172353</v>
      </c>
      <c r="L50" s="17">
        <v>174178</v>
      </c>
      <c r="M50" s="17">
        <v>173037</v>
      </c>
      <c r="N50" s="17">
        <v>171752</v>
      </c>
      <c r="O50" s="17">
        <v>165856</v>
      </c>
      <c r="P50" s="17">
        <v>159072</v>
      </c>
      <c r="Q50" s="17">
        <v>152586</v>
      </c>
      <c r="R50" s="17">
        <v>145202</v>
      </c>
      <c r="S50" s="17">
        <v>140035</v>
      </c>
      <c r="T50" s="17">
        <v>132890</v>
      </c>
      <c r="U50" s="17">
        <v>123321</v>
      </c>
      <c r="V50" s="17">
        <v>117319</v>
      </c>
      <c r="W50" s="17">
        <v>673030</v>
      </c>
      <c r="X50" s="17">
        <v>599893</v>
      </c>
      <c r="Y50" s="17">
        <v>0</v>
      </c>
      <c r="Z50" s="17">
        <v>0</v>
      </c>
      <c r="AA50" s="17">
        <v>0</v>
      </c>
      <c r="AB50" s="17">
        <v>0</v>
      </c>
      <c r="AC50" s="17">
        <v>0</v>
      </c>
      <c r="AD50" s="17">
        <v>0</v>
      </c>
      <c r="AE50" s="17">
        <v>0</v>
      </c>
      <c r="AF50" s="17">
        <v>0</v>
      </c>
      <c r="AG50" s="17">
        <v>0</v>
      </c>
      <c r="AH50" s="17">
        <v>0</v>
      </c>
      <c r="AI50" s="17">
        <v>0</v>
      </c>
      <c r="AJ50" s="17">
        <v>0</v>
      </c>
      <c r="AK50" s="17">
        <v>0</v>
      </c>
      <c r="AL50" s="17">
        <v>0</v>
      </c>
      <c r="AM50" s="17">
        <v>0</v>
      </c>
      <c r="AN50" s="17">
        <v>0</v>
      </c>
      <c r="AO50" s="17">
        <v>0</v>
      </c>
      <c r="AP50" s="18">
        <f t="shared" si="0"/>
        <v>3644186</v>
      </c>
    </row>
    <row r="51" spans="1:42" ht="15" customHeight="1" x14ac:dyDescent="0.2">
      <c r="A51" s="16" t="s">
        <v>522</v>
      </c>
      <c r="B51" s="16" t="s">
        <v>335</v>
      </c>
      <c r="C51" s="16" t="s">
        <v>335</v>
      </c>
      <c r="D51" s="16" t="s">
        <v>650</v>
      </c>
      <c r="E51" s="17">
        <v>10076</v>
      </c>
      <c r="F51" s="17">
        <v>12831.1</v>
      </c>
      <c r="G51" s="17">
        <v>10848.8</v>
      </c>
      <c r="H51" s="17">
        <v>9167.2999999999993</v>
      </c>
      <c r="I51" s="17">
        <v>7776</v>
      </c>
      <c r="J51" s="17">
        <v>6552.4</v>
      </c>
      <c r="K51" s="17">
        <v>5533.9</v>
      </c>
      <c r="L51" s="17">
        <v>4679.5</v>
      </c>
      <c r="M51" s="17">
        <v>3970.4</v>
      </c>
      <c r="N51" s="17">
        <v>3347.6</v>
      </c>
      <c r="O51" s="17">
        <v>2830.9</v>
      </c>
      <c r="P51" s="17">
        <v>2392.9</v>
      </c>
      <c r="Q51" s="17">
        <v>2024.8</v>
      </c>
      <c r="R51" s="17">
        <v>1708.8</v>
      </c>
      <c r="S51" s="17">
        <v>1447.4</v>
      </c>
      <c r="T51" s="17">
        <v>1222.2</v>
      </c>
      <c r="U51" s="17">
        <v>1036.9000000000001</v>
      </c>
      <c r="V51" s="17">
        <v>869.7</v>
      </c>
      <c r="W51" s="17">
        <v>738.8</v>
      </c>
      <c r="X51" s="17">
        <v>620.29999999999995</v>
      </c>
      <c r="Y51" s="17">
        <v>530.6</v>
      </c>
      <c r="Z51" s="17">
        <v>443.9</v>
      </c>
      <c r="AA51" s="17">
        <v>380.1</v>
      </c>
      <c r="AB51" s="17">
        <v>0</v>
      </c>
      <c r="AC51" s="17">
        <v>0</v>
      </c>
      <c r="AD51" s="17">
        <v>0</v>
      </c>
      <c r="AE51" s="17">
        <v>0</v>
      </c>
      <c r="AF51" s="17">
        <v>0</v>
      </c>
      <c r="AG51" s="17">
        <v>0</v>
      </c>
      <c r="AH51" s="17">
        <v>0</v>
      </c>
      <c r="AI51" s="17">
        <v>0</v>
      </c>
      <c r="AJ51" s="17">
        <v>0</v>
      </c>
      <c r="AK51" s="17">
        <v>0</v>
      </c>
      <c r="AL51" s="17">
        <v>0</v>
      </c>
      <c r="AM51" s="17">
        <v>0</v>
      </c>
      <c r="AN51" s="17">
        <v>0</v>
      </c>
      <c r="AO51" s="17">
        <v>0</v>
      </c>
      <c r="AP51" s="18">
        <f t="shared" si="0"/>
        <v>91030.299999999988</v>
      </c>
    </row>
    <row r="52" spans="1:42" ht="15" customHeight="1" x14ac:dyDescent="0.2">
      <c r="A52" s="16" t="s">
        <v>522</v>
      </c>
      <c r="B52" s="16" t="s">
        <v>536</v>
      </c>
      <c r="C52" s="16" t="s">
        <v>385</v>
      </c>
      <c r="D52" s="16" t="s">
        <v>650</v>
      </c>
      <c r="E52" s="17">
        <v>1348</v>
      </c>
      <c r="F52" s="17">
        <v>10348</v>
      </c>
      <c r="G52" s="17">
        <v>11002</v>
      </c>
      <c r="H52" s="17">
        <v>9591</v>
      </c>
      <c r="I52" s="17">
        <v>8381</v>
      </c>
      <c r="J52" s="17">
        <v>7288</v>
      </c>
      <c r="K52" s="17">
        <v>6360</v>
      </c>
      <c r="L52" s="17">
        <v>5547</v>
      </c>
      <c r="M52" s="17">
        <v>4852</v>
      </c>
      <c r="N52" s="17">
        <v>0</v>
      </c>
      <c r="O52" s="17">
        <v>0</v>
      </c>
      <c r="P52" s="17">
        <v>0</v>
      </c>
      <c r="Q52" s="17">
        <v>0</v>
      </c>
      <c r="R52" s="17">
        <v>0</v>
      </c>
      <c r="S52" s="17">
        <v>0</v>
      </c>
      <c r="T52" s="17">
        <v>0</v>
      </c>
      <c r="U52" s="17">
        <v>0</v>
      </c>
      <c r="V52" s="17">
        <v>0</v>
      </c>
      <c r="W52" s="17">
        <v>0</v>
      </c>
      <c r="X52" s="17">
        <v>0</v>
      </c>
      <c r="Y52" s="17">
        <v>0</v>
      </c>
      <c r="Z52" s="17">
        <v>0</v>
      </c>
      <c r="AA52" s="17">
        <v>0</v>
      </c>
      <c r="AB52" s="17">
        <v>0</v>
      </c>
      <c r="AC52" s="17">
        <v>0</v>
      </c>
      <c r="AD52" s="17">
        <v>0</v>
      </c>
      <c r="AE52" s="17">
        <v>0</v>
      </c>
      <c r="AF52" s="17">
        <v>0</v>
      </c>
      <c r="AG52" s="17">
        <v>0</v>
      </c>
      <c r="AH52" s="17">
        <v>0</v>
      </c>
      <c r="AI52" s="17">
        <v>0</v>
      </c>
      <c r="AJ52" s="17">
        <v>0</v>
      </c>
      <c r="AK52" s="17">
        <v>0</v>
      </c>
      <c r="AL52" s="17">
        <v>0</v>
      </c>
      <c r="AM52" s="17">
        <v>0</v>
      </c>
      <c r="AN52" s="17">
        <v>0</v>
      </c>
      <c r="AO52" s="17">
        <v>0</v>
      </c>
      <c r="AP52" s="18">
        <f t="shared" si="0"/>
        <v>64717</v>
      </c>
    </row>
    <row r="53" spans="1:42" ht="15" customHeight="1" x14ac:dyDescent="0.2">
      <c r="A53" s="16" t="s">
        <v>522</v>
      </c>
      <c r="B53" s="16" t="s">
        <v>537</v>
      </c>
      <c r="C53" s="16" t="s">
        <v>240</v>
      </c>
      <c r="D53" s="16" t="s">
        <v>650</v>
      </c>
      <c r="E53" s="17">
        <v>18606.879000000001</v>
      </c>
      <c r="F53" s="17">
        <v>23269.309300000001</v>
      </c>
      <c r="G53" s="17">
        <v>361422.25150000001</v>
      </c>
      <c r="H53" s="17">
        <v>475570.13760000002</v>
      </c>
      <c r="I53" s="17">
        <v>418388.10820000002</v>
      </c>
      <c r="J53" s="17">
        <v>375105.30450000003</v>
      </c>
      <c r="K53" s="17">
        <v>333503.6556</v>
      </c>
      <c r="L53" s="17">
        <v>293976.81809999997</v>
      </c>
      <c r="M53" s="17">
        <v>276284.00160000002</v>
      </c>
      <c r="N53" s="17">
        <v>242766.85680000001</v>
      </c>
      <c r="O53" s="17">
        <v>194572.05720000001</v>
      </c>
      <c r="P53" s="17">
        <v>171251.17110000001</v>
      </c>
      <c r="Q53" s="17">
        <v>151052.1286</v>
      </c>
      <c r="R53" s="17">
        <v>234374.16130000001</v>
      </c>
      <c r="S53" s="17">
        <v>0</v>
      </c>
      <c r="T53" s="17">
        <v>0</v>
      </c>
      <c r="U53" s="17">
        <v>0</v>
      </c>
      <c r="V53" s="17">
        <v>0</v>
      </c>
      <c r="W53" s="17">
        <v>0</v>
      </c>
      <c r="X53" s="17">
        <v>0</v>
      </c>
      <c r="Y53" s="17">
        <v>0</v>
      </c>
      <c r="Z53" s="17">
        <v>0</v>
      </c>
      <c r="AA53" s="17">
        <v>0</v>
      </c>
      <c r="AB53" s="17">
        <v>0</v>
      </c>
      <c r="AC53" s="17">
        <v>0</v>
      </c>
      <c r="AD53" s="17">
        <v>0</v>
      </c>
      <c r="AE53" s="17">
        <v>0</v>
      </c>
      <c r="AF53" s="17">
        <v>0</v>
      </c>
      <c r="AG53" s="17">
        <v>0</v>
      </c>
      <c r="AH53" s="17">
        <v>0</v>
      </c>
      <c r="AI53" s="17">
        <v>0</v>
      </c>
      <c r="AJ53" s="17">
        <v>0</v>
      </c>
      <c r="AK53" s="17">
        <v>0</v>
      </c>
      <c r="AL53" s="17">
        <v>0</v>
      </c>
      <c r="AM53" s="17">
        <v>0</v>
      </c>
      <c r="AN53" s="17">
        <v>0</v>
      </c>
      <c r="AO53" s="17">
        <v>0</v>
      </c>
      <c r="AP53" s="18">
        <f t="shared" si="0"/>
        <v>3570142.8404000001</v>
      </c>
    </row>
    <row r="54" spans="1:42" ht="15" customHeight="1" x14ac:dyDescent="0.2">
      <c r="A54" s="16" t="s">
        <v>522</v>
      </c>
      <c r="B54" s="16" t="s">
        <v>537</v>
      </c>
      <c r="C54" s="16" t="s">
        <v>241</v>
      </c>
      <c r="D54" s="16" t="s">
        <v>650</v>
      </c>
      <c r="E54" s="17">
        <v>10847.379800000001</v>
      </c>
      <c r="F54" s="17">
        <v>0</v>
      </c>
      <c r="G54" s="17">
        <v>0</v>
      </c>
      <c r="H54" s="17">
        <v>0</v>
      </c>
      <c r="I54" s="17">
        <v>0</v>
      </c>
      <c r="J54" s="17">
        <v>0</v>
      </c>
      <c r="K54" s="17">
        <v>0</v>
      </c>
      <c r="L54" s="17">
        <v>0</v>
      </c>
      <c r="M54" s="17">
        <v>0</v>
      </c>
      <c r="N54" s="17">
        <v>0</v>
      </c>
      <c r="O54" s="17">
        <v>0</v>
      </c>
      <c r="P54" s="17">
        <v>0</v>
      </c>
      <c r="Q54" s="17">
        <v>0</v>
      </c>
      <c r="R54" s="17">
        <v>0</v>
      </c>
      <c r="S54" s="17">
        <v>0</v>
      </c>
      <c r="T54" s="17">
        <v>0</v>
      </c>
      <c r="U54" s="17">
        <v>0</v>
      </c>
      <c r="V54" s="17">
        <v>0</v>
      </c>
      <c r="W54" s="17">
        <v>0</v>
      </c>
      <c r="X54" s="17">
        <v>0</v>
      </c>
      <c r="Y54" s="17">
        <v>0</v>
      </c>
      <c r="Z54" s="17">
        <v>0</v>
      </c>
      <c r="AA54" s="17">
        <v>0</v>
      </c>
      <c r="AB54" s="17">
        <v>0</v>
      </c>
      <c r="AC54" s="17">
        <v>0</v>
      </c>
      <c r="AD54" s="17">
        <v>0</v>
      </c>
      <c r="AE54" s="17">
        <v>0</v>
      </c>
      <c r="AF54" s="17">
        <v>0</v>
      </c>
      <c r="AG54" s="17">
        <v>0</v>
      </c>
      <c r="AH54" s="17">
        <v>0</v>
      </c>
      <c r="AI54" s="17">
        <v>0</v>
      </c>
      <c r="AJ54" s="17">
        <v>0</v>
      </c>
      <c r="AK54" s="17">
        <v>0</v>
      </c>
      <c r="AL54" s="17">
        <v>0</v>
      </c>
      <c r="AM54" s="17">
        <v>0</v>
      </c>
      <c r="AN54" s="17">
        <v>0</v>
      </c>
      <c r="AO54" s="17">
        <v>0</v>
      </c>
      <c r="AP54" s="18">
        <f t="shared" si="0"/>
        <v>10847.379800000001</v>
      </c>
    </row>
    <row r="55" spans="1:42" ht="15" customHeight="1" x14ac:dyDescent="0.2">
      <c r="A55" s="16" t="s">
        <v>522</v>
      </c>
      <c r="B55" s="16" t="s">
        <v>537</v>
      </c>
      <c r="C55" s="16" t="s">
        <v>340</v>
      </c>
      <c r="D55" s="16" t="s">
        <v>650</v>
      </c>
      <c r="E55" s="17">
        <v>243726.2904</v>
      </c>
      <c r="F55" s="17">
        <v>560801.13009999995</v>
      </c>
      <c r="G55" s="17">
        <v>480415.89899999998</v>
      </c>
      <c r="H55" s="17">
        <v>431352.3174</v>
      </c>
      <c r="I55" s="17">
        <v>416143.08549999999</v>
      </c>
      <c r="J55" s="17">
        <v>420489.89669999998</v>
      </c>
      <c r="K55" s="17">
        <v>399980.02990000002</v>
      </c>
      <c r="L55" s="17">
        <v>364117.18849999999</v>
      </c>
      <c r="M55" s="17">
        <v>324579.59019999998</v>
      </c>
      <c r="N55" s="17">
        <v>275948.49780000001</v>
      </c>
      <c r="O55" s="17">
        <v>233253.5968</v>
      </c>
      <c r="P55" s="17">
        <v>196063.8971</v>
      </c>
      <c r="Q55" s="17">
        <v>164608.0791</v>
      </c>
      <c r="R55" s="17">
        <v>0</v>
      </c>
      <c r="S55" s="17">
        <v>0</v>
      </c>
      <c r="T55" s="17">
        <v>0</v>
      </c>
      <c r="U55" s="17">
        <v>0</v>
      </c>
      <c r="V55" s="17">
        <v>0</v>
      </c>
      <c r="W55" s="17">
        <v>0</v>
      </c>
      <c r="X55" s="17">
        <v>0</v>
      </c>
      <c r="Y55" s="17">
        <v>0</v>
      </c>
      <c r="Z55" s="17">
        <v>0</v>
      </c>
      <c r="AA55" s="17">
        <v>0</v>
      </c>
      <c r="AB55" s="17">
        <v>0</v>
      </c>
      <c r="AC55" s="17">
        <v>0</v>
      </c>
      <c r="AD55" s="17">
        <v>0</v>
      </c>
      <c r="AE55" s="17">
        <v>0</v>
      </c>
      <c r="AF55" s="17">
        <v>0</v>
      </c>
      <c r="AG55" s="17">
        <v>0</v>
      </c>
      <c r="AH55" s="17">
        <v>0</v>
      </c>
      <c r="AI55" s="17">
        <v>0</v>
      </c>
      <c r="AJ55" s="17">
        <v>0</v>
      </c>
      <c r="AK55" s="17">
        <v>0</v>
      </c>
      <c r="AL55" s="17">
        <v>0</v>
      </c>
      <c r="AM55" s="17">
        <v>0</v>
      </c>
      <c r="AN55" s="17">
        <v>0</v>
      </c>
      <c r="AO55" s="17">
        <v>0</v>
      </c>
      <c r="AP55" s="18">
        <f t="shared" si="0"/>
        <v>4511479.4984999998</v>
      </c>
    </row>
    <row r="56" spans="1:42" ht="15" customHeight="1" x14ac:dyDescent="0.2">
      <c r="A56" s="16" t="s">
        <v>522</v>
      </c>
      <c r="B56" s="16" t="s">
        <v>538</v>
      </c>
      <c r="C56" s="16" t="s">
        <v>134</v>
      </c>
      <c r="D56" s="16" t="s">
        <v>650</v>
      </c>
      <c r="E56" s="17">
        <v>2442</v>
      </c>
      <c r="F56" s="17">
        <v>4253</v>
      </c>
      <c r="G56" s="17">
        <v>3189</v>
      </c>
      <c r="H56" s="17">
        <v>2389</v>
      </c>
      <c r="I56" s="17">
        <v>1795</v>
      </c>
      <c r="J56" s="17">
        <v>1340</v>
      </c>
      <c r="K56" s="17">
        <v>1004</v>
      </c>
      <c r="L56" s="17">
        <v>753</v>
      </c>
      <c r="M56" s="17">
        <v>566</v>
      </c>
      <c r="N56" s="17">
        <v>0</v>
      </c>
      <c r="O56" s="17">
        <v>0</v>
      </c>
      <c r="P56" s="17">
        <v>0</v>
      </c>
      <c r="Q56" s="17">
        <v>0</v>
      </c>
      <c r="R56" s="17">
        <v>0</v>
      </c>
      <c r="S56" s="17">
        <v>0</v>
      </c>
      <c r="T56" s="17">
        <v>0</v>
      </c>
      <c r="U56" s="17">
        <v>0</v>
      </c>
      <c r="V56" s="17">
        <v>0</v>
      </c>
      <c r="W56" s="17">
        <v>0</v>
      </c>
      <c r="X56" s="17">
        <v>0</v>
      </c>
      <c r="Y56" s="17">
        <v>0</v>
      </c>
      <c r="Z56" s="17">
        <v>0</v>
      </c>
      <c r="AA56" s="17">
        <v>0</v>
      </c>
      <c r="AB56" s="17">
        <v>0</v>
      </c>
      <c r="AC56" s="17">
        <v>0</v>
      </c>
      <c r="AD56" s="17">
        <v>0</v>
      </c>
      <c r="AE56" s="17">
        <v>0</v>
      </c>
      <c r="AF56" s="17">
        <v>0</v>
      </c>
      <c r="AG56" s="17">
        <v>0</v>
      </c>
      <c r="AH56" s="17">
        <v>0</v>
      </c>
      <c r="AI56" s="17">
        <v>0</v>
      </c>
      <c r="AJ56" s="17">
        <v>0</v>
      </c>
      <c r="AK56" s="17">
        <v>0</v>
      </c>
      <c r="AL56" s="17">
        <v>0</v>
      </c>
      <c r="AM56" s="17">
        <v>0</v>
      </c>
      <c r="AN56" s="17">
        <v>0</v>
      </c>
      <c r="AO56" s="17">
        <v>0</v>
      </c>
      <c r="AP56" s="18">
        <f t="shared" si="0"/>
        <v>17731</v>
      </c>
    </row>
    <row r="57" spans="1:42" ht="15" customHeight="1" x14ac:dyDescent="0.2">
      <c r="A57" s="16" t="s">
        <v>522</v>
      </c>
      <c r="B57" s="16" t="s">
        <v>538</v>
      </c>
      <c r="C57" s="16" t="s">
        <v>150</v>
      </c>
      <c r="D57" s="16" t="s">
        <v>650</v>
      </c>
      <c r="E57" s="17">
        <v>2349</v>
      </c>
      <c r="F57" s="17">
        <v>4218</v>
      </c>
      <c r="G57" s="17">
        <v>5631</v>
      </c>
      <c r="H57" s="17">
        <v>6647</v>
      </c>
      <c r="I57" s="17">
        <v>7348</v>
      </c>
      <c r="J57" s="17">
        <v>7738</v>
      </c>
      <c r="K57" s="17">
        <v>7935</v>
      </c>
      <c r="L57" s="17">
        <v>7341</v>
      </c>
      <c r="M57" s="17">
        <v>3146</v>
      </c>
      <c r="N57" s="17">
        <v>3281</v>
      </c>
      <c r="O57" s="17">
        <v>3504</v>
      </c>
      <c r="P57" s="17">
        <v>17898</v>
      </c>
      <c r="Q57" s="17">
        <v>0</v>
      </c>
      <c r="R57" s="17">
        <v>0</v>
      </c>
      <c r="S57" s="17">
        <v>0</v>
      </c>
      <c r="T57" s="17">
        <v>0</v>
      </c>
      <c r="U57" s="17">
        <v>0</v>
      </c>
      <c r="V57" s="17">
        <v>0</v>
      </c>
      <c r="W57" s="17">
        <v>0</v>
      </c>
      <c r="X57" s="17">
        <v>0</v>
      </c>
      <c r="Y57" s="17">
        <v>0</v>
      </c>
      <c r="Z57" s="17">
        <v>0</v>
      </c>
      <c r="AA57" s="17">
        <v>0</v>
      </c>
      <c r="AB57" s="17">
        <v>0</v>
      </c>
      <c r="AC57" s="17">
        <v>0</v>
      </c>
      <c r="AD57" s="17">
        <v>0</v>
      </c>
      <c r="AE57" s="17">
        <v>0</v>
      </c>
      <c r="AF57" s="17">
        <v>0</v>
      </c>
      <c r="AG57" s="17">
        <v>0</v>
      </c>
      <c r="AH57" s="17">
        <v>0</v>
      </c>
      <c r="AI57" s="17">
        <v>0</v>
      </c>
      <c r="AJ57" s="17">
        <v>0</v>
      </c>
      <c r="AK57" s="17">
        <v>0</v>
      </c>
      <c r="AL57" s="17">
        <v>0</v>
      </c>
      <c r="AM57" s="17">
        <v>0</v>
      </c>
      <c r="AN57" s="17">
        <v>0</v>
      </c>
      <c r="AO57" s="17">
        <v>0</v>
      </c>
      <c r="AP57" s="18">
        <f t="shared" si="0"/>
        <v>77036</v>
      </c>
    </row>
    <row r="58" spans="1:42" ht="15" customHeight="1" x14ac:dyDescent="0.2">
      <c r="A58" s="16" t="s">
        <v>522</v>
      </c>
      <c r="B58" s="16" t="s">
        <v>538</v>
      </c>
      <c r="C58" s="16" t="s">
        <v>227</v>
      </c>
      <c r="D58" s="16" t="s">
        <v>650</v>
      </c>
      <c r="E58" s="17">
        <v>7343</v>
      </c>
      <c r="F58" s="17">
        <v>16003</v>
      </c>
      <c r="G58" s="17">
        <v>19245</v>
      </c>
      <c r="H58" s="17">
        <v>145764</v>
      </c>
      <c r="I58" s="17">
        <v>0</v>
      </c>
      <c r="J58" s="17">
        <v>0</v>
      </c>
      <c r="K58" s="17">
        <v>0</v>
      </c>
      <c r="L58" s="17">
        <v>0</v>
      </c>
      <c r="M58" s="17">
        <v>0</v>
      </c>
      <c r="N58" s="17">
        <v>0</v>
      </c>
      <c r="O58" s="17">
        <v>0</v>
      </c>
      <c r="P58" s="17">
        <v>0</v>
      </c>
      <c r="Q58" s="17">
        <v>0</v>
      </c>
      <c r="R58" s="17">
        <v>0</v>
      </c>
      <c r="S58" s="17">
        <v>0</v>
      </c>
      <c r="T58" s="17">
        <v>0</v>
      </c>
      <c r="U58" s="17">
        <v>0</v>
      </c>
      <c r="V58" s="17">
        <v>0</v>
      </c>
      <c r="W58" s="17">
        <v>0</v>
      </c>
      <c r="X58" s="17">
        <v>0</v>
      </c>
      <c r="Y58" s="17">
        <v>0</v>
      </c>
      <c r="Z58" s="17">
        <v>0</v>
      </c>
      <c r="AA58" s="17">
        <v>0</v>
      </c>
      <c r="AB58" s="17">
        <v>0</v>
      </c>
      <c r="AC58" s="17">
        <v>0</v>
      </c>
      <c r="AD58" s="17">
        <v>0</v>
      </c>
      <c r="AE58" s="17">
        <v>0</v>
      </c>
      <c r="AF58" s="17">
        <v>0</v>
      </c>
      <c r="AG58" s="17">
        <v>0</v>
      </c>
      <c r="AH58" s="17">
        <v>0</v>
      </c>
      <c r="AI58" s="17">
        <v>0</v>
      </c>
      <c r="AJ58" s="17">
        <v>0</v>
      </c>
      <c r="AK58" s="17">
        <v>0</v>
      </c>
      <c r="AL58" s="17">
        <v>0</v>
      </c>
      <c r="AM58" s="17">
        <v>0</v>
      </c>
      <c r="AN58" s="17">
        <v>0</v>
      </c>
      <c r="AO58" s="17">
        <v>0</v>
      </c>
      <c r="AP58" s="18">
        <f t="shared" si="0"/>
        <v>188355</v>
      </c>
    </row>
    <row r="59" spans="1:42" ht="15" customHeight="1" x14ac:dyDescent="0.2">
      <c r="A59" s="16" t="s">
        <v>522</v>
      </c>
      <c r="B59" s="16" t="s">
        <v>538</v>
      </c>
      <c r="C59" s="16" t="s">
        <v>228</v>
      </c>
      <c r="D59" s="16" t="s">
        <v>650</v>
      </c>
      <c r="E59" s="17">
        <v>4524</v>
      </c>
      <c r="F59" s="17">
        <v>8020</v>
      </c>
      <c r="G59" s="17">
        <v>10129</v>
      </c>
      <c r="H59" s="17">
        <v>11118</v>
      </c>
      <c r="I59" s="17">
        <v>11433</v>
      </c>
      <c r="J59" s="17">
        <v>11222</v>
      </c>
      <c r="K59" s="17">
        <v>37227</v>
      </c>
      <c r="L59" s="17">
        <v>31855</v>
      </c>
      <c r="M59" s="17">
        <v>0</v>
      </c>
      <c r="N59" s="17">
        <v>0</v>
      </c>
      <c r="O59" s="17">
        <v>0</v>
      </c>
      <c r="P59" s="17">
        <v>0</v>
      </c>
      <c r="Q59" s="17">
        <v>0</v>
      </c>
      <c r="R59" s="17">
        <v>0</v>
      </c>
      <c r="S59" s="17">
        <v>0</v>
      </c>
      <c r="T59" s="17">
        <v>0</v>
      </c>
      <c r="U59" s="17">
        <v>0</v>
      </c>
      <c r="V59" s="17">
        <v>0</v>
      </c>
      <c r="W59" s="17">
        <v>0</v>
      </c>
      <c r="X59" s="17">
        <v>0</v>
      </c>
      <c r="Y59" s="17">
        <v>0</v>
      </c>
      <c r="Z59" s="17">
        <v>0</v>
      </c>
      <c r="AA59" s="17">
        <v>0</v>
      </c>
      <c r="AB59" s="17">
        <v>0</v>
      </c>
      <c r="AC59" s="17">
        <v>0</v>
      </c>
      <c r="AD59" s="17">
        <v>0</v>
      </c>
      <c r="AE59" s="17">
        <v>0</v>
      </c>
      <c r="AF59" s="17">
        <v>0</v>
      </c>
      <c r="AG59" s="17">
        <v>0</v>
      </c>
      <c r="AH59" s="17">
        <v>0</v>
      </c>
      <c r="AI59" s="17">
        <v>0</v>
      </c>
      <c r="AJ59" s="17">
        <v>0</v>
      </c>
      <c r="AK59" s="17">
        <v>0</v>
      </c>
      <c r="AL59" s="17">
        <v>0</v>
      </c>
      <c r="AM59" s="17">
        <v>0</v>
      </c>
      <c r="AN59" s="17">
        <v>0</v>
      </c>
      <c r="AO59" s="17">
        <v>0</v>
      </c>
      <c r="AP59" s="18">
        <f t="shared" si="0"/>
        <v>125528</v>
      </c>
    </row>
    <row r="60" spans="1:42" ht="15" customHeight="1" x14ac:dyDescent="0.2">
      <c r="A60" s="16" t="s">
        <v>522</v>
      </c>
      <c r="B60" s="16" t="s">
        <v>538</v>
      </c>
      <c r="C60" s="16" t="s">
        <v>229</v>
      </c>
      <c r="D60" s="16" t="s">
        <v>650</v>
      </c>
      <c r="E60" s="17">
        <v>0</v>
      </c>
      <c r="F60" s="17">
        <v>0</v>
      </c>
      <c r="G60" s="17">
        <v>294</v>
      </c>
      <c r="H60" s="17">
        <v>3544</v>
      </c>
      <c r="I60" s="17">
        <v>6909</v>
      </c>
      <c r="J60" s="17">
        <v>9437</v>
      </c>
      <c r="K60" s="17">
        <v>11335</v>
      </c>
      <c r="L60" s="17">
        <v>12693</v>
      </c>
      <c r="M60" s="17">
        <v>13643</v>
      </c>
      <c r="N60" s="17">
        <v>14158</v>
      </c>
      <c r="O60" s="17">
        <v>14427</v>
      </c>
      <c r="P60" s="17">
        <v>14470</v>
      </c>
      <c r="Q60" s="17">
        <v>14358</v>
      </c>
      <c r="R60" s="17">
        <v>14029</v>
      </c>
      <c r="S60" s="17">
        <v>13635</v>
      </c>
      <c r="T60" s="17">
        <v>13151</v>
      </c>
      <c r="U60" s="17">
        <v>144828</v>
      </c>
      <c r="V60" s="17">
        <v>0</v>
      </c>
      <c r="W60" s="17">
        <v>0</v>
      </c>
      <c r="X60" s="17">
        <v>0</v>
      </c>
      <c r="Y60" s="17">
        <v>0</v>
      </c>
      <c r="Z60" s="17">
        <v>0</v>
      </c>
      <c r="AA60" s="17">
        <v>0</v>
      </c>
      <c r="AB60" s="17">
        <v>0</v>
      </c>
      <c r="AC60" s="17">
        <v>0</v>
      </c>
      <c r="AD60" s="17">
        <v>0</v>
      </c>
      <c r="AE60" s="17">
        <v>0</v>
      </c>
      <c r="AF60" s="17">
        <v>0</v>
      </c>
      <c r="AG60" s="17">
        <v>0</v>
      </c>
      <c r="AH60" s="17">
        <v>0</v>
      </c>
      <c r="AI60" s="17">
        <v>0</v>
      </c>
      <c r="AJ60" s="17">
        <v>0</v>
      </c>
      <c r="AK60" s="17">
        <v>0</v>
      </c>
      <c r="AL60" s="17">
        <v>0</v>
      </c>
      <c r="AM60" s="17">
        <v>0</v>
      </c>
      <c r="AN60" s="17">
        <v>0</v>
      </c>
      <c r="AO60" s="17">
        <v>0</v>
      </c>
      <c r="AP60" s="18">
        <f t="shared" si="0"/>
        <v>300911</v>
      </c>
    </row>
    <row r="61" spans="1:42" ht="15" customHeight="1" x14ac:dyDescent="0.2">
      <c r="A61" s="16" t="s">
        <v>522</v>
      </c>
      <c r="B61" s="16" t="s">
        <v>538</v>
      </c>
      <c r="C61" s="16" t="s">
        <v>338</v>
      </c>
      <c r="D61" s="16" t="s">
        <v>650</v>
      </c>
      <c r="E61" s="17">
        <v>21348</v>
      </c>
      <c r="F61" s="17">
        <v>37305</v>
      </c>
      <c r="G61" s="17">
        <v>48011</v>
      </c>
      <c r="H61" s="17">
        <v>54670</v>
      </c>
      <c r="I61" s="17">
        <v>58642</v>
      </c>
      <c r="J61" s="17">
        <v>60290</v>
      </c>
      <c r="K61" s="17">
        <v>60691</v>
      </c>
      <c r="L61" s="17">
        <v>60108</v>
      </c>
      <c r="M61" s="17">
        <v>59049</v>
      </c>
      <c r="N61" s="17">
        <v>57553</v>
      </c>
      <c r="O61" s="17">
        <v>55643</v>
      </c>
      <c r="P61" s="17">
        <v>250534</v>
      </c>
      <c r="Q61" s="17">
        <v>227617</v>
      </c>
      <c r="R61" s="17">
        <v>206220</v>
      </c>
      <c r="S61" s="17">
        <v>0</v>
      </c>
      <c r="T61" s="17">
        <v>0</v>
      </c>
      <c r="U61" s="17">
        <v>0</v>
      </c>
      <c r="V61" s="17">
        <v>0</v>
      </c>
      <c r="W61" s="17">
        <v>0</v>
      </c>
      <c r="X61" s="17">
        <v>0</v>
      </c>
      <c r="Y61" s="17">
        <v>0</v>
      </c>
      <c r="Z61" s="17">
        <v>0</v>
      </c>
      <c r="AA61" s="17">
        <v>0</v>
      </c>
      <c r="AB61" s="17">
        <v>0</v>
      </c>
      <c r="AC61" s="17">
        <v>0</v>
      </c>
      <c r="AD61" s="17">
        <v>0</v>
      </c>
      <c r="AE61" s="17">
        <v>0</v>
      </c>
      <c r="AF61" s="17">
        <v>0</v>
      </c>
      <c r="AG61" s="17">
        <v>0</v>
      </c>
      <c r="AH61" s="17">
        <v>0</v>
      </c>
      <c r="AI61" s="17">
        <v>0</v>
      </c>
      <c r="AJ61" s="17">
        <v>0</v>
      </c>
      <c r="AK61" s="17">
        <v>0</v>
      </c>
      <c r="AL61" s="17">
        <v>0</v>
      </c>
      <c r="AM61" s="17">
        <v>0</v>
      </c>
      <c r="AN61" s="17">
        <v>0</v>
      </c>
      <c r="AO61" s="17">
        <v>0</v>
      </c>
      <c r="AP61" s="18">
        <f t="shared" si="0"/>
        <v>1257681</v>
      </c>
    </row>
    <row r="62" spans="1:42" ht="15" customHeight="1" x14ac:dyDescent="0.2">
      <c r="A62" s="16" t="s">
        <v>522</v>
      </c>
      <c r="B62" s="16" t="s">
        <v>538</v>
      </c>
      <c r="C62" s="16" t="s">
        <v>396</v>
      </c>
      <c r="D62" s="16" t="s">
        <v>650</v>
      </c>
      <c r="E62" s="17">
        <v>1745</v>
      </c>
      <c r="F62" s="17">
        <v>3171</v>
      </c>
      <c r="G62" s="17">
        <v>4414</v>
      </c>
      <c r="H62" s="17">
        <v>5486</v>
      </c>
      <c r="I62" s="17">
        <v>6421</v>
      </c>
      <c r="J62" s="17">
        <v>7183</v>
      </c>
      <c r="K62" s="17">
        <v>7842</v>
      </c>
      <c r="L62" s="17">
        <v>8384</v>
      </c>
      <c r="M62" s="17">
        <v>8852</v>
      </c>
      <c r="N62" s="17">
        <v>9183</v>
      </c>
      <c r="O62" s="17">
        <v>9459</v>
      </c>
      <c r="P62" s="17">
        <v>63702</v>
      </c>
      <c r="Q62" s="17">
        <v>60217</v>
      </c>
      <c r="R62" s="17">
        <v>56614</v>
      </c>
      <c r="S62" s="17">
        <v>0</v>
      </c>
      <c r="T62" s="17">
        <v>0</v>
      </c>
      <c r="U62" s="17">
        <v>0</v>
      </c>
      <c r="V62" s="17">
        <v>0</v>
      </c>
      <c r="W62" s="17">
        <v>0</v>
      </c>
      <c r="X62" s="17">
        <v>0</v>
      </c>
      <c r="Y62" s="17">
        <v>0</v>
      </c>
      <c r="Z62" s="17">
        <v>0</v>
      </c>
      <c r="AA62" s="17">
        <v>0</v>
      </c>
      <c r="AB62" s="17">
        <v>0</v>
      </c>
      <c r="AC62" s="17">
        <v>0</v>
      </c>
      <c r="AD62" s="17">
        <v>0</v>
      </c>
      <c r="AE62" s="17">
        <v>0</v>
      </c>
      <c r="AF62" s="17">
        <v>0</v>
      </c>
      <c r="AG62" s="17">
        <v>0</v>
      </c>
      <c r="AH62" s="17">
        <v>0</v>
      </c>
      <c r="AI62" s="17">
        <v>0</v>
      </c>
      <c r="AJ62" s="17">
        <v>0</v>
      </c>
      <c r="AK62" s="17">
        <v>0</v>
      </c>
      <c r="AL62" s="17">
        <v>0</v>
      </c>
      <c r="AM62" s="17">
        <v>0</v>
      </c>
      <c r="AN62" s="17">
        <v>0</v>
      </c>
      <c r="AO62" s="17">
        <v>0</v>
      </c>
      <c r="AP62" s="18">
        <f t="shared" si="0"/>
        <v>252673</v>
      </c>
    </row>
    <row r="63" spans="1:42" ht="15" customHeight="1" x14ac:dyDescent="0.2">
      <c r="A63" s="16" t="s">
        <v>522</v>
      </c>
      <c r="B63" s="16" t="s">
        <v>538</v>
      </c>
      <c r="C63" s="16" t="s">
        <v>397</v>
      </c>
      <c r="D63" s="16" t="s">
        <v>650</v>
      </c>
      <c r="E63" s="17">
        <v>498</v>
      </c>
      <c r="F63" s="17">
        <v>1053</v>
      </c>
      <c r="G63" s="17">
        <v>1523</v>
      </c>
      <c r="H63" s="17">
        <v>1922</v>
      </c>
      <c r="I63" s="17">
        <v>2255</v>
      </c>
      <c r="J63" s="17">
        <v>2519</v>
      </c>
      <c r="K63" s="17">
        <v>2736</v>
      </c>
      <c r="L63" s="17">
        <v>2909</v>
      </c>
      <c r="M63" s="17">
        <v>3047</v>
      </c>
      <c r="N63" s="17">
        <v>3134</v>
      </c>
      <c r="O63" s="17">
        <v>3197</v>
      </c>
      <c r="P63" s="17">
        <v>20691</v>
      </c>
      <c r="Q63" s="17">
        <v>19318</v>
      </c>
      <c r="R63" s="17">
        <v>17944</v>
      </c>
      <c r="S63" s="17">
        <v>0</v>
      </c>
      <c r="T63" s="17">
        <v>0</v>
      </c>
      <c r="U63" s="17">
        <v>0</v>
      </c>
      <c r="V63" s="17">
        <v>0</v>
      </c>
      <c r="W63" s="17">
        <v>0</v>
      </c>
      <c r="X63" s="17">
        <v>0</v>
      </c>
      <c r="Y63" s="17">
        <v>0</v>
      </c>
      <c r="Z63" s="17">
        <v>0</v>
      </c>
      <c r="AA63" s="17">
        <v>0</v>
      </c>
      <c r="AB63" s="17">
        <v>0</v>
      </c>
      <c r="AC63" s="17">
        <v>0</v>
      </c>
      <c r="AD63" s="17">
        <v>0</v>
      </c>
      <c r="AE63" s="17">
        <v>0</v>
      </c>
      <c r="AF63" s="17">
        <v>0</v>
      </c>
      <c r="AG63" s="17">
        <v>0</v>
      </c>
      <c r="AH63" s="17">
        <v>0</v>
      </c>
      <c r="AI63" s="17">
        <v>0</v>
      </c>
      <c r="AJ63" s="17">
        <v>0</v>
      </c>
      <c r="AK63" s="17">
        <v>0</v>
      </c>
      <c r="AL63" s="17">
        <v>0</v>
      </c>
      <c r="AM63" s="17">
        <v>0</v>
      </c>
      <c r="AN63" s="17">
        <v>0</v>
      </c>
      <c r="AO63" s="17">
        <v>0</v>
      </c>
      <c r="AP63" s="18">
        <f t="shared" si="0"/>
        <v>82746</v>
      </c>
    </row>
    <row r="64" spans="1:42" ht="15" customHeight="1" x14ac:dyDescent="0.2">
      <c r="A64" s="16" t="s">
        <v>522</v>
      </c>
      <c r="B64" s="16" t="s">
        <v>539</v>
      </c>
      <c r="C64" s="16" t="s">
        <v>135</v>
      </c>
      <c r="D64" s="16" t="s">
        <v>650</v>
      </c>
      <c r="E64" s="17">
        <v>0</v>
      </c>
      <c r="F64" s="17">
        <v>0</v>
      </c>
      <c r="G64" s="17">
        <v>4969</v>
      </c>
      <c r="H64" s="17">
        <v>8473</v>
      </c>
      <c r="I64" s="17">
        <v>21219</v>
      </c>
      <c r="J64" s="17">
        <v>38848</v>
      </c>
      <c r="K64" s="17">
        <v>30565</v>
      </c>
      <c r="L64" s="17">
        <v>21702</v>
      </c>
      <c r="M64" s="17">
        <v>15466</v>
      </c>
      <c r="N64" s="17">
        <v>30535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0</v>
      </c>
      <c r="Y64" s="17">
        <v>0</v>
      </c>
      <c r="Z64" s="17">
        <v>0</v>
      </c>
      <c r="AA64" s="17">
        <v>0</v>
      </c>
      <c r="AB64" s="17">
        <v>0</v>
      </c>
      <c r="AC64" s="17">
        <v>0</v>
      </c>
      <c r="AD64" s="17">
        <v>0</v>
      </c>
      <c r="AE64" s="17">
        <v>0</v>
      </c>
      <c r="AF64" s="17">
        <v>0</v>
      </c>
      <c r="AG64" s="17">
        <v>0</v>
      </c>
      <c r="AH64" s="17">
        <v>0</v>
      </c>
      <c r="AI64" s="17">
        <v>0</v>
      </c>
      <c r="AJ64" s="17">
        <v>0</v>
      </c>
      <c r="AK64" s="17">
        <v>0</v>
      </c>
      <c r="AL64" s="17">
        <v>0</v>
      </c>
      <c r="AM64" s="17">
        <v>0</v>
      </c>
      <c r="AN64" s="17">
        <v>0</v>
      </c>
      <c r="AO64" s="17">
        <v>0</v>
      </c>
      <c r="AP64" s="18">
        <f t="shared" si="0"/>
        <v>171777</v>
      </c>
    </row>
    <row r="65" spans="1:42" ht="15" customHeight="1" x14ac:dyDescent="0.2">
      <c r="A65" s="16" t="s">
        <v>522</v>
      </c>
      <c r="B65" s="16" t="s">
        <v>540</v>
      </c>
      <c r="C65" s="16" t="s">
        <v>146</v>
      </c>
      <c r="D65" s="16" t="s">
        <v>650</v>
      </c>
      <c r="E65" s="17">
        <v>3583</v>
      </c>
      <c r="F65" s="17">
        <v>19642</v>
      </c>
      <c r="G65" s="17">
        <v>41281</v>
      </c>
      <c r="H65" s="17">
        <v>43904</v>
      </c>
      <c r="I65" s="17">
        <v>37641</v>
      </c>
      <c r="J65" s="17">
        <v>32095</v>
      </c>
      <c r="K65" s="17">
        <v>27441</v>
      </c>
      <c r="L65" s="17">
        <v>23460</v>
      </c>
      <c r="M65" s="17">
        <v>20120</v>
      </c>
      <c r="N65" s="17">
        <v>17146</v>
      </c>
      <c r="O65" s="17">
        <v>14672</v>
      </c>
      <c r="P65" s="17">
        <v>12532</v>
      </c>
      <c r="Q65" s="17">
        <v>108019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7">
        <v>0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  <c r="AE65" s="17">
        <v>0</v>
      </c>
      <c r="AF65" s="17">
        <v>0</v>
      </c>
      <c r="AG65" s="17">
        <v>0</v>
      </c>
      <c r="AH65" s="17">
        <v>0</v>
      </c>
      <c r="AI65" s="17">
        <v>0</v>
      </c>
      <c r="AJ65" s="17">
        <v>0</v>
      </c>
      <c r="AK65" s="17">
        <v>0</v>
      </c>
      <c r="AL65" s="17">
        <v>0</v>
      </c>
      <c r="AM65" s="17">
        <v>0</v>
      </c>
      <c r="AN65" s="17">
        <v>0</v>
      </c>
      <c r="AO65" s="17">
        <v>0</v>
      </c>
      <c r="AP65" s="18">
        <f t="shared" si="0"/>
        <v>401536</v>
      </c>
    </row>
    <row r="66" spans="1:42" ht="15" customHeight="1" x14ac:dyDescent="0.2">
      <c r="A66" s="16" t="s">
        <v>522</v>
      </c>
      <c r="B66" s="16" t="s">
        <v>541</v>
      </c>
      <c r="C66" s="16" t="s">
        <v>357</v>
      </c>
      <c r="D66" s="16" t="s">
        <v>650</v>
      </c>
      <c r="E66" s="17">
        <v>1847</v>
      </c>
      <c r="F66" s="17">
        <v>12328</v>
      </c>
      <c r="G66" s="17">
        <v>49574</v>
      </c>
      <c r="H66" s="17">
        <v>79061</v>
      </c>
      <c r="I66" s="17">
        <v>78021</v>
      </c>
      <c r="J66" s="17">
        <v>76034</v>
      </c>
      <c r="K66" s="17">
        <v>73844</v>
      </c>
      <c r="L66" s="17">
        <v>71216</v>
      </c>
      <c r="M66" s="17">
        <v>68583</v>
      </c>
      <c r="N66" s="17">
        <v>87658</v>
      </c>
      <c r="O66" s="17">
        <v>100607</v>
      </c>
      <c r="P66" s="17">
        <v>124949</v>
      </c>
      <c r="Q66" s="17">
        <v>285708</v>
      </c>
      <c r="R66" s="17">
        <v>0</v>
      </c>
      <c r="S66" s="17">
        <v>0</v>
      </c>
      <c r="T66" s="17">
        <v>0</v>
      </c>
      <c r="U66" s="17">
        <v>0</v>
      </c>
      <c r="V66" s="17">
        <v>0</v>
      </c>
      <c r="W66" s="17">
        <v>0</v>
      </c>
      <c r="X66" s="17">
        <v>0</v>
      </c>
      <c r="Y66" s="17">
        <v>0</v>
      </c>
      <c r="Z66" s="17">
        <v>0</v>
      </c>
      <c r="AA66" s="17">
        <v>0</v>
      </c>
      <c r="AB66" s="17">
        <v>0</v>
      </c>
      <c r="AC66" s="17">
        <v>0</v>
      </c>
      <c r="AD66" s="17">
        <v>0</v>
      </c>
      <c r="AE66" s="17">
        <v>0</v>
      </c>
      <c r="AF66" s="17">
        <v>0</v>
      </c>
      <c r="AG66" s="17">
        <v>0</v>
      </c>
      <c r="AH66" s="17">
        <v>0</v>
      </c>
      <c r="AI66" s="17">
        <v>0</v>
      </c>
      <c r="AJ66" s="17">
        <v>0</v>
      </c>
      <c r="AK66" s="17">
        <v>0</v>
      </c>
      <c r="AL66" s="17">
        <v>0</v>
      </c>
      <c r="AM66" s="17">
        <v>0</v>
      </c>
      <c r="AN66" s="17">
        <v>0</v>
      </c>
      <c r="AO66" s="17">
        <v>0</v>
      </c>
      <c r="AP66" s="18">
        <f t="shared" ref="AP66:AP129" si="1">SUM(E66:AO66)</f>
        <v>1109430</v>
      </c>
    </row>
    <row r="67" spans="1:42" ht="15" customHeight="1" x14ac:dyDescent="0.2">
      <c r="A67" s="16" t="s">
        <v>542</v>
      </c>
      <c r="B67" s="16" t="s">
        <v>543</v>
      </c>
      <c r="C67" s="16" t="s">
        <v>153</v>
      </c>
      <c r="D67" s="16" t="s">
        <v>650</v>
      </c>
      <c r="E67" s="17">
        <v>908</v>
      </c>
      <c r="F67" s="17">
        <v>9913</v>
      </c>
      <c r="G67" s="17">
        <v>25729</v>
      </c>
      <c r="H67" s="17">
        <v>35037</v>
      </c>
      <c r="I67" s="17">
        <v>43610</v>
      </c>
      <c r="J67" s="17">
        <v>55508</v>
      </c>
      <c r="K67" s="17">
        <v>63724</v>
      </c>
      <c r="L67" s="17">
        <v>63709</v>
      </c>
      <c r="M67" s="17">
        <v>73865</v>
      </c>
      <c r="N67" s="17">
        <v>77014</v>
      </c>
      <c r="O67" s="17">
        <v>65114</v>
      </c>
      <c r="P67" s="17">
        <v>96013</v>
      </c>
      <c r="Q67" s="17">
        <v>76719</v>
      </c>
      <c r="R67" s="17">
        <v>356875</v>
      </c>
      <c r="S67" s="17">
        <v>320484</v>
      </c>
      <c r="T67" s="17">
        <v>0</v>
      </c>
      <c r="U67" s="17">
        <v>0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7">
        <v>0</v>
      </c>
      <c r="AB67" s="17">
        <v>0</v>
      </c>
      <c r="AC67" s="17">
        <v>0</v>
      </c>
      <c r="AD67" s="17">
        <v>0</v>
      </c>
      <c r="AE67" s="17">
        <v>0</v>
      </c>
      <c r="AF67" s="17">
        <v>0</v>
      </c>
      <c r="AG67" s="17">
        <v>0</v>
      </c>
      <c r="AH67" s="17">
        <v>0</v>
      </c>
      <c r="AI67" s="17">
        <v>0</v>
      </c>
      <c r="AJ67" s="17">
        <v>0</v>
      </c>
      <c r="AK67" s="17">
        <v>0</v>
      </c>
      <c r="AL67" s="17">
        <v>0</v>
      </c>
      <c r="AM67" s="17">
        <v>0</v>
      </c>
      <c r="AN67" s="17">
        <v>0</v>
      </c>
      <c r="AO67" s="17">
        <v>0</v>
      </c>
      <c r="AP67" s="18">
        <f t="shared" si="1"/>
        <v>1364222</v>
      </c>
    </row>
    <row r="68" spans="1:42" ht="15" customHeight="1" x14ac:dyDescent="0.2">
      <c r="A68" s="16" t="s">
        <v>542</v>
      </c>
      <c r="B68" s="16" t="s">
        <v>543</v>
      </c>
      <c r="C68" s="16" t="s">
        <v>361</v>
      </c>
      <c r="D68" s="16" t="s">
        <v>650</v>
      </c>
      <c r="E68" s="17">
        <v>46409</v>
      </c>
      <c r="F68" s="17">
        <v>116381</v>
      </c>
      <c r="G68" s="17">
        <v>87684</v>
      </c>
      <c r="H68" s="17">
        <v>45835</v>
      </c>
      <c r="I68" s="17">
        <v>25580</v>
      </c>
      <c r="J68" s="17">
        <v>44998</v>
      </c>
      <c r="K68" s="17">
        <v>115546</v>
      </c>
      <c r="L68" s="17">
        <v>423418</v>
      </c>
      <c r="M68" s="17">
        <v>704057</v>
      </c>
      <c r="N68" s="17">
        <v>2457086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0</v>
      </c>
      <c r="Y68" s="17">
        <v>0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  <c r="AE68" s="17">
        <v>0</v>
      </c>
      <c r="AF68" s="17">
        <v>0</v>
      </c>
      <c r="AG68" s="17">
        <v>0</v>
      </c>
      <c r="AH68" s="17">
        <v>0</v>
      </c>
      <c r="AI68" s="17">
        <v>0</v>
      </c>
      <c r="AJ68" s="17">
        <v>0</v>
      </c>
      <c r="AK68" s="17">
        <v>0</v>
      </c>
      <c r="AL68" s="17">
        <v>0</v>
      </c>
      <c r="AM68" s="17">
        <v>0</v>
      </c>
      <c r="AN68" s="17">
        <v>0</v>
      </c>
      <c r="AO68" s="17">
        <v>0</v>
      </c>
      <c r="AP68" s="18">
        <f t="shared" si="1"/>
        <v>4066994</v>
      </c>
    </row>
    <row r="69" spans="1:42" ht="15" customHeight="1" x14ac:dyDescent="0.2">
      <c r="A69" s="16" t="s">
        <v>522</v>
      </c>
      <c r="B69" s="16" t="s">
        <v>544</v>
      </c>
      <c r="C69" s="16" t="s">
        <v>222</v>
      </c>
      <c r="D69" s="16" t="s">
        <v>650</v>
      </c>
      <c r="E69" s="17">
        <v>0</v>
      </c>
      <c r="F69" s="17">
        <v>49884.748099999997</v>
      </c>
      <c r="G69" s="17">
        <v>176052.91339999999</v>
      </c>
      <c r="H69" s="17">
        <v>96700.031000000003</v>
      </c>
      <c r="I69" s="17">
        <v>69428.893299999996</v>
      </c>
      <c r="J69" s="17">
        <v>56888.1734</v>
      </c>
      <c r="K69" s="17">
        <v>49507.852800000001</v>
      </c>
      <c r="L69" s="17">
        <v>50385.639499999997</v>
      </c>
      <c r="M69" s="17">
        <v>46189.714500000002</v>
      </c>
      <c r="N69" s="17">
        <v>40353.667699999998</v>
      </c>
      <c r="O69" s="17">
        <v>34236.7952</v>
      </c>
      <c r="P69" s="17">
        <v>32770.673499999997</v>
      </c>
      <c r="Q69" s="17">
        <v>31319.944800000001</v>
      </c>
      <c r="R69" s="17">
        <v>30308.853599999999</v>
      </c>
      <c r="S69" s="17">
        <v>29580.937600000001</v>
      </c>
      <c r="T69" s="17">
        <v>28862.021199999999</v>
      </c>
      <c r="U69" s="17">
        <v>29291.7189</v>
      </c>
      <c r="V69" s="17">
        <v>0</v>
      </c>
      <c r="W69" s="17">
        <v>0</v>
      </c>
      <c r="X69" s="17">
        <v>0</v>
      </c>
      <c r="Y69" s="17">
        <v>0</v>
      </c>
      <c r="Z69" s="17">
        <v>0</v>
      </c>
      <c r="AA69" s="17">
        <v>0</v>
      </c>
      <c r="AB69" s="17">
        <v>0</v>
      </c>
      <c r="AC69" s="17">
        <v>0</v>
      </c>
      <c r="AD69" s="17">
        <v>0</v>
      </c>
      <c r="AE69" s="17">
        <v>0</v>
      </c>
      <c r="AF69" s="17">
        <v>0</v>
      </c>
      <c r="AG69" s="17">
        <v>0</v>
      </c>
      <c r="AH69" s="17">
        <v>0</v>
      </c>
      <c r="AI69" s="17">
        <v>0</v>
      </c>
      <c r="AJ69" s="17">
        <v>0</v>
      </c>
      <c r="AK69" s="17">
        <v>0</v>
      </c>
      <c r="AL69" s="17">
        <v>0</v>
      </c>
      <c r="AM69" s="17">
        <v>0</v>
      </c>
      <c r="AN69" s="17">
        <v>0</v>
      </c>
      <c r="AO69" s="17">
        <v>0</v>
      </c>
      <c r="AP69" s="18">
        <f t="shared" si="1"/>
        <v>851762.57850000006</v>
      </c>
    </row>
    <row r="70" spans="1:42" ht="15" customHeight="1" x14ac:dyDescent="0.2">
      <c r="A70" s="16" t="s">
        <v>522</v>
      </c>
      <c r="B70" s="16" t="s">
        <v>380</v>
      </c>
      <c r="C70" s="16" t="s">
        <v>380</v>
      </c>
      <c r="D70" s="16" t="s">
        <v>650</v>
      </c>
      <c r="E70" s="17">
        <v>70465.120699999999</v>
      </c>
      <c r="F70" s="17">
        <v>283967.40740000003</v>
      </c>
      <c r="G70" s="17">
        <v>272720.14480000001</v>
      </c>
      <c r="H70" s="17">
        <v>173958.851</v>
      </c>
      <c r="I70" s="17">
        <v>433874.23220000003</v>
      </c>
      <c r="J70" s="17">
        <v>1037027.7663</v>
      </c>
      <c r="K70" s="17">
        <v>1466707.0135999999</v>
      </c>
      <c r="L70" s="17">
        <v>4387656.0926000001</v>
      </c>
      <c r="M70" s="17">
        <v>9712208.5318</v>
      </c>
      <c r="N70" s="17">
        <v>7070431.8693000004</v>
      </c>
      <c r="O70" s="17">
        <v>2328707.7514999998</v>
      </c>
      <c r="P70" s="17">
        <v>1300308.5793999999</v>
      </c>
      <c r="Q70" s="17">
        <v>2314641.3355</v>
      </c>
      <c r="R70" s="17">
        <v>1272065.0996999999</v>
      </c>
      <c r="S70" s="17">
        <v>1115639.5896999999</v>
      </c>
      <c r="T70" s="17">
        <v>1919758.1436000001</v>
      </c>
      <c r="U70" s="17">
        <v>565283.16310000001</v>
      </c>
      <c r="V70" s="17">
        <v>0</v>
      </c>
      <c r="W70" s="17">
        <v>0</v>
      </c>
      <c r="X70" s="17">
        <v>0</v>
      </c>
      <c r="Y70" s="17">
        <v>0</v>
      </c>
      <c r="Z70" s="17">
        <v>0</v>
      </c>
      <c r="AA70" s="17">
        <v>0</v>
      </c>
      <c r="AB70" s="17">
        <v>0</v>
      </c>
      <c r="AC70" s="17">
        <v>0</v>
      </c>
      <c r="AD70" s="17">
        <v>0</v>
      </c>
      <c r="AE70" s="17">
        <v>0</v>
      </c>
      <c r="AF70" s="17">
        <v>0</v>
      </c>
      <c r="AG70" s="17">
        <v>0</v>
      </c>
      <c r="AH70" s="17">
        <v>0</v>
      </c>
      <c r="AI70" s="17">
        <v>0</v>
      </c>
      <c r="AJ70" s="17">
        <v>0</v>
      </c>
      <c r="AK70" s="17">
        <v>0</v>
      </c>
      <c r="AL70" s="17">
        <v>0</v>
      </c>
      <c r="AM70" s="17">
        <v>0</v>
      </c>
      <c r="AN70" s="17">
        <v>0</v>
      </c>
      <c r="AO70" s="17">
        <v>0</v>
      </c>
      <c r="AP70" s="18">
        <f t="shared" si="1"/>
        <v>35725420.69219999</v>
      </c>
    </row>
    <row r="71" spans="1:42" ht="15" customHeight="1" x14ac:dyDescent="0.2">
      <c r="A71" s="16" t="s">
        <v>522</v>
      </c>
      <c r="B71" s="16" t="s">
        <v>545</v>
      </c>
      <c r="C71" s="16" t="s">
        <v>336</v>
      </c>
      <c r="D71" s="16" t="s">
        <v>650</v>
      </c>
      <c r="E71" s="17">
        <v>4623</v>
      </c>
      <c r="F71" s="17">
        <v>8406</v>
      </c>
      <c r="G71" s="17">
        <v>11223</v>
      </c>
      <c r="H71" s="17">
        <v>13254</v>
      </c>
      <c r="I71" s="17">
        <v>14864</v>
      </c>
      <c r="J71" s="17">
        <v>15675</v>
      </c>
      <c r="K71" s="17">
        <v>16003</v>
      </c>
      <c r="L71" s="17">
        <v>16256</v>
      </c>
      <c r="M71" s="17">
        <v>16578</v>
      </c>
      <c r="N71" s="17">
        <v>16275</v>
      </c>
      <c r="O71" s="17">
        <v>15658</v>
      </c>
      <c r="P71" s="17">
        <v>64313</v>
      </c>
      <c r="Q71" s="17">
        <v>58610</v>
      </c>
      <c r="R71" s="17">
        <v>0</v>
      </c>
      <c r="S71" s="17">
        <v>0</v>
      </c>
      <c r="T71" s="17">
        <v>0</v>
      </c>
      <c r="U71" s="17">
        <v>0</v>
      </c>
      <c r="V71" s="17">
        <v>0</v>
      </c>
      <c r="W71" s="17">
        <v>0</v>
      </c>
      <c r="X71" s="17">
        <v>0</v>
      </c>
      <c r="Y71" s="17">
        <v>0</v>
      </c>
      <c r="Z71" s="17">
        <v>0</v>
      </c>
      <c r="AA71" s="17">
        <v>0</v>
      </c>
      <c r="AB71" s="17">
        <v>0</v>
      </c>
      <c r="AC71" s="17">
        <v>0</v>
      </c>
      <c r="AD71" s="17">
        <v>0</v>
      </c>
      <c r="AE71" s="17">
        <v>0</v>
      </c>
      <c r="AF71" s="17">
        <v>0</v>
      </c>
      <c r="AG71" s="17">
        <v>0</v>
      </c>
      <c r="AH71" s="17">
        <v>0</v>
      </c>
      <c r="AI71" s="17">
        <v>0</v>
      </c>
      <c r="AJ71" s="17">
        <v>0</v>
      </c>
      <c r="AK71" s="17">
        <v>0</v>
      </c>
      <c r="AL71" s="17">
        <v>0</v>
      </c>
      <c r="AM71" s="17">
        <v>0</v>
      </c>
      <c r="AN71" s="17">
        <v>0</v>
      </c>
      <c r="AO71" s="17">
        <v>0</v>
      </c>
      <c r="AP71" s="18">
        <f t="shared" si="1"/>
        <v>271738</v>
      </c>
    </row>
    <row r="72" spans="1:42" ht="15" customHeight="1" x14ac:dyDescent="0.2">
      <c r="A72" s="16" t="s">
        <v>522</v>
      </c>
      <c r="B72" s="16" t="s">
        <v>546</v>
      </c>
      <c r="C72" s="16" t="s">
        <v>221</v>
      </c>
      <c r="D72" s="16" t="s">
        <v>650</v>
      </c>
      <c r="E72" s="17">
        <v>0</v>
      </c>
      <c r="F72" s="17">
        <v>12209.868899999999</v>
      </c>
      <c r="G72" s="17">
        <v>28984.580099999999</v>
      </c>
      <c r="H72" s="17">
        <v>39726.010699999999</v>
      </c>
      <c r="I72" s="17">
        <v>46555.336799999997</v>
      </c>
      <c r="J72" s="17">
        <v>50453.5461</v>
      </c>
      <c r="K72" s="17">
        <v>53663.451699999998</v>
      </c>
      <c r="L72" s="17">
        <v>57194.241800000003</v>
      </c>
      <c r="M72" s="17">
        <v>57152.217600000004</v>
      </c>
      <c r="N72" s="17">
        <v>61457.730300000003</v>
      </c>
      <c r="O72" s="17">
        <v>61157.711000000003</v>
      </c>
      <c r="P72" s="17">
        <v>57400.232400000001</v>
      </c>
      <c r="Q72" s="17">
        <v>55535.542600000001</v>
      </c>
      <c r="R72" s="17">
        <v>45604.609700000001</v>
      </c>
      <c r="S72" s="17">
        <v>44195.014600000002</v>
      </c>
      <c r="T72" s="17">
        <v>328686.73629999999</v>
      </c>
      <c r="U72" s="17">
        <v>215185.34099999999</v>
      </c>
      <c r="V72" s="17">
        <v>0</v>
      </c>
      <c r="W72" s="17">
        <v>0</v>
      </c>
      <c r="X72" s="17">
        <v>0</v>
      </c>
      <c r="Y72" s="17">
        <v>0</v>
      </c>
      <c r="Z72" s="17">
        <v>0</v>
      </c>
      <c r="AA72" s="17">
        <v>0</v>
      </c>
      <c r="AB72" s="17">
        <v>0</v>
      </c>
      <c r="AC72" s="17">
        <v>0</v>
      </c>
      <c r="AD72" s="17">
        <v>0</v>
      </c>
      <c r="AE72" s="17">
        <v>0</v>
      </c>
      <c r="AF72" s="17">
        <v>0</v>
      </c>
      <c r="AG72" s="17">
        <v>0</v>
      </c>
      <c r="AH72" s="17">
        <v>0</v>
      </c>
      <c r="AI72" s="17">
        <v>0</v>
      </c>
      <c r="AJ72" s="17">
        <v>0</v>
      </c>
      <c r="AK72" s="17">
        <v>0</v>
      </c>
      <c r="AL72" s="17">
        <v>0</v>
      </c>
      <c r="AM72" s="17">
        <v>0</v>
      </c>
      <c r="AN72" s="17">
        <v>0</v>
      </c>
      <c r="AO72" s="17">
        <v>0</v>
      </c>
      <c r="AP72" s="18">
        <f t="shared" si="1"/>
        <v>1215162.1716</v>
      </c>
    </row>
    <row r="73" spans="1:42" ht="15" customHeight="1" x14ac:dyDescent="0.2">
      <c r="A73" s="16" t="s">
        <v>522</v>
      </c>
      <c r="B73" s="16" t="s">
        <v>549</v>
      </c>
      <c r="C73" s="16" t="s">
        <v>201</v>
      </c>
      <c r="D73" s="16" t="s">
        <v>650</v>
      </c>
      <c r="E73" s="17">
        <v>23468.674200000001</v>
      </c>
      <c r="F73" s="17">
        <v>166483.10800000001</v>
      </c>
      <c r="G73" s="17">
        <v>170662.8836</v>
      </c>
      <c r="H73" s="17">
        <v>142911.0055</v>
      </c>
      <c r="I73" s="17">
        <v>119101.8979</v>
      </c>
      <c r="J73" s="17">
        <v>99453.497199999998</v>
      </c>
      <c r="K73" s="17">
        <v>83070.543600000005</v>
      </c>
      <c r="L73" s="17">
        <v>69562.254300000001</v>
      </c>
      <c r="M73" s="17">
        <v>57973.1175</v>
      </c>
      <c r="N73" s="17">
        <v>48409.214099999997</v>
      </c>
      <c r="O73" s="17">
        <v>40434.7745</v>
      </c>
      <c r="P73" s="17">
        <v>33859.584199999998</v>
      </c>
      <c r="Q73" s="17">
        <v>0</v>
      </c>
      <c r="R73" s="17">
        <v>0</v>
      </c>
      <c r="S73" s="17">
        <v>0</v>
      </c>
      <c r="T73" s="17">
        <v>0</v>
      </c>
      <c r="U73" s="17">
        <v>0</v>
      </c>
      <c r="V73" s="17">
        <v>0</v>
      </c>
      <c r="W73" s="17">
        <v>0</v>
      </c>
      <c r="X73" s="17">
        <v>0</v>
      </c>
      <c r="Y73" s="17">
        <v>0</v>
      </c>
      <c r="Z73" s="17">
        <v>0</v>
      </c>
      <c r="AA73" s="17">
        <v>0</v>
      </c>
      <c r="AB73" s="17">
        <v>0</v>
      </c>
      <c r="AC73" s="17">
        <v>0</v>
      </c>
      <c r="AD73" s="17">
        <v>0</v>
      </c>
      <c r="AE73" s="17">
        <v>0</v>
      </c>
      <c r="AF73" s="17">
        <v>0</v>
      </c>
      <c r="AG73" s="17">
        <v>0</v>
      </c>
      <c r="AH73" s="17">
        <v>0</v>
      </c>
      <c r="AI73" s="17">
        <v>0</v>
      </c>
      <c r="AJ73" s="17">
        <v>0</v>
      </c>
      <c r="AK73" s="17">
        <v>0</v>
      </c>
      <c r="AL73" s="17">
        <v>0</v>
      </c>
      <c r="AM73" s="17">
        <v>0</v>
      </c>
      <c r="AN73" s="17">
        <v>0</v>
      </c>
      <c r="AO73" s="17">
        <v>0</v>
      </c>
      <c r="AP73" s="18">
        <f t="shared" si="1"/>
        <v>1055390.5545999999</v>
      </c>
    </row>
    <row r="74" spans="1:42" ht="15" customHeight="1" x14ac:dyDescent="0.2">
      <c r="A74" s="16" t="s">
        <v>522</v>
      </c>
      <c r="B74" s="16" t="s">
        <v>549</v>
      </c>
      <c r="C74" s="16" t="s">
        <v>363</v>
      </c>
      <c r="D74" s="16" t="s">
        <v>650</v>
      </c>
      <c r="E74" s="17">
        <v>6883.5</v>
      </c>
      <c r="F74" s="17">
        <v>3283.3</v>
      </c>
      <c r="G74" s="17">
        <v>4952.6000000000004</v>
      </c>
      <c r="H74" s="17">
        <v>11654</v>
      </c>
      <c r="I74" s="17">
        <v>24465.200000000001</v>
      </c>
      <c r="J74" s="17">
        <v>18807.8</v>
      </c>
      <c r="K74" s="17">
        <v>8181.8</v>
      </c>
      <c r="L74" s="17">
        <v>4704.8</v>
      </c>
      <c r="M74" s="17">
        <v>3053.2</v>
      </c>
      <c r="N74" s="17">
        <v>0</v>
      </c>
      <c r="O74" s="17">
        <v>0</v>
      </c>
      <c r="P74" s="17">
        <v>0</v>
      </c>
      <c r="Q74" s="17">
        <v>0</v>
      </c>
      <c r="R74" s="17">
        <v>0</v>
      </c>
      <c r="S74" s="17">
        <v>0</v>
      </c>
      <c r="T74" s="17">
        <v>0</v>
      </c>
      <c r="U74" s="17">
        <v>0</v>
      </c>
      <c r="V74" s="17">
        <v>0</v>
      </c>
      <c r="W74" s="17">
        <v>0</v>
      </c>
      <c r="X74" s="17">
        <v>0</v>
      </c>
      <c r="Y74" s="17">
        <v>0</v>
      </c>
      <c r="Z74" s="17">
        <v>0</v>
      </c>
      <c r="AA74" s="17">
        <v>0</v>
      </c>
      <c r="AB74" s="17">
        <v>0</v>
      </c>
      <c r="AC74" s="17">
        <v>0</v>
      </c>
      <c r="AD74" s="17">
        <v>0</v>
      </c>
      <c r="AE74" s="17">
        <v>0</v>
      </c>
      <c r="AF74" s="17">
        <v>0</v>
      </c>
      <c r="AG74" s="17">
        <v>0</v>
      </c>
      <c r="AH74" s="17">
        <v>0</v>
      </c>
      <c r="AI74" s="17">
        <v>0</v>
      </c>
      <c r="AJ74" s="17">
        <v>0</v>
      </c>
      <c r="AK74" s="17">
        <v>0</v>
      </c>
      <c r="AL74" s="17">
        <v>0</v>
      </c>
      <c r="AM74" s="17">
        <v>0</v>
      </c>
      <c r="AN74" s="17">
        <v>0</v>
      </c>
      <c r="AO74" s="17">
        <v>0</v>
      </c>
      <c r="AP74" s="18">
        <f t="shared" si="1"/>
        <v>85986.200000000012</v>
      </c>
    </row>
    <row r="75" spans="1:42" ht="15" customHeight="1" x14ac:dyDescent="0.2">
      <c r="A75" s="16" t="s">
        <v>522</v>
      </c>
      <c r="B75" s="16" t="s">
        <v>400</v>
      </c>
      <c r="C75" s="16" t="s">
        <v>400</v>
      </c>
      <c r="D75" s="16" t="s">
        <v>650</v>
      </c>
      <c r="E75" s="17">
        <v>0</v>
      </c>
      <c r="F75" s="17">
        <v>0</v>
      </c>
      <c r="G75" s="17">
        <v>3676</v>
      </c>
      <c r="H75" s="17">
        <v>6747</v>
      </c>
      <c r="I75" s="17">
        <v>6075</v>
      </c>
      <c r="J75" s="17">
        <v>5441</v>
      </c>
      <c r="K75" s="17">
        <v>4879</v>
      </c>
      <c r="L75" s="17">
        <v>8069</v>
      </c>
      <c r="M75" s="17">
        <v>0</v>
      </c>
      <c r="N75" s="17">
        <v>0</v>
      </c>
      <c r="O75" s="17">
        <v>0</v>
      </c>
      <c r="P75" s="17">
        <v>0</v>
      </c>
      <c r="Q75" s="17">
        <v>0</v>
      </c>
      <c r="R75" s="17">
        <v>0</v>
      </c>
      <c r="S75" s="17">
        <v>0</v>
      </c>
      <c r="T75" s="17">
        <v>0</v>
      </c>
      <c r="U75" s="17">
        <v>0</v>
      </c>
      <c r="V75" s="17">
        <v>0</v>
      </c>
      <c r="W75" s="17">
        <v>0</v>
      </c>
      <c r="X75" s="17">
        <v>0</v>
      </c>
      <c r="Y75" s="17">
        <v>0</v>
      </c>
      <c r="Z75" s="17">
        <v>0</v>
      </c>
      <c r="AA75" s="17">
        <v>0</v>
      </c>
      <c r="AB75" s="17">
        <v>0</v>
      </c>
      <c r="AC75" s="17">
        <v>0</v>
      </c>
      <c r="AD75" s="17">
        <v>0</v>
      </c>
      <c r="AE75" s="17">
        <v>0</v>
      </c>
      <c r="AF75" s="17">
        <v>0</v>
      </c>
      <c r="AG75" s="17">
        <v>0</v>
      </c>
      <c r="AH75" s="17">
        <v>0</v>
      </c>
      <c r="AI75" s="17">
        <v>0</v>
      </c>
      <c r="AJ75" s="17">
        <v>0</v>
      </c>
      <c r="AK75" s="17">
        <v>0</v>
      </c>
      <c r="AL75" s="17">
        <v>0</v>
      </c>
      <c r="AM75" s="17">
        <v>0</v>
      </c>
      <c r="AN75" s="17">
        <v>0</v>
      </c>
      <c r="AO75" s="17">
        <v>0</v>
      </c>
      <c r="AP75" s="18">
        <f t="shared" si="1"/>
        <v>34887</v>
      </c>
    </row>
    <row r="76" spans="1:42" ht="15" customHeight="1" x14ac:dyDescent="0.2">
      <c r="A76" s="16" t="s">
        <v>522</v>
      </c>
      <c r="B76" s="16" t="s">
        <v>405</v>
      </c>
      <c r="C76" s="16" t="s">
        <v>386</v>
      </c>
      <c r="D76" s="16" t="s">
        <v>650</v>
      </c>
      <c r="E76" s="17">
        <v>0</v>
      </c>
      <c r="F76" s="17">
        <v>0</v>
      </c>
      <c r="G76" s="17">
        <v>16938</v>
      </c>
      <c r="H76" s="17">
        <v>29969</v>
      </c>
      <c r="I76" s="17">
        <v>25240</v>
      </c>
      <c r="J76" s="17">
        <v>21140</v>
      </c>
      <c r="K76" s="17">
        <v>17761</v>
      </c>
      <c r="L76" s="17">
        <v>14920</v>
      </c>
      <c r="M76" s="17">
        <v>12564</v>
      </c>
      <c r="N76" s="17">
        <v>10525</v>
      </c>
      <c r="O76" s="17">
        <v>8842</v>
      </c>
      <c r="P76" s="17">
        <v>7428</v>
      </c>
      <c r="Q76" s="17">
        <v>0</v>
      </c>
      <c r="R76" s="17">
        <v>0</v>
      </c>
      <c r="S76" s="17">
        <v>0</v>
      </c>
      <c r="T76" s="17">
        <v>0</v>
      </c>
      <c r="U76" s="17">
        <v>0</v>
      </c>
      <c r="V76" s="17">
        <v>0</v>
      </c>
      <c r="W76" s="17">
        <v>0</v>
      </c>
      <c r="X76" s="17">
        <v>0</v>
      </c>
      <c r="Y76" s="17">
        <v>0</v>
      </c>
      <c r="Z76" s="17">
        <v>0</v>
      </c>
      <c r="AA76" s="17">
        <v>0</v>
      </c>
      <c r="AB76" s="17">
        <v>0</v>
      </c>
      <c r="AC76" s="17">
        <v>0</v>
      </c>
      <c r="AD76" s="17">
        <v>0</v>
      </c>
      <c r="AE76" s="17">
        <v>0</v>
      </c>
      <c r="AF76" s="17">
        <v>0</v>
      </c>
      <c r="AG76" s="17">
        <v>0</v>
      </c>
      <c r="AH76" s="17">
        <v>0</v>
      </c>
      <c r="AI76" s="17">
        <v>0</v>
      </c>
      <c r="AJ76" s="17">
        <v>0</v>
      </c>
      <c r="AK76" s="17">
        <v>0</v>
      </c>
      <c r="AL76" s="17">
        <v>0</v>
      </c>
      <c r="AM76" s="17">
        <v>0</v>
      </c>
      <c r="AN76" s="17">
        <v>0</v>
      </c>
      <c r="AO76" s="17">
        <v>0</v>
      </c>
      <c r="AP76" s="18">
        <f t="shared" si="1"/>
        <v>165327</v>
      </c>
    </row>
    <row r="77" spans="1:42" ht="15" customHeight="1" x14ac:dyDescent="0.2">
      <c r="A77" s="16" t="s">
        <v>522</v>
      </c>
      <c r="B77" s="16" t="s">
        <v>405</v>
      </c>
      <c r="C77" s="16" t="s">
        <v>405</v>
      </c>
      <c r="D77" s="16" t="s">
        <v>650</v>
      </c>
      <c r="E77" s="17">
        <v>0</v>
      </c>
      <c r="F77" s="17">
        <v>0</v>
      </c>
      <c r="G77" s="17">
        <v>2524</v>
      </c>
      <c r="H77" s="17">
        <v>4463</v>
      </c>
      <c r="I77" s="17">
        <v>3759</v>
      </c>
      <c r="J77" s="17">
        <v>3150</v>
      </c>
      <c r="K77" s="17">
        <v>2643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7">
        <v>0</v>
      </c>
      <c r="R77" s="17">
        <v>0</v>
      </c>
      <c r="S77" s="17">
        <v>0</v>
      </c>
      <c r="T77" s="17">
        <v>0</v>
      </c>
      <c r="U77" s="17">
        <v>0</v>
      </c>
      <c r="V77" s="17">
        <v>0</v>
      </c>
      <c r="W77" s="17">
        <v>0</v>
      </c>
      <c r="X77" s="17">
        <v>0</v>
      </c>
      <c r="Y77" s="17">
        <v>0</v>
      </c>
      <c r="Z77" s="17">
        <v>0</v>
      </c>
      <c r="AA77" s="17">
        <v>0</v>
      </c>
      <c r="AB77" s="17">
        <v>0</v>
      </c>
      <c r="AC77" s="17">
        <v>0</v>
      </c>
      <c r="AD77" s="17">
        <v>0</v>
      </c>
      <c r="AE77" s="17">
        <v>0</v>
      </c>
      <c r="AF77" s="17">
        <v>0</v>
      </c>
      <c r="AG77" s="17">
        <v>0</v>
      </c>
      <c r="AH77" s="17">
        <v>0</v>
      </c>
      <c r="AI77" s="17">
        <v>0</v>
      </c>
      <c r="AJ77" s="17">
        <v>0</v>
      </c>
      <c r="AK77" s="17">
        <v>0</v>
      </c>
      <c r="AL77" s="17">
        <v>0</v>
      </c>
      <c r="AM77" s="17">
        <v>0</v>
      </c>
      <c r="AN77" s="17">
        <v>0</v>
      </c>
      <c r="AO77" s="17">
        <v>0</v>
      </c>
      <c r="AP77" s="18">
        <f t="shared" si="1"/>
        <v>16539</v>
      </c>
    </row>
    <row r="78" spans="1:42" ht="15" customHeight="1" x14ac:dyDescent="0.2">
      <c r="A78" s="16" t="s">
        <v>551</v>
      </c>
      <c r="B78" s="16" t="s">
        <v>155</v>
      </c>
      <c r="C78" s="16" t="s">
        <v>155</v>
      </c>
      <c r="D78" s="16" t="s">
        <v>650</v>
      </c>
      <c r="E78" s="17">
        <v>216.19649999999999</v>
      </c>
      <c r="F78" s="17">
        <v>1273.6550999999999</v>
      </c>
      <c r="G78" s="17">
        <v>2244.0111999999999</v>
      </c>
      <c r="H78" s="17">
        <v>1171.2621999999999</v>
      </c>
      <c r="I78" s="17">
        <v>0</v>
      </c>
      <c r="J78" s="17">
        <v>0</v>
      </c>
      <c r="K78" s="17">
        <v>0</v>
      </c>
      <c r="L78" s="17">
        <v>0</v>
      </c>
      <c r="M78" s="17">
        <v>0</v>
      </c>
      <c r="N78" s="17">
        <v>0</v>
      </c>
      <c r="O78" s="17">
        <v>0</v>
      </c>
      <c r="P78" s="17">
        <v>0</v>
      </c>
      <c r="Q78" s="17">
        <v>0</v>
      </c>
      <c r="R78" s="17">
        <v>0</v>
      </c>
      <c r="S78" s="17">
        <v>0</v>
      </c>
      <c r="T78" s="17">
        <v>0</v>
      </c>
      <c r="U78" s="17">
        <v>0</v>
      </c>
      <c r="V78" s="17">
        <v>0</v>
      </c>
      <c r="W78" s="17">
        <v>0</v>
      </c>
      <c r="X78" s="17">
        <v>0</v>
      </c>
      <c r="Y78" s="17">
        <v>0</v>
      </c>
      <c r="Z78" s="17">
        <v>0</v>
      </c>
      <c r="AA78" s="17">
        <v>0</v>
      </c>
      <c r="AB78" s="17">
        <v>0</v>
      </c>
      <c r="AC78" s="17">
        <v>0</v>
      </c>
      <c r="AD78" s="17">
        <v>0</v>
      </c>
      <c r="AE78" s="17">
        <v>0</v>
      </c>
      <c r="AF78" s="17">
        <v>0</v>
      </c>
      <c r="AG78" s="17">
        <v>0</v>
      </c>
      <c r="AH78" s="17">
        <v>0</v>
      </c>
      <c r="AI78" s="17">
        <v>0</v>
      </c>
      <c r="AJ78" s="17">
        <v>0</v>
      </c>
      <c r="AK78" s="17">
        <v>0</v>
      </c>
      <c r="AL78" s="17">
        <v>0</v>
      </c>
      <c r="AM78" s="17">
        <v>0</v>
      </c>
      <c r="AN78" s="17">
        <v>0</v>
      </c>
      <c r="AO78" s="17">
        <v>0</v>
      </c>
      <c r="AP78" s="18">
        <f t="shared" si="1"/>
        <v>4905.125</v>
      </c>
    </row>
    <row r="79" spans="1:42" ht="15" customHeight="1" x14ac:dyDescent="0.2">
      <c r="A79" s="16" t="s">
        <v>551</v>
      </c>
      <c r="B79" s="16" t="s">
        <v>155</v>
      </c>
      <c r="C79" s="16" t="s">
        <v>188</v>
      </c>
      <c r="D79" s="16" t="s">
        <v>650</v>
      </c>
      <c r="E79" s="17">
        <v>68.287199999999999</v>
      </c>
      <c r="F79" s="17">
        <v>401.5419</v>
      </c>
      <c r="G79" s="17">
        <v>705.72199999999998</v>
      </c>
      <c r="H79" s="17">
        <v>367.68740000000003</v>
      </c>
      <c r="I79" s="17">
        <v>0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7">
        <v>0</v>
      </c>
      <c r="R79" s="17">
        <v>0</v>
      </c>
      <c r="S79" s="17">
        <v>0</v>
      </c>
      <c r="T79" s="17">
        <v>0</v>
      </c>
      <c r="U79" s="17">
        <v>0</v>
      </c>
      <c r="V79" s="17">
        <v>0</v>
      </c>
      <c r="W79" s="17">
        <v>0</v>
      </c>
      <c r="X79" s="17">
        <v>0</v>
      </c>
      <c r="Y79" s="17">
        <v>0</v>
      </c>
      <c r="Z79" s="17">
        <v>0</v>
      </c>
      <c r="AA79" s="17">
        <v>0</v>
      </c>
      <c r="AB79" s="17">
        <v>0</v>
      </c>
      <c r="AC79" s="17">
        <v>0</v>
      </c>
      <c r="AD79" s="17">
        <v>0</v>
      </c>
      <c r="AE79" s="17">
        <v>0</v>
      </c>
      <c r="AF79" s="17">
        <v>0</v>
      </c>
      <c r="AG79" s="17">
        <v>0</v>
      </c>
      <c r="AH79" s="17">
        <v>0</v>
      </c>
      <c r="AI79" s="17">
        <v>0</v>
      </c>
      <c r="AJ79" s="17">
        <v>0</v>
      </c>
      <c r="AK79" s="17">
        <v>0</v>
      </c>
      <c r="AL79" s="17">
        <v>0</v>
      </c>
      <c r="AM79" s="17">
        <v>0</v>
      </c>
      <c r="AN79" s="17">
        <v>0</v>
      </c>
      <c r="AO79" s="17">
        <v>0</v>
      </c>
      <c r="AP79" s="18">
        <f t="shared" si="1"/>
        <v>1543.2384999999999</v>
      </c>
    </row>
    <row r="80" spans="1:42" ht="15" customHeight="1" x14ac:dyDescent="0.2">
      <c r="A80" s="16" t="s">
        <v>551</v>
      </c>
      <c r="B80" s="16" t="s">
        <v>155</v>
      </c>
      <c r="C80" s="16" t="s">
        <v>301</v>
      </c>
      <c r="D80" s="16" t="s">
        <v>650</v>
      </c>
      <c r="E80" s="17">
        <v>653.49549999999999</v>
      </c>
      <c r="F80" s="17">
        <v>91813.737299999993</v>
      </c>
      <c r="G80" s="17">
        <v>70104.863800000006</v>
      </c>
      <c r="H80" s="17">
        <v>27557.819100000001</v>
      </c>
      <c r="I80" s="17">
        <v>0</v>
      </c>
      <c r="J80" s="17">
        <v>0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7">
        <v>0</v>
      </c>
      <c r="R80" s="17">
        <v>0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17">
        <v>0</v>
      </c>
      <c r="Y80" s="17">
        <v>0</v>
      </c>
      <c r="Z80" s="17">
        <v>0</v>
      </c>
      <c r="AA80" s="17">
        <v>0</v>
      </c>
      <c r="AB80" s="17">
        <v>0</v>
      </c>
      <c r="AC80" s="17">
        <v>0</v>
      </c>
      <c r="AD80" s="17">
        <v>0</v>
      </c>
      <c r="AE80" s="17">
        <v>0</v>
      </c>
      <c r="AF80" s="17">
        <v>0</v>
      </c>
      <c r="AG80" s="17">
        <v>0</v>
      </c>
      <c r="AH80" s="17">
        <v>0</v>
      </c>
      <c r="AI80" s="17">
        <v>0</v>
      </c>
      <c r="AJ80" s="17">
        <v>0</v>
      </c>
      <c r="AK80" s="17">
        <v>0</v>
      </c>
      <c r="AL80" s="17">
        <v>0</v>
      </c>
      <c r="AM80" s="17">
        <v>0</v>
      </c>
      <c r="AN80" s="17">
        <v>0</v>
      </c>
      <c r="AO80" s="17">
        <v>0</v>
      </c>
      <c r="AP80" s="18">
        <f t="shared" si="1"/>
        <v>190129.91569999998</v>
      </c>
    </row>
    <row r="81" spans="1:42" ht="15" customHeight="1" x14ac:dyDescent="0.2">
      <c r="A81" s="16" t="s">
        <v>551</v>
      </c>
      <c r="B81" s="16" t="s">
        <v>155</v>
      </c>
      <c r="C81" s="16" t="s">
        <v>423</v>
      </c>
      <c r="D81" s="16" t="s">
        <v>650</v>
      </c>
      <c r="E81" s="17">
        <v>22527.195500000002</v>
      </c>
      <c r="F81" s="17">
        <v>35675.4015</v>
      </c>
      <c r="G81" s="17">
        <v>32663.282500000001</v>
      </c>
      <c r="H81" s="17">
        <v>11782.2739</v>
      </c>
      <c r="I81" s="17">
        <v>0</v>
      </c>
      <c r="J81" s="17">
        <v>0</v>
      </c>
      <c r="K81" s="17">
        <v>0</v>
      </c>
      <c r="L81" s="17">
        <v>0</v>
      </c>
      <c r="M81" s="17">
        <v>0</v>
      </c>
      <c r="N81" s="17">
        <v>0</v>
      </c>
      <c r="O81" s="17">
        <v>0</v>
      </c>
      <c r="P81" s="17">
        <v>0</v>
      </c>
      <c r="Q81" s="17">
        <v>0</v>
      </c>
      <c r="R81" s="17">
        <v>0</v>
      </c>
      <c r="S81" s="17">
        <v>0</v>
      </c>
      <c r="T81" s="17">
        <v>0</v>
      </c>
      <c r="U81" s="17">
        <v>0</v>
      </c>
      <c r="V81" s="17">
        <v>0</v>
      </c>
      <c r="W81" s="17">
        <v>0</v>
      </c>
      <c r="X81" s="17">
        <v>0</v>
      </c>
      <c r="Y81" s="17">
        <v>0</v>
      </c>
      <c r="Z81" s="17">
        <v>0</v>
      </c>
      <c r="AA81" s="17">
        <v>0</v>
      </c>
      <c r="AB81" s="17">
        <v>0</v>
      </c>
      <c r="AC81" s="17">
        <v>0</v>
      </c>
      <c r="AD81" s="17">
        <v>0</v>
      </c>
      <c r="AE81" s="17">
        <v>0</v>
      </c>
      <c r="AF81" s="17">
        <v>0</v>
      </c>
      <c r="AG81" s="17">
        <v>0</v>
      </c>
      <c r="AH81" s="17">
        <v>0</v>
      </c>
      <c r="AI81" s="17">
        <v>0</v>
      </c>
      <c r="AJ81" s="17">
        <v>0</v>
      </c>
      <c r="AK81" s="17">
        <v>0</v>
      </c>
      <c r="AL81" s="17">
        <v>0</v>
      </c>
      <c r="AM81" s="17">
        <v>0</v>
      </c>
      <c r="AN81" s="17">
        <v>0</v>
      </c>
      <c r="AO81" s="17">
        <v>0</v>
      </c>
      <c r="AP81" s="18">
        <f t="shared" si="1"/>
        <v>102648.15340000001</v>
      </c>
    </row>
    <row r="82" spans="1:42" ht="15" customHeight="1" x14ac:dyDescent="0.2">
      <c r="A82" s="16" t="s">
        <v>551</v>
      </c>
      <c r="B82" s="16" t="s">
        <v>155</v>
      </c>
      <c r="C82" s="16" t="s">
        <v>424</v>
      </c>
      <c r="D82" s="16" t="s">
        <v>650</v>
      </c>
      <c r="E82" s="17">
        <v>18887.093499999999</v>
      </c>
      <c r="F82" s="17">
        <v>73337.984299999996</v>
      </c>
      <c r="G82" s="17">
        <v>99857.086500000005</v>
      </c>
      <c r="H82" s="17">
        <v>42889.730300000003</v>
      </c>
      <c r="I82" s="17">
        <v>0</v>
      </c>
      <c r="J82" s="17">
        <v>0</v>
      </c>
      <c r="K82" s="17">
        <v>0</v>
      </c>
      <c r="L82" s="17">
        <v>0</v>
      </c>
      <c r="M82" s="17">
        <v>0</v>
      </c>
      <c r="N82" s="17">
        <v>0</v>
      </c>
      <c r="O82" s="17">
        <v>0</v>
      </c>
      <c r="P82" s="17">
        <v>0</v>
      </c>
      <c r="Q82" s="17">
        <v>0</v>
      </c>
      <c r="R82" s="17">
        <v>0</v>
      </c>
      <c r="S82" s="17">
        <v>0</v>
      </c>
      <c r="T82" s="17">
        <v>0</v>
      </c>
      <c r="U82" s="17">
        <v>0</v>
      </c>
      <c r="V82" s="17">
        <v>0</v>
      </c>
      <c r="W82" s="17">
        <v>0</v>
      </c>
      <c r="X82" s="17">
        <v>0</v>
      </c>
      <c r="Y82" s="17">
        <v>0</v>
      </c>
      <c r="Z82" s="17">
        <v>0</v>
      </c>
      <c r="AA82" s="17">
        <v>0</v>
      </c>
      <c r="AB82" s="17">
        <v>0</v>
      </c>
      <c r="AC82" s="17">
        <v>0</v>
      </c>
      <c r="AD82" s="17">
        <v>0</v>
      </c>
      <c r="AE82" s="17">
        <v>0</v>
      </c>
      <c r="AF82" s="17">
        <v>0</v>
      </c>
      <c r="AG82" s="17">
        <v>0</v>
      </c>
      <c r="AH82" s="17">
        <v>0</v>
      </c>
      <c r="AI82" s="17">
        <v>0</v>
      </c>
      <c r="AJ82" s="17">
        <v>0</v>
      </c>
      <c r="AK82" s="17">
        <v>0</v>
      </c>
      <c r="AL82" s="17">
        <v>0</v>
      </c>
      <c r="AM82" s="17">
        <v>0</v>
      </c>
      <c r="AN82" s="17">
        <v>0</v>
      </c>
      <c r="AO82" s="17">
        <v>0</v>
      </c>
      <c r="AP82" s="18">
        <f t="shared" si="1"/>
        <v>234971.8946</v>
      </c>
    </row>
    <row r="83" spans="1:42" ht="15" customHeight="1" x14ac:dyDescent="0.2">
      <c r="A83" s="16" t="s">
        <v>551</v>
      </c>
      <c r="B83" s="16" t="s">
        <v>552</v>
      </c>
      <c r="C83" s="16" t="s">
        <v>315</v>
      </c>
      <c r="D83" s="16" t="s">
        <v>650</v>
      </c>
      <c r="E83" s="17">
        <v>7827.8248999999996</v>
      </c>
      <c r="F83" s="17">
        <v>26784.751</v>
      </c>
      <c r="G83" s="17">
        <v>40917.274299999997</v>
      </c>
      <c r="H83" s="17">
        <v>43076.235800000002</v>
      </c>
      <c r="I83" s="17">
        <v>35929.518799999998</v>
      </c>
      <c r="J83" s="17">
        <v>30099.124400000001</v>
      </c>
      <c r="K83" s="17">
        <v>25527.202300000001</v>
      </c>
      <c r="L83" s="17">
        <v>21836.297600000002</v>
      </c>
      <c r="M83" s="17">
        <v>86378.349199999997</v>
      </c>
      <c r="N83" s="17">
        <v>73477.241800000003</v>
      </c>
      <c r="O83" s="17">
        <v>0</v>
      </c>
      <c r="P83" s="17">
        <v>0</v>
      </c>
      <c r="Q83" s="17">
        <v>0</v>
      </c>
      <c r="R83" s="17">
        <v>0</v>
      </c>
      <c r="S83" s="17">
        <v>0</v>
      </c>
      <c r="T83" s="17">
        <v>0</v>
      </c>
      <c r="U83" s="17">
        <v>0</v>
      </c>
      <c r="V83" s="17">
        <v>0</v>
      </c>
      <c r="W83" s="17">
        <v>0</v>
      </c>
      <c r="X83" s="17">
        <v>0</v>
      </c>
      <c r="Y83" s="17">
        <v>0</v>
      </c>
      <c r="Z83" s="17">
        <v>0</v>
      </c>
      <c r="AA83" s="17">
        <v>0</v>
      </c>
      <c r="AB83" s="17">
        <v>0</v>
      </c>
      <c r="AC83" s="17">
        <v>0</v>
      </c>
      <c r="AD83" s="17">
        <v>0</v>
      </c>
      <c r="AE83" s="17">
        <v>0</v>
      </c>
      <c r="AF83" s="17">
        <v>0</v>
      </c>
      <c r="AG83" s="17">
        <v>0</v>
      </c>
      <c r="AH83" s="17">
        <v>0</v>
      </c>
      <c r="AI83" s="17">
        <v>0</v>
      </c>
      <c r="AJ83" s="17">
        <v>0</v>
      </c>
      <c r="AK83" s="17">
        <v>0</v>
      </c>
      <c r="AL83" s="17">
        <v>0</v>
      </c>
      <c r="AM83" s="17">
        <v>0</v>
      </c>
      <c r="AN83" s="17">
        <v>0</v>
      </c>
      <c r="AO83" s="17">
        <v>0</v>
      </c>
      <c r="AP83" s="18">
        <f t="shared" si="1"/>
        <v>391853.82009999995</v>
      </c>
    </row>
    <row r="84" spans="1:42" ht="15" customHeight="1" x14ac:dyDescent="0.2">
      <c r="A84" s="16" t="s">
        <v>551</v>
      </c>
      <c r="B84" s="16" t="s">
        <v>553</v>
      </c>
      <c r="C84" s="16" t="s">
        <v>170</v>
      </c>
      <c r="D84" s="16" t="s">
        <v>650</v>
      </c>
      <c r="E84" s="17">
        <v>10395.385700000001</v>
      </c>
      <c r="F84" s="17">
        <v>70071.295499999993</v>
      </c>
      <c r="G84" s="17">
        <v>131441.30600000001</v>
      </c>
      <c r="H84" s="17">
        <v>200177.6728</v>
      </c>
      <c r="I84" s="17">
        <v>414180.92139999999</v>
      </c>
      <c r="J84" s="17">
        <v>524640.59299999999</v>
      </c>
      <c r="K84" s="17">
        <v>496212.027</v>
      </c>
      <c r="L84" s="17">
        <v>455978.7352</v>
      </c>
      <c r="M84" s="17">
        <v>414315.3051</v>
      </c>
      <c r="N84" s="17">
        <v>370577.70309999998</v>
      </c>
      <c r="O84" s="17">
        <v>337310.66879999998</v>
      </c>
      <c r="P84" s="17">
        <v>151676.74299999999</v>
      </c>
      <c r="Q84" s="17">
        <v>0</v>
      </c>
      <c r="R84" s="17">
        <v>0</v>
      </c>
      <c r="S84" s="17">
        <v>0</v>
      </c>
      <c r="T84" s="17">
        <v>0</v>
      </c>
      <c r="U84" s="17">
        <v>0</v>
      </c>
      <c r="V84" s="17">
        <v>0</v>
      </c>
      <c r="W84" s="17">
        <v>0</v>
      </c>
      <c r="X84" s="17">
        <v>0</v>
      </c>
      <c r="Y84" s="17">
        <v>0</v>
      </c>
      <c r="Z84" s="17">
        <v>0</v>
      </c>
      <c r="AA84" s="17">
        <v>0</v>
      </c>
      <c r="AB84" s="17">
        <v>0</v>
      </c>
      <c r="AC84" s="17">
        <v>0</v>
      </c>
      <c r="AD84" s="17">
        <v>0</v>
      </c>
      <c r="AE84" s="17">
        <v>0</v>
      </c>
      <c r="AF84" s="17">
        <v>0</v>
      </c>
      <c r="AG84" s="17">
        <v>0</v>
      </c>
      <c r="AH84" s="17">
        <v>0</v>
      </c>
      <c r="AI84" s="17">
        <v>0</v>
      </c>
      <c r="AJ84" s="17">
        <v>0</v>
      </c>
      <c r="AK84" s="17">
        <v>0</v>
      </c>
      <c r="AL84" s="17">
        <v>0</v>
      </c>
      <c r="AM84" s="17">
        <v>0</v>
      </c>
      <c r="AN84" s="17">
        <v>0</v>
      </c>
      <c r="AO84" s="17">
        <v>0</v>
      </c>
      <c r="AP84" s="18">
        <f t="shared" si="1"/>
        <v>3576978.3565999996</v>
      </c>
    </row>
    <row r="85" spans="1:42" ht="15" customHeight="1" x14ac:dyDescent="0.2">
      <c r="A85" s="16" t="s">
        <v>542</v>
      </c>
      <c r="B85" s="16" t="s">
        <v>554</v>
      </c>
      <c r="C85" s="16" t="s">
        <v>138</v>
      </c>
      <c r="D85" s="16" t="s">
        <v>650</v>
      </c>
      <c r="E85" s="17">
        <v>365</v>
      </c>
      <c r="F85" s="17">
        <v>559</v>
      </c>
      <c r="G85" s="17">
        <v>835</v>
      </c>
      <c r="H85" s="17">
        <v>1001</v>
      </c>
      <c r="I85" s="17">
        <v>1095</v>
      </c>
      <c r="J85" s="17">
        <v>0</v>
      </c>
      <c r="K85" s="17">
        <v>0</v>
      </c>
      <c r="L85" s="17">
        <v>0</v>
      </c>
      <c r="M85" s="17">
        <v>0</v>
      </c>
      <c r="N85" s="17">
        <v>0</v>
      </c>
      <c r="O85" s="17">
        <v>0</v>
      </c>
      <c r="P85" s="17">
        <v>0</v>
      </c>
      <c r="Q85" s="17">
        <v>0</v>
      </c>
      <c r="R85" s="17">
        <v>0</v>
      </c>
      <c r="S85" s="17">
        <v>0</v>
      </c>
      <c r="T85" s="17">
        <v>0</v>
      </c>
      <c r="U85" s="17">
        <v>0</v>
      </c>
      <c r="V85" s="17">
        <v>0</v>
      </c>
      <c r="W85" s="17">
        <v>0</v>
      </c>
      <c r="X85" s="17">
        <v>0</v>
      </c>
      <c r="Y85" s="17">
        <v>0</v>
      </c>
      <c r="Z85" s="17">
        <v>0</v>
      </c>
      <c r="AA85" s="17">
        <v>0</v>
      </c>
      <c r="AB85" s="17">
        <v>0</v>
      </c>
      <c r="AC85" s="17">
        <v>0</v>
      </c>
      <c r="AD85" s="17">
        <v>0</v>
      </c>
      <c r="AE85" s="17">
        <v>0</v>
      </c>
      <c r="AF85" s="17">
        <v>0</v>
      </c>
      <c r="AG85" s="17">
        <v>0</v>
      </c>
      <c r="AH85" s="17">
        <v>0</v>
      </c>
      <c r="AI85" s="17">
        <v>0</v>
      </c>
      <c r="AJ85" s="17">
        <v>0</v>
      </c>
      <c r="AK85" s="17">
        <v>0</v>
      </c>
      <c r="AL85" s="17"/>
      <c r="AM85" s="17"/>
      <c r="AN85" s="17"/>
      <c r="AO85" s="17"/>
      <c r="AP85" s="18">
        <f t="shared" si="1"/>
        <v>3855</v>
      </c>
    </row>
    <row r="86" spans="1:42" ht="15" customHeight="1" x14ac:dyDescent="0.2">
      <c r="A86" s="16" t="s">
        <v>542</v>
      </c>
      <c r="B86" s="16" t="s">
        <v>554</v>
      </c>
      <c r="C86" s="16" t="s">
        <v>428</v>
      </c>
      <c r="D86" s="16" t="s">
        <v>650</v>
      </c>
      <c r="E86" s="17">
        <v>9381</v>
      </c>
      <c r="F86" s="17">
        <v>11662</v>
      </c>
      <c r="G86" s="17">
        <v>14637</v>
      </c>
      <c r="H86" s="17">
        <v>16031</v>
      </c>
      <c r="I86" s="17">
        <v>16336</v>
      </c>
      <c r="J86" s="17">
        <v>15850</v>
      </c>
      <c r="K86" s="17">
        <v>16342</v>
      </c>
      <c r="L86" s="17">
        <v>16651</v>
      </c>
      <c r="M86" s="17">
        <v>13000</v>
      </c>
      <c r="N86" s="17">
        <v>10185</v>
      </c>
      <c r="O86" s="17">
        <v>9866</v>
      </c>
      <c r="P86" s="17">
        <v>9823</v>
      </c>
      <c r="Q86" s="17">
        <v>9266</v>
      </c>
      <c r="R86" s="17">
        <v>29809</v>
      </c>
      <c r="S86" s="17">
        <v>0</v>
      </c>
      <c r="T86" s="17">
        <v>0</v>
      </c>
      <c r="U86" s="17">
        <v>0</v>
      </c>
      <c r="V86" s="17">
        <v>0</v>
      </c>
      <c r="W86" s="17">
        <v>0</v>
      </c>
      <c r="X86" s="17">
        <v>0</v>
      </c>
      <c r="Y86" s="17">
        <v>0</v>
      </c>
      <c r="Z86" s="17">
        <v>0</v>
      </c>
      <c r="AA86" s="17">
        <v>0</v>
      </c>
      <c r="AB86" s="17">
        <v>0</v>
      </c>
      <c r="AC86" s="17">
        <v>0</v>
      </c>
      <c r="AD86" s="17">
        <v>0</v>
      </c>
      <c r="AE86" s="17">
        <v>0</v>
      </c>
      <c r="AF86" s="17">
        <v>0</v>
      </c>
      <c r="AG86" s="17">
        <v>0</v>
      </c>
      <c r="AH86" s="17">
        <v>0</v>
      </c>
      <c r="AI86" s="17">
        <v>0</v>
      </c>
      <c r="AJ86" s="17">
        <v>0</v>
      </c>
      <c r="AK86" s="17">
        <v>0</v>
      </c>
      <c r="AL86" s="17"/>
      <c r="AM86" s="17"/>
      <c r="AN86" s="17"/>
      <c r="AO86" s="17"/>
      <c r="AP86" s="18">
        <f t="shared" si="1"/>
        <v>198839</v>
      </c>
    </row>
    <row r="87" spans="1:42" ht="15" customHeight="1" x14ac:dyDescent="0.2">
      <c r="A87" s="16" t="s">
        <v>542</v>
      </c>
      <c r="B87" s="16" t="s">
        <v>555</v>
      </c>
      <c r="C87" s="16" t="s">
        <v>199</v>
      </c>
      <c r="D87" s="16" t="s">
        <v>650</v>
      </c>
      <c r="E87" s="17">
        <v>909</v>
      </c>
      <c r="F87" s="17">
        <v>1397</v>
      </c>
      <c r="G87" s="17">
        <v>1619</v>
      </c>
      <c r="H87" s="17">
        <v>1673</v>
      </c>
      <c r="I87" s="17">
        <v>1626</v>
      </c>
      <c r="J87" s="17">
        <v>1507</v>
      </c>
      <c r="K87" s="17">
        <v>1820</v>
      </c>
      <c r="L87" s="17">
        <v>2658</v>
      </c>
      <c r="M87" s="17">
        <v>1835</v>
      </c>
      <c r="N87" s="17">
        <v>177</v>
      </c>
      <c r="O87" s="17">
        <v>149</v>
      </c>
      <c r="P87" s="17">
        <v>126</v>
      </c>
      <c r="Q87" s="17">
        <v>105</v>
      </c>
      <c r="R87" s="17">
        <v>87</v>
      </c>
      <c r="S87" s="17">
        <v>0</v>
      </c>
      <c r="T87" s="17">
        <v>0</v>
      </c>
      <c r="U87" s="17">
        <v>0</v>
      </c>
      <c r="V87" s="17">
        <v>0</v>
      </c>
      <c r="W87" s="17">
        <v>0</v>
      </c>
      <c r="X87" s="17">
        <v>0</v>
      </c>
      <c r="Y87" s="17">
        <v>0</v>
      </c>
      <c r="Z87" s="17">
        <v>0</v>
      </c>
      <c r="AA87" s="17">
        <v>0</v>
      </c>
      <c r="AB87" s="17">
        <v>0</v>
      </c>
      <c r="AC87" s="17">
        <v>0</v>
      </c>
      <c r="AD87" s="17">
        <v>0</v>
      </c>
      <c r="AE87" s="17">
        <v>0</v>
      </c>
      <c r="AF87" s="17">
        <v>0</v>
      </c>
      <c r="AG87" s="17">
        <v>0</v>
      </c>
      <c r="AH87" s="17">
        <v>0</v>
      </c>
      <c r="AI87" s="17">
        <v>0</v>
      </c>
      <c r="AJ87" s="17">
        <v>0</v>
      </c>
      <c r="AK87" s="17">
        <v>0</v>
      </c>
      <c r="AL87" s="17"/>
      <c r="AM87" s="17"/>
      <c r="AN87" s="17"/>
      <c r="AO87" s="17"/>
      <c r="AP87" s="18">
        <f t="shared" si="1"/>
        <v>15688</v>
      </c>
    </row>
    <row r="88" spans="1:42" ht="15" customHeight="1" x14ac:dyDescent="0.2">
      <c r="A88" s="16" t="s">
        <v>542</v>
      </c>
      <c r="B88" s="16" t="s">
        <v>555</v>
      </c>
      <c r="C88" s="16" t="s">
        <v>247</v>
      </c>
      <c r="D88" s="16" t="s">
        <v>650</v>
      </c>
      <c r="E88" s="17">
        <v>460</v>
      </c>
      <c r="F88" s="17">
        <v>794</v>
      </c>
      <c r="G88" s="17">
        <v>1029</v>
      </c>
      <c r="H88" s="17">
        <v>1187</v>
      </c>
      <c r="I88" s="17">
        <v>1287</v>
      </c>
      <c r="J88" s="17">
        <v>1332</v>
      </c>
      <c r="K88" s="17">
        <v>1344</v>
      </c>
      <c r="L88" s="17">
        <v>1330</v>
      </c>
      <c r="M88" s="17">
        <v>1299</v>
      </c>
      <c r="N88" s="17">
        <v>1243</v>
      </c>
      <c r="O88" s="17">
        <v>1183</v>
      </c>
      <c r="P88" s="17">
        <v>1119</v>
      </c>
      <c r="Q88" s="17">
        <v>1050</v>
      </c>
      <c r="R88" s="17">
        <v>976</v>
      </c>
      <c r="S88" s="17">
        <v>0</v>
      </c>
      <c r="T88" s="17">
        <v>0</v>
      </c>
      <c r="U88" s="17">
        <v>0</v>
      </c>
      <c r="V88" s="17">
        <v>0</v>
      </c>
      <c r="W88" s="17">
        <v>0</v>
      </c>
      <c r="X88" s="17">
        <v>0</v>
      </c>
      <c r="Y88" s="17">
        <v>0</v>
      </c>
      <c r="Z88" s="17">
        <v>0</v>
      </c>
      <c r="AA88" s="17">
        <v>0</v>
      </c>
      <c r="AB88" s="17">
        <v>0</v>
      </c>
      <c r="AC88" s="17">
        <v>0</v>
      </c>
      <c r="AD88" s="17">
        <v>0</v>
      </c>
      <c r="AE88" s="17">
        <v>0</v>
      </c>
      <c r="AF88" s="17">
        <v>0</v>
      </c>
      <c r="AG88" s="17">
        <v>0</v>
      </c>
      <c r="AH88" s="17">
        <v>0</v>
      </c>
      <c r="AI88" s="17">
        <v>0</v>
      </c>
      <c r="AJ88" s="17">
        <v>0</v>
      </c>
      <c r="AK88" s="17">
        <v>0</v>
      </c>
      <c r="AL88" s="17"/>
      <c r="AM88" s="17"/>
      <c r="AN88" s="17"/>
      <c r="AO88" s="17"/>
      <c r="AP88" s="18">
        <f t="shared" si="1"/>
        <v>15633</v>
      </c>
    </row>
    <row r="89" spans="1:42" ht="15" customHeight="1" x14ac:dyDescent="0.2">
      <c r="A89" s="16" t="s">
        <v>542</v>
      </c>
      <c r="B89" s="16" t="s">
        <v>555</v>
      </c>
      <c r="C89" s="16" t="s">
        <v>248</v>
      </c>
      <c r="D89" s="16" t="s">
        <v>650</v>
      </c>
      <c r="E89" s="17">
        <v>1951</v>
      </c>
      <c r="F89" s="17">
        <v>2847</v>
      </c>
      <c r="G89" s="17">
        <v>3108</v>
      </c>
      <c r="H89" s="17">
        <v>3014</v>
      </c>
      <c r="I89" s="17">
        <v>2745</v>
      </c>
      <c r="J89" s="17">
        <v>2390</v>
      </c>
      <c r="K89" s="17">
        <v>5385</v>
      </c>
      <c r="L89" s="17">
        <v>0</v>
      </c>
      <c r="M89" s="17">
        <v>0</v>
      </c>
      <c r="N89" s="17">
        <v>0</v>
      </c>
      <c r="O89" s="17">
        <v>0</v>
      </c>
      <c r="P89" s="17">
        <v>0</v>
      </c>
      <c r="Q89" s="17">
        <v>0</v>
      </c>
      <c r="R89" s="17">
        <v>0</v>
      </c>
      <c r="S89" s="17">
        <v>0</v>
      </c>
      <c r="T89" s="17">
        <v>0</v>
      </c>
      <c r="U89" s="17">
        <v>0</v>
      </c>
      <c r="V89" s="17">
        <v>0</v>
      </c>
      <c r="W89" s="17">
        <v>0</v>
      </c>
      <c r="X89" s="17">
        <v>0</v>
      </c>
      <c r="Y89" s="17">
        <v>0</v>
      </c>
      <c r="Z89" s="17">
        <v>0</v>
      </c>
      <c r="AA89" s="17">
        <v>0</v>
      </c>
      <c r="AB89" s="17">
        <v>0</v>
      </c>
      <c r="AC89" s="17">
        <v>0</v>
      </c>
      <c r="AD89" s="17">
        <v>0</v>
      </c>
      <c r="AE89" s="17">
        <v>0</v>
      </c>
      <c r="AF89" s="17">
        <v>0</v>
      </c>
      <c r="AG89" s="17">
        <v>0</v>
      </c>
      <c r="AH89" s="17">
        <v>0</v>
      </c>
      <c r="AI89" s="17">
        <v>0</v>
      </c>
      <c r="AJ89" s="17">
        <v>0</v>
      </c>
      <c r="AK89" s="17">
        <v>0</v>
      </c>
      <c r="AL89" s="17"/>
      <c r="AM89" s="17"/>
      <c r="AN89" s="17"/>
      <c r="AO89" s="17"/>
      <c r="AP89" s="18">
        <f t="shared" si="1"/>
        <v>21440</v>
      </c>
    </row>
    <row r="90" spans="1:42" ht="15" customHeight="1" x14ac:dyDescent="0.2">
      <c r="A90" s="16" t="s">
        <v>542</v>
      </c>
      <c r="B90" s="16" t="s">
        <v>555</v>
      </c>
      <c r="C90" s="16" t="s">
        <v>259</v>
      </c>
      <c r="D90" s="16" t="s">
        <v>650</v>
      </c>
      <c r="E90" s="17">
        <v>385</v>
      </c>
      <c r="F90" s="17">
        <v>492</v>
      </c>
      <c r="G90" s="17">
        <v>508</v>
      </c>
      <c r="H90" s="17">
        <v>0</v>
      </c>
      <c r="I90" s="17">
        <v>0</v>
      </c>
      <c r="J90" s="17">
        <v>0</v>
      </c>
      <c r="K90" s="17">
        <v>0</v>
      </c>
      <c r="L90" s="17">
        <v>0</v>
      </c>
      <c r="M90" s="17">
        <v>0</v>
      </c>
      <c r="N90" s="17">
        <v>0</v>
      </c>
      <c r="O90" s="17">
        <v>0</v>
      </c>
      <c r="P90" s="17">
        <v>0</v>
      </c>
      <c r="Q90" s="17">
        <v>0</v>
      </c>
      <c r="R90" s="17">
        <v>0</v>
      </c>
      <c r="S90" s="17">
        <v>0</v>
      </c>
      <c r="T90" s="17">
        <v>0</v>
      </c>
      <c r="U90" s="17">
        <v>0</v>
      </c>
      <c r="V90" s="17">
        <v>0</v>
      </c>
      <c r="W90" s="17">
        <v>0</v>
      </c>
      <c r="X90" s="17">
        <v>0</v>
      </c>
      <c r="Y90" s="17">
        <v>0</v>
      </c>
      <c r="Z90" s="17">
        <v>0</v>
      </c>
      <c r="AA90" s="17">
        <v>0</v>
      </c>
      <c r="AB90" s="17">
        <v>0</v>
      </c>
      <c r="AC90" s="17">
        <v>0</v>
      </c>
      <c r="AD90" s="17">
        <v>0</v>
      </c>
      <c r="AE90" s="17">
        <v>0</v>
      </c>
      <c r="AF90" s="17">
        <v>0</v>
      </c>
      <c r="AG90" s="17">
        <v>0</v>
      </c>
      <c r="AH90" s="17">
        <v>0</v>
      </c>
      <c r="AI90" s="17">
        <v>0</v>
      </c>
      <c r="AJ90" s="17">
        <v>0</v>
      </c>
      <c r="AK90" s="17">
        <v>0</v>
      </c>
      <c r="AL90" s="17"/>
      <c r="AM90" s="17"/>
      <c r="AN90" s="17"/>
      <c r="AO90" s="17"/>
      <c r="AP90" s="18">
        <f t="shared" si="1"/>
        <v>1385</v>
      </c>
    </row>
    <row r="91" spans="1:42" ht="15" customHeight="1" x14ac:dyDescent="0.2">
      <c r="A91" s="16" t="s">
        <v>542</v>
      </c>
      <c r="B91" s="16" t="s">
        <v>555</v>
      </c>
      <c r="C91" s="16" t="s">
        <v>260</v>
      </c>
      <c r="D91" s="16" t="s">
        <v>650</v>
      </c>
      <c r="E91" s="17">
        <v>1238</v>
      </c>
      <c r="F91" s="17">
        <v>1319</v>
      </c>
      <c r="G91" s="17">
        <v>1315</v>
      </c>
      <c r="H91" s="17">
        <v>1258</v>
      </c>
      <c r="I91" s="17">
        <v>1168</v>
      </c>
      <c r="J91" s="17">
        <v>1057</v>
      </c>
      <c r="K91" s="17">
        <v>944</v>
      </c>
      <c r="L91" s="17">
        <v>831</v>
      </c>
      <c r="M91" s="17">
        <v>730</v>
      </c>
      <c r="N91" s="17">
        <v>628</v>
      </c>
      <c r="O91" s="17">
        <v>540</v>
      </c>
      <c r="P91" s="17">
        <v>2749</v>
      </c>
      <c r="Q91" s="17">
        <v>0</v>
      </c>
      <c r="R91" s="17">
        <v>0</v>
      </c>
      <c r="S91" s="17">
        <v>0</v>
      </c>
      <c r="T91" s="17">
        <v>0</v>
      </c>
      <c r="U91" s="17">
        <v>0</v>
      </c>
      <c r="V91" s="17">
        <v>0</v>
      </c>
      <c r="W91" s="17">
        <v>0</v>
      </c>
      <c r="X91" s="17">
        <v>0</v>
      </c>
      <c r="Y91" s="17">
        <v>0</v>
      </c>
      <c r="Z91" s="17">
        <v>0</v>
      </c>
      <c r="AA91" s="17">
        <v>0</v>
      </c>
      <c r="AB91" s="17">
        <v>0</v>
      </c>
      <c r="AC91" s="17">
        <v>0</v>
      </c>
      <c r="AD91" s="17">
        <v>0</v>
      </c>
      <c r="AE91" s="17">
        <v>0</v>
      </c>
      <c r="AF91" s="17">
        <v>0</v>
      </c>
      <c r="AG91" s="17">
        <v>0</v>
      </c>
      <c r="AH91" s="17">
        <v>0</v>
      </c>
      <c r="AI91" s="17">
        <v>0</v>
      </c>
      <c r="AJ91" s="17">
        <v>0</v>
      </c>
      <c r="AK91" s="17">
        <v>0</v>
      </c>
      <c r="AL91" s="17"/>
      <c r="AM91" s="17"/>
      <c r="AN91" s="17"/>
      <c r="AO91" s="17"/>
      <c r="AP91" s="18">
        <f t="shared" si="1"/>
        <v>13777</v>
      </c>
    </row>
    <row r="92" spans="1:42" ht="15" customHeight="1" x14ac:dyDescent="0.2">
      <c r="A92" s="16" t="s">
        <v>542</v>
      </c>
      <c r="B92" s="16" t="s">
        <v>556</v>
      </c>
      <c r="C92" s="16" t="s">
        <v>157</v>
      </c>
      <c r="D92" s="16" t="s">
        <v>650</v>
      </c>
      <c r="E92" s="17">
        <v>3715</v>
      </c>
      <c r="F92" s="17">
        <v>4780</v>
      </c>
      <c r="G92" s="17">
        <v>32249</v>
      </c>
      <c r="H92" s="17">
        <v>58379</v>
      </c>
      <c r="I92" s="17">
        <v>58533</v>
      </c>
      <c r="J92" s="17">
        <v>53040</v>
      </c>
      <c r="K92" s="17">
        <v>45172</v>
      </c>
      <c r="L92" s="17">
        <v>36712</v>
      </c>
      <c r="M92" s="17">
        <v>29012</v>
      </c>
      <c r="N92" s="17">
        <v>22320</v>
      </c>
      <c r="O92" s="17">
        <v>16959</v>
      </c>
      <c r="P92" s="17">
        <v>19032</v>
      </c>
      <c r="Q92" s="17">
        <v>0</v>
      </c>
      <c r="R92" s="17">
        <v>0</v>
      </c>
      <c r="S92" s="17">
        <v>0</v>
      </c>
      <c r="T92" s="17">
        <v>0</v>
      </c>
      <c r="U92" s="17">
        <v>0</v>
      </c>
      <c r="V92" s="17">
        <v>0</v>
      </c>
      <c r="W92" s="17">
        <v>0</v>
      </c>
      <c r="X92" s="17">
        <v>0</v>
      </c>
      <c r="Y92" s="17">
        <v>0</v>
      </c>
      <c r="Z92" s="17">
        <v>0</v>
      </c>
      <c r="AA92" s="17">
        <v>0</v>
      </c>
      <c r="AB92" s="17">
        <v>0</v>
      </c>
      <c r="AC92" s="17">
        <v>0</v>
      </c>
      <c r="AD92" s="17">
        <v>0</v>
      </c>
      <c r="AE92" s="17">
        <v>0</v>
      </c>
      <c r="AF92" s="17">
        <v>0</v>
      </c>
      <c r="AG92" s="17">
        <v>0</v>
      </c>
      <c r="AH92" s="17">
        <v>0</v>
      </c>
      <c r="AI92" s="17">
        <v>0</v>
      </c>
      <c r="AJ92" s="17">
        <v>0</v>
      </c>
      <c r="AK92" s="17">
        <v>0</v>
      </c>
      <c r="AL92" s="17"/>
      <c r="AM92" s="17"/>
      <c r="AN92" s="17"/>
      <c r="AO92" s="17"/>
      <c r="AP92" s="18">
        <f t="shared" si="1"/>
        <v>379903</v>
      </c>
    </row>
    <row r="93" spans="1:42" ht="15" customHeight="1" x14ac:dyDescent="0.2">
      <c r="A93" s="16" t="s">
        <v>542</v>
      </c>
      <c r="B93" s="16" t="s">
        <v>557</v>
      </c>
      <c r="C93" s="16" t="s">
        <v>306</v>
      </c>
      <c r="D93" s="16" t="s">
        <v>650</v>
      </c>
      <c r="E93" s="17">
        <v>7150</v>
      </c>
      <c r="F93" s="17">
        <v>45049</v>
      </c>
      <c r="G93" s="17">
        <v>39957</v>
      </c>
      <c r="H93" s="17">
        <v>35132</v>
      </c>
      <c r="I93" s="17">
        <v>30868</v>
      </c>
      <c r="J93" s="17">
        <v>26989</v>
      </c>
      <c r="K93" s="17">
        <v>23743</v>
      </c>
      <c r="L93" s="17">
        <v>20989</v>
      </c>
      <c r="M93" s="17">
        <v>18701</v>
      </c>
      <c r="N93" s="17">
        <v>16675</v>
      </c>
      <c r="O93" s="17">
        <v>14990</v>
      </c>
      <c r="P93" s="17">
        <v>13556</v>
      </c>
      <c r="Q93" s="17">
        <v>15580</v>
      </c>
      <c r="R93" s="17">
        <v>14912</v>
      </c>
      <c r="S93" s="17">
        <v>39240</v>
      </c>
      <c r="T93" s="17">
        <v>34040</v>
      </c>
      <c r="U93" s="17">
        <v>27070</v>
      </c>
      <c r="V93" s="17">
        <v>0</v>
      </c>
      <c r="W93" s="17">
        <v>0</v>
      </c>
      <c r="X93" s="17">
        <v>0</v>
      </c>
      <c r="Y93" s="17">
        <v>0</v>
      </c>
      <c r="Z93" s="17">
        <v>0</v>
      </c>
      <c r="AA93" s="17">
        <v>0</v>
      </c>
      <c r="AB93" s="17">
        <v>0</v>
      </c>
      <c r="AC93" s="17">
        <v>0</v>
      </c>
      <c r="AD93" s="17">
        <v>0</v>
      </c>
      <c r="AE93" s="17">
        <v>0</v>
      </c>
      <c r="AF93" s="17">
        <v>0</v>
      </c>
      <c r="AG93" s="17">
        <v>0</v>
      </c>
      <c r="AH93" s="17">
        <v>0</v>
      </c>
      <c r="AI93" s="17">
        <v>0</v>
      </c>
      <c r="AJ93" s="17">
        <v>0</v>
      </c>
      <c r="AK93" s="17">
        <v>0</v>
      </c>
      <c r="AL93" s="17"/>
      <c r="AM93" s="17"/>
      <c r="AN93" s="17"/>
      <c r="AO93" s="17"/>
      <c r="AP93" s="18">
        <f t="shared" si="1"/>
        <v>424641</v>
      </c>
    </row>
    <row r="94" spans="1:42" ht="15" customHeight="1" x14ac:dyDescent="0.2">
      <c r="A94" s="16" t="s">
        <v>542</v>
      </c>
      <c r="B94" s="16" t="s">
        <v>557</v>
      </c>
      <c r="C94" s="16" t="s">
        <v>354</v>
      </c>
      <c r="D94" s="16" t="s">
        <v>650</v>
      </c>
      <c r="E94" s="17">
        <v>4749</v>
      </c>
      <c r="F94" s="17">
        <v>6841</v>
      </c>
      <c r="G94" s="17">
        <v>8403</v>
      </c>
      <c r="H94" s="17">
        <v>9146</v>
      </c>
      <c r="I94" s="17">
        <v>8414</v>
      </c>
      <c r="J94" s="17">
        <v>8420</v>
      </c>
      <c r="K94" s="17">
        <v>8371</v>
      </c>
      <c r="L94" s="17">
        <v>8171</v>
      </c>
      <c r="M94" s="17">
        <v>8335</v>
      </c>
      <c r="N94" s="17">
        <v>9651</v>
      </c>
      <c r="O94" s="17">
        <v>19998</v>
      </c>
      <c r="P94" s="17">
        <v>16377</v>
      </c>
      <c r="Q94" s="17">
        <v>12175</v>
      </c>
      <c r="R94" s="17">
        <v>0</v>
      </c>
      <c r="S94" s="17">
        <v>0</v>
      </c>
      <c r="T94" s="17">
        <v>0</v>
      </c>
      <c r="U94" s="17">
        <v>0</v>
      </c>
      <c r="V94" s="17">
        <v>0</v>
      </c>
      <c r="W94" s="17">
        <v>0</v>
      </c>
      <c r="X94" s="17">
        <v>0</v>
      </c>
      <c r="Y94" s="17">
        <v>0</v>
      </c>
      <c r="Z94" s="17">
        <v>0</v>
      </c>
      <c r="AA94" s="17">
        <v>0</v>
      </c>
      <c r="AB94" s="17">
        <v>0</v>
      </c>
      <c r="AC94" s="17">
        <v>0</v>
      </c>
      <c r="AD94" s="17">
        <v>0</v>
      </c>
      <c r="AE94" s="17">
        <v>0</v>
      </c>
      <c r="AF94" s="17">
        <v>0</v>
      </c>
      <c r="AG94" s="17">
        <v>0</v>
      </c>
      <c r="AH94" s="17">
        <v>0</v>
      </c>
      <c r="AI94" s="17">
        <v>0</v>
      </c>
      <c r="AJ94" s="17">
        <v>0</v>
      </c>
      <c r="AK94" s="17">
        <v>0</v>
      </c>
      <c r="AL94" s="17"/>
      <c r="AM94" s="17"/>
      <c r="AN94" s="17"/>
      <c r="AO94" s="17"/>
      <c r="AP94" s="18">
        <f t="shared" si="1"/>
        <v>129051</v>
      </c>
    </row>
    <row r="95" spans="1:42" ht="15" customHeight="1" x14ac:dyDescent="0.2">
      <c r="A95" s="16" t="s">
        <v>542</v>
      </c>
      <c r="B95" s="16" t="s">
        <v>557</v>
      </c>
      <c r="C95" s="16" t="s">
        <v>432</v>
      </c>
      <c r="D95" s="16" t="s">
        <v>650</v>
      </c>
      <c r="E95" s="17">
        <v>8401</v>
      </c>
      <c r="F95" s="17">
        <v>16722</v>
      </c>
      <c r="G95" s="17">
        <v>18877</v>
      </c>
      <c r="H95" s="17">
        <v>18820</v>
      </c>
      <c r="I95" s="17">
        <v>21227</v>
      </c>
      <c r="J95" s="17">
        <v>19777</v>
      </c>
      <c r="K95" s="17">
        <v>18762</v>
      </c>
      <c r="L95" s="17">
        <v>17873</v>
      </c>
      <c r="M95" s="17">
        <v>18089</v>
      </c>
      <c r="N95" s="17">
        <v>15806</v>
      </c>
      <c r="O95" s="17">
        <v>36486</v>
      </c>
      <c r="P95" s="17">
        <v>31769</v>
      </c>
      <c r="Q95" s="17">
        <v>27739</v>
      </c>
      <c r="R95" s="17">
        <v>0</v>
      </c>
      <c r="S95" s="17">
        <v>0</v>
      </c>
      <c r="T95" s="17">
        <v>0</v>
      </c>
      <c r="U95" s="17">
        <v>0</v>
      </c>
      <c r="V95" s="17">
        <v>0</v>
      </c>
      <c r="W95" s="17">
        <v>0</v>
      </c>
      <c r="X95" s="17">
        <v>0</v>
      </c>
      <c r="Y95" s="17">
        <v>0</v>
      </c>
      <c r="Z95" s="17">
        <v>0</v>
      </c>
      <c r="AA95" s="17">
        <v>0</v>
      </c>
      <c r="AB95" s="17">
        <v>0</v>
      </c>
      <c r="AC95" s="17">
        <v>0</v>
      </c>
      <c r="AD95" s="17">
        <v>0</v>
      </c>
      <c r="AE95" s="17">
        <v>0</v>
      </c>
      <c r="AF95" s="17">
        <v>0</v>
      </c>
      <c r="AG95" s="17">
        <v>0</v>
      </c>
      <c r="AH95" s="17">
        <v>0</v>
      </c>
      <c r="AI95" s="17">
        <v>0</v>
      </c>
      <c r="AJ95" s="17">
        <v>0</v>
      </c>
      <c r="AK95" s="17">
        <v>0</v>
      </c>
      <c r="AL95" s="17"/>
      <c r="AM95" s="17"/>
      <c r="AN95" s="17"/>
      <c r="AO95" s="17"/>
      <c r="AP95" s="18">
        <f t="shared" si="1"/>
        <v>270348</v>
      </c>
    </row>
    <row r="96" spans="1:42" ht="15" customHeight="1" x14ac:dyDescent="0.2">
      <c r="A96" s="16" t="s">
        <v>542</v>
      </c>
      <c r="B96" s="16" t="s">
        <v>558</v>
      </c>
      <c r="C96" s="16" t="s">
        <v>180</v>
      </c>
      <c r="D96" s="16" t="s">
        <v>650</v>
      </c>
      <c r="E96" s="17">
        <v>1806</v>
      </c>
      <c r="F96" s="17">
        <v>1721</v>
      </c>
      <c r="G96" s="17">
        <v>1591</v>
      </c>
      <c r="H96" s="17">
        <v>1439</v>
      </c>
      <c r="I96" s="17">
        <v>1282</v>
      </c>
      <c r="J96" s="17">
        <v>9705</v>
      </c>
      <c r="K96" s="17">
        <v>0</v>
      </c>
      <c r="L96" s="17">
        <v>0</v>
      </c>
      <c r="M96" s="17">
        <v>0</v>
      </c>
      <c r="N96" s="17">
        <v>0</v>
      </c>
      <c r="O96" s="17">
        <v>0</v>
      </c>
      <c r="P96" s="17">
        <v>0</v>
      </c>
      <c r="Q96" s="17">
        <v>0</v>
      </c>
      <c r="R96" s="17">
        <v>0</v>
      </c>
      <c r="S96" s="17">
        <v>0</v>
      </c>
      <c r="T96" s="17">
        <v>0</v>
      </c>
      <c r="U96" s="17">
        <v>0</v>
      </c>
      <c r="V96" s="17">
        <v>0</v>
      </c>
      <c r="W96" s="17">
        <v>0</v>
      </c>
      <c r="X96" s="17">
        <v>0</v>
      </c>
      <c r="Y96" s="17">
        <v>0</v>
      </c>
      <c r="Z96" s="17">
        <v>0</v>
      </c>
      <c r="AA96" s="17">
        <v>0</v>
      </c>
      <c r="AB96" s="17">
        <v>0</v>
      </c>
      <c r="AC96" s="17">
        <v>0</v>
      </c>
      <c r="AD96" s="17">
        <v>0</v>
      </c>
      <c r="AE96" s="17">
        <v>0</v>
      </c>
      <c r="AF96" s="17">
        <v>0</v>
      </c>
      <c r="AG96" s="17">
        <v>0</v>
      </c>
      <c r="AH96" s="17">
        <v>0</v>
      </c>
      <c r="AI96" s="17">
        <v>0</v>
      </c>
      <c r="AJ96" s="17">
        <v>0</v>
      </c>
      <c r="AK96" s="17">
        <v>0</v>
      </c>
      <c r="AL96" s="17"/>
      <c r="AM96" s="17"/>
      <c r="AN96" s="17"/>
      <c r="AO96" s="17"/>
      <c r="AP96" s="18">
        <f t="shared" si="1"/>
        <v>17544</v>
      </c>
    </row>
    <row r="97" spans="1:42" ht="15" customHeight="1" x14ac:dyDescent="0.2">
      <c r="A97" s="16" t="s">
        <v>542</v>
      </c>
      <c r="B97" s="16" t="s">
        <v>558</v>
      </c>
      <c r="C97" s="16" t="s">
        <v>200</v>
      </c>
      <c r="D97" s="16" t="s">
        <v>650</v>
      </c>
      <c r="E97" s="17">
        <v>1247</v>
      </c>
      <c r="F97" s="17">
        <v>1430</v>
      </c>
      <c r="G97" s="17">
        <v>1502</v>
      </c>
      <c r="H97" s="17">
        <v>1496</v>
      </c>
      <c r="I97" s="17">
        <v>1440</v>
      </c>
      <c r="J97" s="17">
        <v>1345</v>
      </c>
      <c r="K97" s="17">
        <v>0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Q97" s="17">
        <v>0</v>
      </c>
      <c r="R97" s="17">
        <v>0</v>
      </c>
      <c r="S97" s="17">
        <v>0</v>
      </c>
      <c r="T97" s="17">
        <v>0</v>
      </c>
      <c r="U97" s="17">
        <v>0</v>
      </c>
      <c r="V97" s="17">
        <v>0</v>
      </c>
      <c r="W97" s="17">
        <v>0</v>
      </c>
      <c r="X97" s="17">
        <v>0</v>
      </c>
      <c r="Y97" s="17">
        <v>0</v>
      </c>
      <c r="Z97" s="17">
        <v>0</v>
      </c>
      <c r="AA97" s="17">
        <v>0</v>
      </c>
      <c r="AB97" s="17">
        <v>0</v>
      </c>
      <c r="AC97" s="17">
        <v>0</v>
      </c>
      <c r="AD97" s="17">
        <v>0</v>
      </c>
      <c r="AE97" s="17">
        <v>0</v>
      </c>
      <c r="AF97" s="17">
        <v>0</v>
      </c>
      <c r="AG97" s="17">
        <v>0</v>
      </c>
      <c r="AH97" s="17">
        <v>0</v>
      </c>
      <c r="AI97" s="17">
        <v>0</v>
      </c>
      <c r="AJ97" s="17">
        <v>0</v>
      </c>
      <c r="AK97" s="17">
        <v>0</v>
      </c>
      <c r="AL97" s="17"/>
      <c r="AM97" s="17"/>
      <c r="AN97" s="17"/>
      <c r="AO97" s="17"/>
      <c r="AP97" s="18">
        <f t="shared" si="1"/>
        <v>8460</v>
      </c>
    </row>
    <row r="98" spans="1:42" ht="15" customHeight="1" x14ac:dyDescent="0.2">
      <c r="A98" s="16" t="s">
        <v>542</v>
      </c>
      <c r="B98" s="16" t="s">
        <v>558</v>
      </c>
      <c r="C98" s="16" t="s">
        <v>206</v>
      </c>
      <c r="D98" s="16" t="s">
        <v>650</v>
      </c>
      <c r="E98" s="17">
        <v>1195</v>
      </c>
      <c r="F98" s="17">
        <v>1298</v>
      </c>
      <c r="G98" s="17">
        <v>1327</v>
      </c>
      <c r="H98" s="17">
        <v>1302</v>
      </c>
      <c r="I98" s="17">
        <v>1246</v>
      </c>
      <c r="J98" s="17">
        <v>1164</v>
      </c>
      <c r="K98" s="17">
        <v>0</v>
      </c>
      <c r="L98" s="17">
        <v>0</v>
      </c>
      <c r="M98" s="17">
        <v>0</v>
      </c>
      <c r="N98" s="17">
        <v>0</v>
      </c>
      <c r="O98" s="17">
        <v>0</v>
      </c>
      <c r="P98" s="17">
        <v>0</v>
      </c>
      <c r="Q98" s="17">
        <v>0</v>
      </c>
      <c r="R98" s="17">
        <v>0</v>
      </c>
      <c r="S98" s="17">
        <v>0</v>
      </c>
      <c r="T98" s="17">
        <v>0</v>
      </c>
      <c r="U98" s="17">
        <v>0</v>
      </c>
      <c r="V98" s="17">
        <v>0</v>
      </c>
      <c r="W98" s="17">
        <v>0</v>
      </c>
      <c r="X98" s="17">
        <v>0</v>
      </c>
      <c r="Y98" s="17">
        <v>0</v>
      </c>
      <c r="Z98" s="17">
        <v>0</v>
      </c>
      <c r="AA98" s="17">
        <v>0</v>
      </c>
      <c r="AB98" s="17">
        <v>0</v>
      </c>
      <c r="AC98" s="17">
        <v>0</v>
      </c>
      <c r="AD98" s="17">
        <v>0</v>
      </c>
      <c r="AE98" s="17">
        <v>0</v>
      </c>
      <c r="AF98" s="17">
        <v>0</v>
      </c>
      <c r="AG98" s="17">
        <v>0</v>
      </c>
      <c r="AH98" s="17">
        <v>0</v>
      </c>
      <c r="AI98" s="17">
        <v>0</v>
      </c>
      <c r="AJ98" s="17">
        <v>0</v>
      </c>
      <c r="AK98" s="17">
        <v>0</v>
      </c>
      <c r="AL98" s="17"/>
      <c r="AM98" s="17"/>
      <c r="AN98" s="17"/>
      <c r="AO98" s="17"/>
      <c r="AP98" s="18">
        <f t="shared" si="1"/>
        <v>7532</v>
      </c>
    </row>
    <row r="99" spans="1:42" ht="15" customHeight="1" x14ac:dyDescent="0.2">
      <c r="A99" s="16" t="s">
        <v>542</v>
      </c>
      <c r="B99" s="16" t="s">
        <v>558</v>
      </c>
      <c r="C99" s="16" t="s">
        <v>207</v>
      </c>
      <c r="D99" s="16" t="s">
        <v>650</v>
      </c>
      <c r="E99" s="17">
        <v>388</v>
      </c>
      <c r="F99" s="17">
        <v>476</v>
      </c>
      <c r="G99" s="17">
        <v>511</v>
      </c>
      <c r="H99" s="17">
        <v>0</v>
      </c>
      <c r="I99" s="17">
        <v>0</v>
      </c>
      <c r="J99" s="17">
        <v>0</v>
      </c>
      <c r="K99" s="17">
        <v>0</v>
      </c>
      <c r="L99" s="17">
        <v>0</v>
      </c>
      <c r="M99" s="17">
        <v>0</v>
      </c>
      <c r="N99" s="17">
        <v>0</v>
      </c>
      <c r="O99" s="17">
        <v>0</v>
      </c>
      <c r="P99" s="17">
        <v>0</v>
      </c>
      <c r="Q99" s="17">
        <v>0</v>
      </c>
      <c r="R99" s="17">
        <v>0</v>
      </c>
      <c r="S99" s="17">
        <v>0</v>
      </c>
      <c r="T99" s="17">
        <v>0</v>
      </c>
      <c r="U99" s="17">
        <v>0</v>
      </c>
      <c r="V99" s="17">
        <v>0</v>
      </c>
      <c r="W99" s="17">
        <v>0</v>
      </c>
      <c r="X99" s="17">
        <v>0</v>
      </c>
      <c r="Y99" s="17">
        <v>0</v>
      </c>
      <c r="Z99" s="17">
        <v>0</v>
      </c>
      <c r="AA99" s="17">
        <v>0</v>
      </c>
      <c r="AB99" s="17">
        <v>0</v>
      </c>
      <c r="AC99" s="17">
        <v>0</v>
      </c>
      <c r="AD99" s="17">
        <v>0</v>
      </c>
      <c r="AE99" s="17">
        <v>0</v>
      </c>
      <c r="AF99" s="17">
        <v>0</v>
      </c>
      <c r="AG99" s="17">
        <v>0</v>
      </c>
      <c r="AH99" s="17">
        <v>0</v>
      </c>
      <c r="AI99" s="17">
        <v>0</v>
      </c>
      <c r="AJ99" s="17">
        <v>0</v>
      </c>
      <c r="AK99" s="17">
        <v>0</v>
      </c>
      <c r="AL99" s="17"/>
      <c r="AM99" s="17"/>
      <c r="AN99" s="17"/>
      <c r="AO99" s="17"/>
      <c r="AP99" s="18">
        <f t="shared" si="1"/>
        <v>1375</v>
      </c>
    </row>
    <row r="100" spans="1:42" ht="15" customHeight="1" x14ac:dyDescent="0.2">
      <c r="A100" s="16" t="s">
        <v>542</v>
      </c>
      <c r="B100" s="16" t="s">
        <v>558</v>
      </c>
      <c r="C100" s="16" t="s">
        <v>208</v>
      </c>
      <c r="D100" s="16" t="s">
        <v>650</v>
      </c>
      <c r="E100" s="17">
        <v>1938</v>
      </c>
      <c r="F100" s="17">
        <v>2128</v>
      </c>
      <c r="G100" s="17">
        <v>2138</v>
      </c>
      <c r="H100" s="17">
        <v>2034</v>
      </c>
      <c r="I100" s="17">
        <v>2036</v>
      </c>
      <c r="J100" s="17">
        <v>2903</v>
      </c>
      <c r="K100" s="17">
        <v>0</v>
      </c>
      <c r="L100" s="17">
        <v>0</v>
      </c>
      <c r="M100" s="17">
        <v>0</v>
      </c>
      <c r="N100" s="17">
        <v>0</v>
      </c>
      <c r="O100" s="17">
        <v>0</v>
      </c>
      <c r="P100" s="17">
        <v>0</v>
      </c>
      <c r="Q100" s="17">
        <v>0</v>
      </c>
      <c r="R100" s="17">
        <v>0</v>
      </c>
      <c r="S100" s="17">
        <v>0</v>
      </c>
      <c r="T100" s="17">
        <v>0</v>
      </c>
      <c r="U100" s="17">
        <v>0</v>
      </c>
      <c r="V100" s="17">
        <v>0</v>
      </c>
      <c r="W100" s="17">
        <v>0</v>
      </c>
      <c r="X100" s="17">
        <v>0</v>
      </c>
      <c r="Y100" s="17">
        <v>0</v>
      </c>
      <c r="Z100" s="17">
        <v>0</v>
      </c>
      <c r="AA100" s="17">
        <v>0</v>
      </c>
      <c r="AB100" s="17">
        <v>0</v>
      </c>
      <c r="AC100" s="17">
        <v>0</v>
      </c>
      <c r="AD100" s="17">
        <v>0</v>
      </c>
      <c r="AE100" s="17">
        <v>0</v>
      </c>
      <c r="AF100" s="17">
        <v>0</v>
      </c>
      <c r="AG100" s="17">
        <v>0</v>
      </c>
      <c r="AH100" s="17">
        <v>0</v>
      </c>
      <c r="AI100" s="17">
        <v>0</v>
      </c>
      <c r="AJ100" s="17">
        <v>0</v>
      </c>
      <c r="AK100" s="17">
        <v>0</v>
      </c>
      <c r="AL100" s="17"/>
      <c r="AM100" s="17"/>
      <c r="AN100" s="17"/>
      <c r="AO100" s="17"/>
      <c r="AP100" s="18">
        <f t="shared" si="1"/>
        <v>13177</v>
      </c>
    </row>
    <row r="101" spans="1:42" ht="15" customHeight="1" x14ac:dyDescent="0.2">
      <c r="A101" s="16" t="s">
        <v>542</v>
      </c>
      <c r="B101" s="16" t="s">
        <v>558</v>
      </c>
      <c r="C101" s="16" t="s">
        <v>209</v>
      </c>
      <c r="D101" s="16" t="s">
        <v>650</v>
      </c>
      <c r="E101" s="17">
        <v>1777</v>
      </c>
      <c r="F101" s="17">
        <v>1789</v>
      </c>
      <c r="G101" s="17">
        <v>1751</v>
      </c>
      <c r="H101" s="17">
        <v>18865</v>
      </c>
      <c r="I101" s="17">
        <v>0</v>
      </c>
      <c r="J101" s="17">
        <v>0</v>
      </c>
      <c r="K101" s="17">
        <v>0</v>
      </c>
      <c r="L101" s="17">
        <v>0</v>
      </c>
      <c r="M101" s="17">
        <v>0</v>
      </c>
      <c r="N101" s="17">
        <v>0</v>
      </c>
      <c r="O101" s="17">
        <v>0</v>
      </c>
      <c r="P101" s="17">
        <v>0</v>
      </c>
      <c r="Q101" s="17">
        <v>0</v>
      </c>
      <c r="R101" s="17">
        <v>0</v>
      </c>
      <c r="S101" s="17">
        <v>0</v>
      </c>
      <c r="T101" s="17">
        <v>0</v>
      </c>
      <c r="U101" s="17">
        <v>0</v>
      </c>
      <c r="V101" s="17">
        <v>0</v>
      </c>
      <c r="W101" s="17">
        <v>0</v>
      </c>
      <c r="X101" s="17">
        <v>0</v>
      </c>
      <c r="Y101" s="17">
        <v>0</v>
      </c>
      <c r="Z101" s="17">
        <v>0</v>
      </c>
      <c r="AA101" s="17">
        <v>0</v>
      </c>
      <c r="AB101" s="17">
        <v>0</v>
      </c>
      <c r="AC101" s="17">
        <v>0</v>
      </c>
      <c r="AD101" s="17">
        <v>0</v>
      </c>
      <c r="AE101" s="17">
        <v>0</v>
      </c>
      <c r="AF101" s="17">
        <v>0</v>
      </c>
      <c r="AG101" s="17">
        <v>0</v>
      </c>
      <c r="AH101" s="17">
        <v>0</v>
      </c>
      <c r="AI101" s="17">
        <v>0</v>
      </c>
      <c r="AJ101" s="17">
        <v>0</v>
      </c>
      <c r="AK101" s="17">
        <v>0</v>
      </c>
      <c r="AL101" s="17"/>
      <c r="AM101" s="17"/>
      <c r="AN101" s="17"/>
      <c r="AO101" s="17"/>
      <c r="AP101" s="18">
        <f t="shared" si="1"/>
        <v>24182</v>
      </c>
    </row>
    <row r="102" spans="1:42" ht="15" customHeight="1" x14ac:dyDescent="0.2">
      <c r="A102" s="16" t="s">
        <v>542</v>
      </c>
      <c r="B102" s="16" t="s">
        <v>558</v>
      </c>
      <c r="C102" s="16" t="s">
        <v>651</v>
      </c>
      <c r="D102" s="16" t="s">
        <v>650</v>
      </c>
      <c r="E102" s="17">
        <v>1247</v>
      </c>
      <c r="F102" s="17">
        <v>1430</v>
      </c>
      <c r="G102" s="17">
        <v>1502</v>
      </c>
      <c r="H102" s="17">
        <v>1496</v>
      </c>
      <c r="I102" s="17">
        <v>1440</v>
      </c>
      <c r="J102" s="17">
        <v>1345</v>
      </c>
      <c r="K102" s="17">
        <v>0</v>
      </c>
      <c r="L102" s="17">
        <v>0</v>
      </c>
      <c r="M102" s="17">
        <v>0</v>
      </c>
      <c r="N102" s="17">
        <v>0</v>
      </c>
      <c r="O102" s="17">
        <v>0</v>
      </c>
      <c r="P102" s="17">
        <v>0</v>
      </c>
      <c r="Q102" s="17">
        <v>0</v>
      </c>
      <c r="R102" s="17">
        <v>0</v>
      </c>
      <c r="S102" s="17">
        <v>0</v>
      </c>
      <c r="T102" s="17">
        <v>0</v>
      </c>
      <c r="U102" s="17">
        <v>0</v>
      </c>
      <c r="V102" s="17">
        <v>0</v>
      </c>
      <c r="W102" s="17">
        <v>0</v>
      </c>
      <c r="X102" s="17">
        <v>0</v>
      </c>
      <c r="Y102" s="17">
        <v>0</v>
      </c>
      <c r="Z102" s="17">
        <v>0</v>
      </c>
      <c r="AA102" s="17">
        <v>0</v>
      </c>
      <c r="AB102" s="17">
        <v>0</v>
      </c>
      <c r="AC102" s="17">
        <v>0</v>
      </c>
      <c r="AD102" s="17">
        <v>0</v>
      </c>
      <c r="AE102" s="17">
        <v>0</v>
      </c>
      <c r="AF102" s="17">
        <v>0</v>
      </c>
      <c r="AG102" s="17">
        <v>0</v>
      </c>
      <c r="AH102" s="17">
        <v>0</v>
      </c>
      <c r="AI102" s="17">
        <v>0</v>
      </c>
      <c r="AJ102" s="17">
        <v>0</v>
      </c>
      <c r="AK102" s="17">
        <v>0</v>
      </c>
      <c r="AL102" s="17"/>
      <c r="AM102" s="17"/>
      <c r="AN102" s="17"/>
      <c r="AO102" s="17"/>
      <c r="AP102" s="18">
        <f t="shared" si="1"/>
        <v>8460</v>
      </c>
    </row>
    <row r="103" spans="1:42" ht="15" customHeight="1" x14ac:dyDescent="0.2">
      <c r="A103" s="16" t="s">
        <v>542</v>
      </c>
      <c r="B103" s="16" t="s">
        <v>559</v>
      </c>
      <c r="C103" s="16" t="s">
        <v>258</v>
      </c>
      <c r="D103" s="16" t="s">
        <v>650</v>
      </c>
      <c r="E103" s="17">
        <v>42309</v>
      </c>
      <c r="F103" s="17">
        <v>257587</v>
      </c>
      <c r="G103" s="17">
        <v>400854</v>
      </c>
      <c r="H103" s="17">
        <v>533324</v>
      </c>
      <c r="I103" s="17">
        <v>635891</v>
      </c>
      <c r="J103" s="17">
        <v>664231</v>
      </c>
      <c r="K103" s="17">
        <v>636189</v>
      </c>
      <c r="L103" s="17">
        <v>574711</v>
      </c>
      <c r="M103" s="17">
        <v>568185</v>
      </c>
      <c r="N103" s="17">
        <v>556105</v>
      </c>
      <c r="O103" s="17">
        <v>514663</v>
      </c>
      <c r="P103" s="17">
        <v>457173</v>
      </c>
      <c r="Q103" s="17">
        <v>586372</v>
      </c>
      <c r="R103" s="17">
        <v>579025</v>
      </c>
      <c r="S103" s="17">
        <v>421682</v>
      </c>
      <c r="T103" s="17">
        <v>293322</v>
      </c>
      <c r="U103" s="17">
        <v>213359</v>
      </c>
      <c r="V103" s="17">
        <v>148815</v>
      </c>
      <c r="W103" s="17">
        <v>0</v>
      </c>
      <c r="X103" s="17">
        <v>0</v>
      </c>
      <c r="Y103" s="17">
        <v>0</v>
      </c>
      <c r="Z103" s="17">
        <v>0</v>
      </c>
      <c r="AA103" s="17">
        <v>0</v>
      </c>
      <c r="AB103" s="17">
        <v>0</v>
      </c>
      <c r="AC103" s="17">
        <v>0</v>
      </c>
      <c r="AD103" s="17">
        <v>0</v>
      </c>
      <c r="AE103" s="17">
        <v>0</v>
      </c>
      <c r="AF103" s="17">
        <v>0</v>
      </c>
      <c r="AG103" s="17">
        <v>0</v>
      </c>
      <c r="AH103" s="17">
        <v>0</v>
      </c>
      <c r="AI103" s="17">
        <v>0</v>
      </c>
      <c r="AJ103" s="17">
        <v>0</v>
      </c>
      <c r="AK103" s="17">
        <v>0</v>
      </c>
      <c r="AL103" s="17"/>
      <c r="AM103" s="17"/>
      <c r="AN103" s="17"/>
      <c r="AO103" s="17"/>
      <c r="AP103" s="18">
        <f t="shared" si="1"/>
        <v>8083797</v>
      </c>
    </row>
    <row r="104" spans="1:42" ht="15" customHeight="1" x14ac:dyDescent="0.2">
      <c r="A104" s="16" t="s">
        <v>542</v>
      </c>
      <c r="B104" s="16" t="s">
        <v>560</v>
      </c>
      <c r="C104" s="16" t="s">
        <v>142</v>
      </c>
      <c r="D104" s="16" t="s">
        <v>650</v>
      </c>
      <c r="E104" s="17">
        <v>1725</v>
      </c>
      <c r="F104" s="17">
        <v>2568</v>
      </c>
      <c r="G104" s="17">
        <v>2832</v>
      </c>
      <c r="H104" s="17">
        <v>2773</v>
      </c>
      <c r="I104" s="17">
        <v>2549</v>
      </c>
      <c r="J104" s="17">
        <v>2245</v>
      </c>
      <c r="K104" s="17">
        <v>1924</v>
      </c>
      <c r="L104" s="17">
        <v>2123</v>
      </c>
      <c r="M104" s="17">
        <v>6128</v>
      </c>
      <c r="N104" s="17">
        <v>0</v>
      </c>
      <c r="O104" s="17">
        <v>0</v>
      </c>
      <c r="P104" s="17">
        <v>0</v>
      </c>
      <c r="Q104" s="17">
        <v>0</v>
      </c>
      <c r="R104" s="17">
        <v>0</v>
      </c>
      <c r="S104" s="17">
        <v>0</v>
      </c>
      <c r="T104" s="17">
        <v>0</v>
      </c>
      <c r="U104" s="17">
        <v>0</v>
      </c>
      <c r="V104" s="17">
        <v>0</v>
      </c>
      <c r="W104" s="17">
        <v>0</v>
      </c>
      <c r="X104" s="17">
        <v>0</v>
      </c>
      <c r="Y104" s="17">
        <v>0</v>
      </c>
      <c r="Z104" s="17">
        <v>0</v>
      </c>
      <c r="AA104" s="17">
        <v>0</v>
      </c>
      <c r="AB104" s="17">
        <v>0</v>
      </c>
      <c r="AC104" s="17">
        <v>0</v>
      </c>
      <c r="AD104" s="17">
        <v>0</v>
      </c>
      <c r="AE104" s="17">
        <v>0</v>
      </c>
      <c r="AF104" s="17">
        <v>0</v>
      </c>
      <c r="AG104" s="17">
        <v>0</v>
      </c>
      <c r="AH104" s="17">
        <v>0</v>
      </c>
      <c r="AI104" s="17">
        <v>0</v>
      </c>
      <c r="AJ104" s="17">
        <v>0</v>
      </c>
      <c r="AK104" s="17">
        <v>0</v>
      </c>
      <c r="AL104" s="17"/>
      <c r="AM104" s="17"/>
      <c r="AN104" s="17"/>
      <c r="AO104" s="17"/>
      <c r="AP104" s="18">
        <f t="shared" si="1"/>
        <v>24867</v>
      </c>
    </row>
    <row r="105" spans="1:42" ht="15" customHeight="1" x14ac:dyDescent="0.2">
      <c r="A105" s="16" t="s">
        <v>542</v>
      </c>
      <c r="B105" s="16" t="s">
        <v>560</v>
      </c>
      <c r="C105" s="16" t="s">
        <v>177</v>
      </c>
      <c r="D105" s="16" t="s">
        <v>650</v>
      </c>
      <c r="E105" s="17">
        <v>2553</v>
      </c>
      <c r="F105" s="17">
        <v>6972</v>
      </c>
      <c r="G105" s="17">
        <v>10900</v>
      </c>
      <c r="H105" s="17">
        <v>9369</v>
      </c>
      <c r="I105" s="17">
        <v>7985</v>
      </c>
      <c r="J105" s="17">
        <v>6708</v>
      </c>
      <c r="K105" s="17">
        <v>5630</v>
      </c>
      <c r="L105" s="17">
        <v>21517</v>
      </c>
      <c r="M105" s="17">
        <v>0</v>
      </c>
      <c r="N105" s="17">
        <v>0</v>
      </c>
      <c r="O105" s="17">
        <v>0</v>
      </c>
      <c r="P105" s="17">
        <v>0</v>
      </c>
      <c r="Q105" s="17">
        <v>0</v>
      </c>
      <c r="R105" s="17">
        <v>0</v>
      </c>
      <c r="S105" s="17">
        <v>0</v>
      </c>
      <c r="T105" s="17">
        <v>0</v>
      </c>
      <c r="U105" s="17">
        <v>0</v>
      </c>
      <c r="V105" s="17">
        <v>0</v>
      </c>
      <c r="W105" s="17">
        <v>0</v>
      </c>
      <c r="X105" s="17">
        <v>0</v>
      </c>
      <c r="Y105" s="17">
        <v>0</v>
      </c>
      <c r="Z105" s="17">
        <v>0</v>
      </c>
      <c r="AA105" s="17">
        <v>0</v>
      </c>
      <c r="AB105" s="17">
        <v>0</v>
      </c>
      <c r="AC105" s="17">
        <v>0</v>
      </c>
      <c r="AD105" s="17">
        <v>0</v>
      </c>
      <c r="AE105" s="17">
        <v>0</v>
      </c>
      <c r="AF105" s="17">
        <v>0</v>
      </c>
      <c r="AG105" s="17">
        <v>0</v>
      </c>
      <c r="AH105" s="17">
        <v>0</v>
      </c>
      <c r="AI105" s="17">
        <v>0</v>
      </c>
      <c r="AJ105" s="17">
        <v>0</v>
      </c>
      <c r="AK105" s="17">
        <v>0</v>
      </c>
      <c r="AL105" s="17"/>
      <c r="AM105" s="17"/>
      <c r="AN105" s="17"/>
      <c r="AO105" s="17"/>
      <c r="AP105" s="18">
        <f t="shared" si="1"/>
        <v>71634</v>
      </c>
    </row>
    <row r="106" spans="1:42" ht="15" customHeight="1" x14ac:dyDescent="0.2">
      <c r="A106" s="16" t="s">
        <v>542</v>
      </c>
      <c r="B106" s="16" t="s">
        <v>560</v>
      </c>
      <c r="C106" s="16" t="s">
        <v>311</v>
      </c>
      <c r="D106" s="16" t="s">
        <v>650</v>
      </c>
      <c r="E106" s="17">
        <v>335</v>
      </c>
      <c r="F106" s="17">
        <v>471</v>
      </c>
      <c r="G106" s="17">
        <v>486</v>
      </c>
      <c r="H106" s="17">
        <v>442</v>
      </c>
      <c r="I106" s="17">
        <v>378</v>
      </c>
      <c r="J106" s="17">
        <v>1932</v>
      </c>
      <c r="K106" s="17">
        <v>0</v>
      </c>
      <c r="L106" s="17">
        <v>0</v>
      </c>
      <c r="M106" s="17">
        <v>0</v>
      </c>
      <c r="N106" s="17">
        <v>0</v>
      </c>
      <c r="O106" s="17">
        <v>0</v>
      </c>
      <c r="P106" s="17">
        <v>0</v>
      </c>
      <c r="Q106" s="17">
        <v>0</v>
      </c>
      <c r="R106" s="17">
        <v>0</v>
      </c>
      <c r="S106" s="17">
        <v>0</v>
      </c>
      <c r="T106" s="17">
        <v>0</v>
      </c>
      <c r="U106" s="17">
        <v>0</v>
      </c>
      <c r="V106" s="17">
        <v>0</v>
      </c>
      <c r="W106" s="17">
        <v>0</v>
      </c>
      <c r="X106" s="17">
        <v>0</v>
      </c>
      <c r="Y106" s="17">
        <v>0</v>
      </c>
      <c r="Z106" s="17">
        <v>0</v>
      </c>
      <c r="AA106" s="17">
        <v>0</v>
      </c>
      <c r="AB106" s="17">
        <v>0</v>
      </c>
      <c r="AC106" s="17">
        <v>0</v>
      </c>
      <c r="AD106" s="17">
        <v>0</v>
      </c>
      <c r="AE106" s="17">
        <v>0</v>
      </c>
      <c r="AF106" s="17">
        <v>0</v>
      </c>
      <c r="AG106" s="17">
        <v>0</v>
      </c>
      <c r="AH106" s="17">
        <v>0</v>
      </c>
      <c r="AI106" s="17">
        <v>0</v>
      </c>
      <c r="AJ106" s="17">
        <v>0</v>
      </c>
      <c r="AK106" s="17">
        <v>0</v>
      </c>
      <c r="AL106" s="17"/>
      <c r="AM106" s="17"/>
      <c r="AN106" s="17"/>
      <c r="AO106" s="17"/>
      <c r="AP106" s="18">
        <f t="shared" si="1"/>
        <v>4044</v>
      </c>
    </row>
    <row r="107" spans="1:42" ht="15" customHeight="1" x14ac:dyDescent="0.2">
      <c r="A107" s="16" t="s">
        <v>542</v>
      </c>
      <c r="B107" s="16" t="s">
        <v>560</v>
      </c>
      <c r="C107" s="16" t="s">
        <v>383</v>
      </c>
      <c r="D107" s="16" t="s">
        <v>650</v>
      </c>
      <c r="E107" s="17">
        <v>239</v>
      </c>
      <c r="F107" s="17">
        <v>362</v>
      </c>
      <c r="G107" s="17">
        <v>420</v>
      </c>
      <c r="H107" s="17">
        <v>436</v>
      </c>
      <c r="I107" s="17">
        <v>427</v>
      </c>
      <c r="J107" s="17">
        <v>401</v>
      </c>
      <c r="K107" s="17">
        <v>368</v>
      </c>
      <c r="L107" s="17">
        <v>328</v>
      </c>
      <c r="M107" s="17">
        <v>292</v>
      </c>
      <c r="N107" s="17">
        <v>2320</v>
      </c>
      <c r="O107" s="17">
        <v>0</v>
      </c>
      <c r="P107" s="17">
        <v>0</v>
      </c>
      <c r="Q107" s="17">
        <v>0</v>
      </c>
      <c r="R107" s="17">
        <v>0</v>
      </c>
      <c r="S107" s="17">
        <v>0</v>
      </c>
      <c r="T107" s="17">
        <v>0</v>
      </c>
      <c r="U107" s="17">
        <v>0</v>
      </c>
      <c r="V107" s="17">
        <v>0</v>
      </c>
      <c r="W107" s="17">
        <v>0</v>
      </c>
      <c r="X107" s="17">
        <v>0</v>
      </c>
      <c r="Y107" s="17">
        <v>0</v>
      </c>
      <c r="Z107" s="17">
        <v>0</v>
      </c>
      <c r="AA107" s="17">
        <v>0</v>
      </c>
      <c r="AB107" s="17">
        <v>0</v>
      </c>
      <c r="AC107" s="17">
        <v>0</v>
      </c>
      <c r="AD107" s="17">
        <v>0</v>
      </c>
      <c r="AE107" s="17">
        <v>0</v>
      </c>
      <c r="AF107" s="17">
        <v>0</v>
      </c>
      <c r="AG107" s="17">
        <v>0</v>
      </c>
      <c r="AH107" s="17">
        <v>0</v>
      </c>
      <c r="AI107" s="17">
        <v>0</v>
      </c>
      <c r="AJ107" s="17">
        <v>0</v>
      </c>
      <c r="AK107" s="17">
        <v>0</v>
      </c>
      <c r="AL107" s="17"/>
      <c r="AM107" s="17"/>
      <c r="AN107" s="17"/>
      <c r="AO107" s="17"/>
      <c r="AP107" s="18">
        <f t="shared" si="1"/>
        <v>5593</v>
      </c>
    </row>
    <row r="108" spans="1:42" ht="15" customHeight="1" x14ac:dyDescent="0.2">
      <c r="A108" s="16" t="s">
        <v>542</v>
      </c>
      <c r="B108" s="16" t="s">
        <v>560</v>
      </c>
      <c r="C108" s="16" t="s">
        <v>433</v>
      </c>
      <c r="D108" s="16" t="s">
        <v>650</v>
      </c>
      <c r="E108" s="17">
        <v>4966</v>
      </c>
      <c r="F108" s="17">
        <v>15610</v>
      </c>
      <c r="G108" s="17">
        <v>270445</v>
      </c>
      <c r="H108" s="17">
        <v>471972</v>
      </c>
      <c r="I108" s="17">
        <v>368730</v>
      </c>
      <c r="J108" s="17">
        <v>287053</v>
      </c>
      <c r="K108" s="17">
        <v>223760</v>
      </c>
      <c r="L108" s="17">
        <v>174259</v>
      </c>
      <c r="M108" s="17">
        <v>136079</v>
      </c>
      <c r="N108" s="17">
        <v>107696</v>
      </c>
      <c r="O108" s="17">
        <v>85769</v>
      </c>
      <c r="P108" s="17">
        <v>65344</v>
      </c>
      <c r="Q108" s="17">
        <v>51423</v>
      </c>
      <c r="R108" s="17">
        <v>35516</v>
      </c>
      <c r="S108" s="17">
        <v>17456</v>
      </c>
      <c r="T108" s="17">
        <v>16439</v>
      </c>
      <c r="U108" s="17">
        <v>14857</v>
      </c>
      <c r="V108" s="17">
        <v>33913</v>
      </c>
      <c r="W108" s="17">
        <v>28329</v>
      </c>
      <c r="X108" s="17">
        <v>24453</v>
      </c>
      <c r="Y108" s="17">
        <v>0</v>
      </c>
      <c r="Z108" s="17">
        <v>0</v>
      </c>
      <c r="AA108" s="17">
        <v>0</v>
      </c>
      <c r="AB108" s="17">
        <v>0</v>
      </c>
      <c r="AC108" s="17">
        <v>0</v>
      </c>
      <c r="AD108" s="17">
        <v>0</v>
      </c>
      <c r="AE108" s="17">
        <v>0</v>
      </c>
      <c r="AF108" s="17">
        <v>0</v>
      </c>
      <c r="AG108" s="17">
        <v>0</v>
      </c>
      <c r="AH108" s="17">
        <v>0</v>
      </c>
      <c r="AI108" s="17">
        <v>0</v>
      </c>
      <c r="AJ108" s="17">
        <v>0</v>
      </c>
      <c r="AK108" s="17">
        <v>0</v>
      </c>
      <c r="AL108" s="17"/>
      <c r="AM108" s="17"/>
      <c r="AN108" s="17"/>
      <c r="AO108" s="17"/>
      <c r="AP108" s="18">
        <f t="shared" si="1"/>
        <v>2434069</v>
      </c>
    </row>
    <row r="109" spans="1:42" ht="15" customHeight="1" x14ac:dyDescent="0.2">
      <c r="A109" s="16" t="s">
        <v>542</v>
      </c>
      <c r="B109" s="16" t="s">
        <v>561</v>
      </c>
      <c r="C109" s="16" t="s">
        <v>173</v>
      </c>
      <c r="D109" s="16" t="s">
        <v>650</v>
      </c>
      <c r="E109" s="17">
        <v>901</v>
      </c>
      <c r="F109" s="17">
        <v>3494</v>
      </c>
      <c r="G109" s="17">
        <v>4980</v>
      </c>
      <c r="H109" s="17">
        <v>5272</v>
      </c>
      <c r="I109" s="17">
        <v>6783</v>
      </c>
      <c r="J109" s="17">
        <v>8816</v>
      </c>
      <c r="K109" s="17">
        <v>4264</v>
      </c>
      <c r="L109" s="17">
        <v>10288</v>
      </c>
      <c r="M109" s="17">
        <v>0</v>
      </c>
      <c r="N109" s="17">
        <v>0</v>
      </c>
      <c r="O109" s="17">
        <v>0</v>
      </c>
      <c r="P109" s="17">
        <v>0</v>
      </c>
      <c r="Q109" s="17">
        <v>0</v>
      </c>
      <c r="R109" s="17">
        <v>0</v>
      </c>
      <c r="S109" s="17">
        <v>0</v>
      </c>
      <c r="T109" s="17">
        <v>0</v>
      </c>
      <c r="U109" s="17">
        <v>0</v>
      </c>
      <c r="V109" s="17">
        <v>0</v>
      </c>
      <c r="W109" s="17">
        <v>0</v>
      </c>
      <c r="X109" s="17">
        <v>0</v>
      </c>
      <c r="Y109" s="17">
        <v>0</v>
      </c>
      <c r="Z109" s="17">
        <v>0</v>
      </c>
      <c r="AA109" s="17">
        <v>0</v>
      </c>
      <c r="AB109" s="17">
        <v>0</v>
      </c>
      <c r="AC109" s="17">
        <v>0</v>
      </c>
      <c r="AD109" s="17">
        <v>0</v>
      </c>
      <c r="AE109" s="17">
        <v>0</v>
      </c>
      <c r="AF109" s="17">
        <v>0</v>
      </c>
      <c r="AG109" s="17">
        <v>0</v>
      </c>
      <c r="AH109" s="17">
        <v>0</v>
      </c>
      <c r="AI109" s="17">
        <v>0</v>
      </c>
      <c r="AJ109" s="17">
        <v>0</v>
      </c>
      <c r="AK109" s="17">
        <v>0</v>
      </c>
      <c r="AL109" s="17"/>
      <c r="AM109" s="17"/>
      <c r="AN109" s="17"/>
      <c r="AO109" s="17"/>
      <c r="AP109" s="18">
        <f t="shared" si="1"/>
        <v>44798</v>
      </c>
    </row>
    <row r="110" spans="1:42" ht="15" customHeight="1" x14ac:dyDescent="0.2">
      <c r="A110" s="16" t="s">
        <v>542</v>
      </c>
      <c r="B110" s="16" t="s">
        <v>561</v>
      </c>
      <c r="C110" s="16" t="s">
        <v>189</v>
      </c>
      <c r="D110" s="16" t="s">
        <v>650</v>
      </c>
      <c r="E110" s="17">
        <v>2108</v>
      </c>
      <c r="F110" s="17">
        <v>1520</v>
      </c>
      <c r="G110" s="17">
        <v>1792</v>
      </c>
      <c r="H110" s="17">
        <v>1863</v>
      </c>
      <c r="I110" s="17">
        <v>2470</v>
      </c>
      <c r="J110" s="17">
        <v>3097</v>
      </c>
      <c r="K110" s="17">
        <v>2262</v>
      </c>
      <c r="L110" s="17">
        <v>2112</v>
      </c>
      <c r="M110" s="17">
        <v>392</v>
      </c>
      <c r="N110" s="17">
        <v>0</v>
      </c>
      <c r="O110" s="17">
        <v>0</v>
      </c>
      <c r="P110" s="17">
        <v>0</v>
      </c>
      <c r="Q110" s="17">
        <v>0</v>
      </c>
      <c r="R110" s="17">
        <v>0</v>
      </c>
      <c r="S110" s="17">
        <v>0</v>
      </c>
      <c r="T110" s="17">
        <v>0</v>
      </c>
      <c r="U110" s="17">
        <v>0</v>
      </c>
      <c r="V110" s="17">
        <v>0</v>
      </c>
      <c r="W110" s="17">
        <v>0</v>
      </c>
      <c r="X110" s="17">
        <v>0</v>
      </c>
      <c r="Y110" s="17">
        <v>0</v>
      </c>
      <c r="Z110" s="17">
        <v>0</v>
      </c>
      <c r="AA110" s="17">
        <v>0</v>
      </c>
      <c r="AB110" s="17">
        <v>0</v>
      </c>
      <c r="AC110" s="17">
        <v>0</v>
      </c>
      <c r="AD110" s="17">
        <v>0</v>
      </c>
      <c r="AE110" s="17">
        <v>0</v>
      </c>
      <c r="AF110" s="17">
        <v>0</v>
      </c>
      <c r="AG110" s="17">
        <v>0</v>
      </c>
      <c r="AH110" s="17">
        <v>0</v>
      </c>
      <c r="AI110" s="17">
        <v>0</v>
      </c>
      <c r="AJ110" s="17">
        <v>0</v>
      </c>
      <c r="AK110" s="17">
        <v>0</v>
      </c>
      <c r="AL110" s="17"/>
      <c r="AM110" s="17"/>
      <c r="AN110" s="17"/>
      <c r="AO110" s="17"/>
      <c r="AP110" s="18">
        <f t="shared" si="1"/>
        <v>17616</v>
      </c>
    </row>
    <row r="111" spans="1:42" ht="15" customHeight="1" x14ac:dyDescent="0.2">
      <c r="A111" s="16" t="s">
        <v>542</v>
      </c>
      <c r="B111" s="16" t="s">
        <v>561</v>
      </c>
      <c r="C111" s="16" t="s">
        <v>203</v>
      </c>
      <c r="D111" s="16" t="s">
        <v>650</v>
      </c>
      <c r="E111" s="17">
        <v>19227</v>
      </c>
      <c r="F111" s="17">
        <v>165911</v>
      </c>
      <c r="G111" s="17">
        <v>346958</v>
      </c>
      <c r="H111" s="17">
        <v>445202</v>
      </c>
      <c r="I111" s="17">
        <v>733618</v>
      </c>
      <c r="J111" s="17">
        <v>841023</v>
      </c>
      <c r="K111" s="17">
        <v>455822</v>
      </c>
      <c r="L111" s="17">
        <v>317330</v>
      </c>
      <c r="M111" s="17">
        <v>236882</v>
      </c>
      <c r="N111" s="17">
        <v>189220</v>
      </c>
      <c r="O111" s="17">
        <v>153889</v>
      </c>
      <c r="P111" s="17">
        <v>120642</v>
      </c>
      <c r="Q111" s="17">
        <v>93324</v>
      </c>
      <c r="R111" s="17">
        <v>81464</v>
      </c>
      <c r="S111" s="17">
        <v>0</v>
      </c>
      <c r="T111" s="17">
        <v>0</v>
      </c>
      <c r="U111" s="17">
        <v>0</v>
      </c>
      <c r="V111" s="17">
        <v>0</v>
      </c>
      <c r="W111" s="17">
        <v>0</v>
      </c>
      <c r="X111" s="17">
        <v>0</v>
      </c>
      <c r="Y111" s="17">
        <v>0</v>
      </c>
      <c r="Z111" s="17">
        <v>0</v>
      </c>
      <c r="AA111" s="17">
        <v>0</v>
      </c>
      <c r="AB111" s="17">
        <v>0</v>
      </c>
      <c r="AC111" s="17">
        <v>0</v>
      </c>
      <c r="AD111" s="17">
        <v>0</v>
      </c>
      <c r="AE111" s="17">
        <v>0</v>
      </c>
      <c r="AF111" s="17">
        <v>0</v>
      </c>
      <c r="AG111" s="17">
        <v>0</v>
      </c>
      <c r="AH111" s="17">
        <v>0</v>
      </c>
      <c r="AI111" s="17">
        <v>0</v>
      </c>
      <c r="AJ111" s="17">
        <v>0</v>
      </c>
      <c r="AK111" s="17">
        <v>0</v>
      </c>
      <c r="AL111" s="17"/>
      <c r="AM111" s="17"/>
      <c r="AN111" s="17"/>
      <c r="AO111" s="17"/>
      <c r="AP111" s="18">
        <f t="shared" si="1"/>
        <v>4200512</v>
      </c>
    </row>
    <row r="112" spans="1:42" ht="15" customHeight="1" x14ac:dyDescent="0.2">
      <c r="A112" s="16" t="s">
        <v>542</v>
      </c>
      <c r="B112" s="16" t="s">
        <v>561</v>
      </c>
      <c r="C112" s="16" t="s">
        <v>351</v>
      </c>
      <c r="D112" s="16" t="s">
        <v>650</v>
      </c>
      <c r="E112" s="17">
        <v>869</v>
      </c>
      <c r="F112" s="17">
        <v>1437</v>
      </c>
      <c r="G112" s="17">
        <v>2278</v>
      </c>
      <c r="H112" s="17">
        <v>4393</v>
      </c>
      <c r="I112" s="17">
        <v>5476</v>
      </c>
      <c r="J112" s="17">
        <v>5747</v>
      </c>
      <c r="K112" s="17">
        <v>5586</v>
      </c>
      <c r="L112" s="17">
        <v>5209</v>
      </c>
      <c r="M112" s="17">
        <v>5168</v>
      </c>
      <c r="N112" s="17">
        <v>5530</v>
      </c>
      <c r="O112" s="17">
        <v>3843</v>
      </c>
      <c r="P112" s="17">
        <v>4148</v>
      </c>
      <c r="Q112" s="17">
        <v>1931</v>
      </c>
      <c r="R112" s="17">
        <v>1702</v>
      </c>
      <c r="S112" s="17">
        <v>0</v>
      </c>
      <c r="T112" s="17">
        <v>0</v>
      </c>
      <c r="U112" s="17">
        <v>0</v>
      </c>
      <c r="V112" s="17">
        <v>0</v>
      </c>
      <c r="W112" s="17">
        <v>0</v>
      </c>
      <c r="X112" s="17">
        <v>0</v>
      </c>
      <c r="Y112" s="17">
        <v>0</v>
      </c>
      <c r="Z112" s="17">
        <v>0</v>
      </c>
      <c r="AA112" s="17">
        <v>0</v>
      </c>
      <c r="AB112" s="17">
        <v>0</v>
      </c>
      <c r="AC112" s="17">
        <v>0</v>
      </c>
      <c r="AD112" s="17">
        <v>0</v>
      </c>
      <c r="AE112" s="17">
        <v>0</v>
      </c>
      <c r="AF112" s="17">
        <v>0</v>
      </c>
      <c r="AG112" s="17">
        <v>0</v>
      </c>
      <c r="AH112" s="17">
        <v>0</v>
      </c>
      <c r="AI112" s="17">
        <v>0</v>
      </c>
      <c r="AJ112" s="17">
        <v>0</v>
      </c>
      <c r="AK112" s="17">
        <v>0</v>
      </c>
      <c r="AL112" s="17"/>
      <c r="AM112" s="17"/>
      <c r="AN112" s="17"/>
      <c r="AO112" s="17"/>
      <c r="AP112" s="18">
        <f t="shared" si="1"/>
        <v>53317</v>
      </c>
    </row>
    <row r="113" spans="1:42" ht="15" customHeight="1" x14ac:dyDescent="0.2">
      <c r="A113" s="16" t="s">
        <v>542</v>
      </c>
      <c r="B113" s="16" t="s">
        <v>561</v>
      </c>
      <c r="C113" s="16" t="s">
        <v>402</v>
      </c>
      <c r="D113" s="16" t="s">
        <v>650</v>
      </c>
      <c r="E113" s="17">
        <v>359</v>
      </c>
      <c r="F113" s="17">
        <v>615</v>
      </c>
      <c r="G113" s="17">
        <v>795</v>
      </c>
      <c r="H113" s="17">
        <v>913</v>
      </c>
      <c r="I113" s="17">
        <v>983</v>
      </c>
      <c r="J113" s="17">
        <v>1012</v>
      </c>
      <c r="K113" s="17">
        <v>1014</v>
      </c>
      <c r="L113" s="17">
        <v>999</v>
      </c>
      <c r="M113" s="17">
        <v>971</v>
      </c>
      <c r="N113" s="17">
        <v>924</v>
      </c>
      <c r="O113" s="17">
        <v>875</v>
      </c>
      <c r="P113" s="17">
        <v>822</v>
      </c>
      <c r="Q113" s="17">
        <v>767</v>
      </c>
      <c r="R113" s="17">
        <v>0</v>
      </c>
      <c r="S113" s="17">
        <v>0</v>
      </c>
      <c r="T113" s="17">
        <v>0</v>
      </c>
      <c r="U113" s="17">
        <v>0</v>
      </c>
      <c r="V113" s="17">
        <v>0</v>
      </c>
      <c r="W113" s="17">
        <v>0</v>
      </c>
      <c r="X113" s="17">
        <v>0</v>
      </c>
      <c r="Y113" s="17">
        <v>0</v>
      </c>
      <c r="Z113" s="17">
        <v>0</v>
      </c>
      <c r="AA113" s="17">
        <v>0</v>
      </c>
      <c r="AB113" s="17">
        <v>0</v>
      </c>
      <c r="AC113" s="17">
        <v>0</v>
      </c>
      <c r="AD113" s="17">
        <v>0</v>
      </c>
      <c r="AE113" s="17">
        <v>0</v>
      </c>
      <c r="AF113" s="17">
        <v>0</v>
      </c>
      <c r="AG113" s="17">
        <v>0</v>
      </c>
      <c r="AH113" s="17">
        <v>0</v>
      </c>
      <c r="AI113" s="17">
        <v>0</v>
      </c>
      <c r="AJ113" s="17">
        <v>0</v>
      </c>
      <c r="AK113" s="17">
        <v>0</v>
      </c>
      <c r="AL113" s="17"/>
      <c r="AM113" s="17"/>
      <c r="AN113" s="17"/>
      <c r="AO113" s="17"/>
      <c r="AP113" s="18">
        <f t="shared" si="1"/>
        <v>11049</v>
      </c>
    </row>
    <row r="114" spans="1:42" ht="15" customHeight="1" x14ac:dyDescent="0.2">
      <c r="A114" s="16" t="s">
        <v>542</v>
      </c>
      <c r="B114" s="16" t="s">
        <v>438</v>
      </c>
      <c r="C114" s="16" t="s">
        <v>159</v>
      </c>
      <c r="D114" s="16" t="s">
        <v>650</v>
      </c>
      <c r="E114" s="17">
        <v>14458</v>
      </c>
      <c r="F114" s="17">
        <v>20891</v>
      </c>
      <c r="G114" s="17">
        <v>23509</v>
      </c>
      <c r="H114" s="17">
        <v>23753</v>
      </c>
      <c r="I114" s="17">
        <v>22664</v>
      </c>
      <c r="J114" s="17">
        <v>22171</v>
      </c>
      <c r="K114" s="17">
        <v>21238</v>
      </c>
      <c r="L114" s="17">
        <v>25603</v>
      </c>
      <c r="M114" s="17">
        <v>71681</v>
      </c>
      <c r="N114" s="17">
        <v>56072</v>
      </c>
      <c r="O114" s="17">
        <v>40404</v>
      </c>
      <c r="P114" s="17">
        <v>29072</v>
      </c>
      <c r="Q114" s="17">
        <v>22953</v>
      </c>
      <c r="R114" s="17">
        <v>0</v>
      </c>
      <c r="S114" s="17">
        <v>0</v>
      </c>
      <c r="T114" s="17">
        <v>0</v>
      </c>
      <c r="U114" s="17">
        <v>0</v>
      </c>
      <c r="V114" s="17">
        <v>0</v>
      </c>
      <c r="W114" s="17">
        <v>0</v>
      </c>
      <c r="X114" s="17">
        <v>0</v>
      </c>
      <c r="Y114" s="17">
        <v>0</v>
      </c>
      <c r="Z114" s="17">
        <v>0</v>
      </c>
      <c r="AA114" s="17">
        <v>0</v>
      </c>
      <c r="AB114" s="17">
        <v>0</v>
      </c>
      <c r="AC114" s="17">
        <v>0</v>
      </c>
      <c r="AD114" s="17">
        <v>0</v>
      </c>
      <c r="AE114" s="17">
        <v>0</v>
      </c>
      <c r="AF114" s="17">
        <v>0</v>
      </c>
      <c r="AG114" s="17">
        <v>0</v>
      </c>
      <c r="AH114" s="17">
        <v>0</v>
      </c>
      <c r="AI114" s="17">
        <v>0</v>
      </c>
      <c r="AJ114" s="17">
        <v>0</v>
      </c>
      <c r="AK114" s="17">
        <v>0</v>
      </c>
      <c r="AL114" s="17"/>
      <c r="AM114" s="17"/>
      <c r="AN114" s="17"/>
      <c r="AO114" s="17"/>
      <c r="AP114" s="18">
        <f t="shared" si="1"/>
        <v>394469</v>
      </c>
    </row>
    <row r="115" spans="1:42" ht="15" customHeight="1" x14ac:dyDescent="0.2">
      <c r="A115" s="16" t="s">
        <v>542</v>
      </c>
      <c r="B115" s="16" t="s">
        <v>438</v>
      </c>
      <c r="C115" s="16" t="s">
        <v>187</v>
      </c>
      <c r="D115" s="16" t="s">
        <v>650</v>
      </c>
      <c r="E115" s="17">
        <v>88736</v>
      </c>
      <c r="F115" s="17">
        <v>124027</v>
      </c>
      <c r="G115" s="17">
        <v>135538</v>
      </c>
      <c r="H115" s="17">
        <v>133891</v>
      </c>
      <c r="I115" s="17">
        <v>140540</v>
      </c>
      <c r="J115" s="17">
        <v>138261</v>
      </c>
      <c r="K115" s="17">
        <v>148474</v>
      </c>
      <c r="L115" s="17">
        <v>155976</v>
      </c>
      <c r="M115" s="17">
        <v>135242</v>
      </c>
      <c r="N115" s="17">
        <v>186491</v>
      </c>
      <c r="O115" s="17">
        <v>121691</v>
      </c>
      <c r="P115" s="17">
        <v>0</v>
      </c>
      <c r="Q115" s="17">
        <v>0</v>
      </c>
      <c r="R115" s="17">
        <v>0</v>
      </c>
      <c r="S115" s="17">
        <v>0</v>
      </c>
      <c r="T115" s="17">
        <v>0</v>
      </c>
      <c r="U115" s="17">
        <v>0</v>
      </c>
      <c r="V115" s="17">
        <v>0</v>
      </c>
      <c r="W115" s="17">
        <v>0</v>
      </c>
      <c r="X115" s="17">
        <v>0</v>
      </c>
      <c r="Y115" s="17">
        <v>0</v>
      </c>
      <c r="Z115" s="17">
        <v>0</v>
      </c>
      <c r="AA115" s="17">
        <v>0</v>
      </c>
      <c r="AB115" s="17">
        <v>0</v>
      </c>
      <c r="AC115" s="17">
        <v>0</v>
      </c>
      <c r="AD115" s="17">
        <v>0</v>
      </c>
      <c r="AE115" s="17">
        <v>0</v>
      </c>
      <c r="AF115" s="17">
        <v>0</v>
      </c>
      <c r="AG115" s="17">
        <v>0</v>
      </c>
      <c r="AH115" s="17">
        <v>0</v>
      </c>
      <c r="AI115" s="17">
        <v>0</v>
      </c>
      <c r="AJ115" s="17">
        <v>0</v>
      </c>
      <c r="AK115" s="17">
        <v>0</v>
      </c>
      <c r="AL115" s="17"/>
      <c r="AM115" s="17"/>
      <c r="AN115" s="17"/>
      <c r="AO115" s="17"/>
      <c r="AP115" s="18">
        <f t="shared" si="1"/>
        <v>1508867</v>
      </c>
    </row>
    <row r="116" spans="1:42" ht="15" customHeight="1" x14ac:dyDescent="0.2">
      <c r="A116" s="16" t="s">
        <v>542</v>
      </c>
      <c r="B116" s="16" t="s">
        <v>438</v>
      </c>
      <c r="C116" s="16" t="s">
        <v>431</v>
      </c>
      <c r="D116" s="16" t="s">
        <v>650</v>
      </c>
      <c r="E116" s="17">
        <v>86908</v>
      </c>
      <c r="F116" s="17">
        <v>164058</v>
      </c>
      <c r="G116" s="17">
        <v>354161</v>
      </c>
      <c r="H116" s="17">
        <v>722774</v>
      </c>
      <c r="I116" s="17">
        <v>727152</v>
      </c>
      <c r="J116" s="17">
        <v>589122</v>
      </c>
      <c r="K116" s="17">
        <v>479063</v>
      </c>
      <c r="L116" s="17">
        <v>386699</v>
      </c>
      <c r="M116" s="17">
        <v>313414</v>
      </c>
      <c r="N116" s="17">
        <v>255388</v>
      </c>
      <c r="O116" s="17">
        <v>203240</v>
      </c>
      <c r="P116" s="17">
        <v>161587</v>
      </c>
      <c r="Q116" s="17">
        <v>0</v>
      </c>
      <c r="R116" s="17">
        <v>0</v>
      </c>
      <c r="S116" s="17">
        <v>0</v>
      </c>
      <c r="T116" s="17">
        <v>0</v>
      </c>
      <c r="U116" s="17">
        <v>0</v>
      </c>
      <c r="V116" s="17">
        <v>0</v>
      </c>
      <c r="W116" s="17">
        <v>0</v>
      </c>
      <c r="X116" s="17">
        <v>0</v>
      </c>
      <c r="Y116" s="17">
        <v>0</v>
      </c>
      <c r="Z116" s="17">
        <v>0</v>
      </c>
      <c r="AA116" s="17">
        <v>0</v>
      </c>
      <c r="AB116" s="17">
        <v>0</v>
      </c>
      <c r="AC116" s="17">
        <v>0</v>
      </c>
      <c r="AD116" s="17">
        <v>0</v>
      </c>
      <c r="AE116" s="17">
        <v>0</v>
      </c>
      <c r="AF116" s="17">
        <v>0</v>
      </c>
      <c r="AG116" s="17">
        <v>0</v>
      </c>
      <c r="AH116" s="17">
        <v>0</v>
      </c>
      <c r="AI116" s="17">
        <v>0</v>
      </c>
      <c r="AJ116" s="17">
        <v>0</v>
      </c>
      <c r="AK116" s="17">
        <v>0</v>
      </c>
      <c r="AL116" s="17"/>
      <c r="AM116" s="17"/>
      <c r="AN116" s="17"/>
      <c r="AO116" s="17"/>
      <c r="AP116" s="18">
        <f t="shared" si="1"/>
        <v>4443566</v>
      </c>
    </row>
    <row r="117" spans="1:42" ht="15" customHeight="1" x14ac:dyDescent="0.2">
      <c r="A117" s="16" t="s">
        <v>542</v>
      </c>
      <c r="B117" s="16" t="s">
        <v>382</v>
      </c>
      <c r="C117" s="16" t="s">
        <v>190</v>
      </c>
      <c r="D117" s="16" t="s">
        <v>650</v>
      </c>
      <c r="E117" s="17">
        <v>0</v>
      </c>
      <c r="F117" s="17">
        <v>0</v>
      </c>
      <c r="G117" s="17">
        <v>0</v>
      </c>
      <c r="H117" s="17">
        <v>0</v>
      </c>
      <c r="I117" s="17">
        <v>486</v>
      </c>
      <c r="J117" s="17">
        <v>5190</v>
      </c>
      <c r="K117" s="17">
        <v>10965</v>
      </c>
      <c r="L117" s="17">
        <v>26472</v>
      </c>
      <c r="M117" s="17">
        <v>86039</v>
      </c>
      <c r="N117" s="17">
        <v>118348</v>
      </c>
      <c r="O117" s="17">
        <v>131900</v>
      </c>
      <c r="P117" s="17">
        <v>130673</v>
      </c>
      <c r="Q117" s="17">
        <v>155515</v>
      </c>
      <c r="R117" s="17">
        <v>0</v>
      </c>
      <c r="S117" s="17">
        <v>0</v>
      </c>
      <c r="T117" s="17">
        <v>0</v>
      </c>
      <c r="U117" s="17">
        <v>0</v>
      </c>
      <c r="V117" s="17">
        <v>0</v>
      </c>
      <c r="W117" s="17">
        <v>0</v>
      </c>
      <c r="X117" s="17">
        <v>0</v>
      </c>
      <c r="Y117" s="17">
        <v>0</v>
      </c>
      <c r="Z117" s="17">
        <v>0</v>
      </c>
      <c r="AA117" s="17">
        <v>0</v>
      </c>
      <c r="AB117" s="17">
        <v>0</v>
      </c>
      <c r="AC117" s="17">
        <v>0</v>
      </c>
      <c r="AD117" s="17">
        <v>0</v>
      </c>
      <c r="AE117" s="17">
        <v>0</v>
      </c>
      <c r="AF117" s="17">
        <v>0</v>
      </c>
      <c r="AG117" s="17">
        <v>0</v>
      </c>
      <c r="AH117" s="17">
        <v>0</v>
      </c>
      <c r="AI117" s="17">
        <v>0</v>
      </c>
      <c r="AJ117" s="17">
        <v>0</v>
      </c>
      <c r="AK117" s="17">
        <v>0</v>
      </c>
      <c r="AL117" s="17"/>
      <c r="AM117" s="17"/>
      <c r="AN117" s="17"/>
      <c r="AO117" s="17"/>
      <c r="AP117" s="18">
        <f t="shared" si="1"/>
        <v>665588</v>
      </c>
    </row>
    <row r="118" spans="1:42" ht="15" customHeight="1" x14ac:dyDescent="0.2">
      <c r="A118" s="16" t="s">
        <v>542</v>
      </c>
      <c r="B118" s="16" t="s">
        <v>382</v>
      </c>
      <c r="C118" s="16" t="s">
        <v>382</v>
      </c>
      <c r="D118" s="16" t="s">
        <v>650</v>
      </c>
      <c r="E118" s="17">
        <v>2004</v>
      </c>
      <c r="F118" s="17">
        <v>15802</v>
      </c>
      <c r="G118" s="17">
        <v>41206</v>
      </c>
      <c r="H118" s="17">
        <v>64202</v>
      </c>
      <c r="I118" s="17">
        <v>144870</v>
      </c>
      <c r="J118" s="17">
        <v>133704</v>
      </c>
      <c r="K118" s="17">
        <v>125699</v>
      </c>
      <c r="L118" s="17">
        <v>93695</v>
      </c>
      <c r="M118" s="17">
        <v>63387</v>
      </c>
      <c r="N118" s="17">
        <v>40901</v>
      </c>
      <c r="O118" s="17">
        <v>23769</v>
      </c>
      <c r="P118" s="17">
        <v>0</v>
      </c>
      <c r="Q118" s="17">
        <v>0</v>
      </c>
      <c r="R118" s="17">
        <v>0</v>
      </c>
      <c r="S118" s="17">
        <v>0</v>
      </c>
      <c r="T118" s="17">
        <v>0</v>
      </c>
      <c r="U118" s="17">
        <v>0</v>
      </c>
      <c r="V118" s="17">
        <v>0</v>
      </c>
      <c r="W118" s="17">
        <v>0</v>
      </c>
      <c r="X118" s="17">
        <v>0</v>
      </c>
      <c r="Y118" s="17">
        <v>0</v>
      </c>
      <c r="Z118" s="17">
        <v>0</v>
      </c>
      <c r="AA118" s="17">
        <v>0</v>
      </c>
      <c r="AB118" s="17">
        <v>0</v>
      </c>
      <c r="AC118" s="17">
        <v>0</v>
      </c>
      <c r="AD118" s="17">
        <v>0</v>
      </c>
      <c r="AE118" s="17">
        <v>0</v>
      </c>
      <c r="AF118" s="17">
        <v>0</v>
      </c>
      <c r="AG118" s="17">
        <v>0</v>
      </c>
      <c r="AH118" s="17">
        <v>0</v>
      </c>
      <c r="AI118" s="17">
        <v>0</v>
      </c>
      <c r="AJ118" s="17">
        <v>0</v>
      </c>
      <c r="AK118" s="17">
        <v>0</v>
      </c>
      <c r="AL118" s="17"/>
      <c r="AM118" s="17"/>
      <c r="AN118" s="17"/>
      <c r="AO118" s="17"/>
      <c r="AP118" s="18">
        <f t="shared" si="1"/>
        <v>749239</v>
      </c>
    </row>
    <row r="119" spans="1:42" ht="15" customHeight="1" x14ac:dyDescent="0.2">
      <c r="A119" s="16" t="s">
        <v>542</v>
      </c>
      <c r="B119" s="16" t="s">
        <v>382</v>
      </c>
      <c r="C119" s="16" t="s">
        <v>392</v>
      </c>
      <c r="D119" s="16" t="s">
        <v>650</v>
      </c>
      <c r="E119" s="17">
        <v>0</v>
      </c>
      <c r="F119" s="17">
        <v>0</v>
      </c>
      <c r="G119" s="17">
        <v>3288</v>
      </c>
      <c r="H119" s="17">
        <v>29070</v>
      </c>
      <c r="I119" s="17">
        <v>36840</v>
      </c>
      <c r="J119" s="17">
        <v>55429</v>
      </c>
      <c r="K119" s="17">
        <v>57913</v>
      </c>
      <c r="L119" s="17">
        <v>71230</v>
      </c>
      <c r="M119" s="17">
        <v>109289</v>
      </c>
      <c r="N119" s="17">
        <v>110903</v>
      </c>
      <c r="O119" s="17">
        <v>127706</v>
      </c>
      <c r="P119" s="17">
        <v>116699</v>
      </c>
      <c r="Q119" s="17">
        <v>86502</v>
      </c>
      <c r="R119" s="17">
        <v>0</v>
      </c>
      <c r="S119" s="17">
        <v>0</v>
      </c>
      <c r="T119" s="17">
        <v>0</v>
      </c>
      <c r="U119" s="17">
        <v>0</v>
      </c>
      <c r="V119" s="17">
        <v>0</v>
      </c>
      <c r="W119" s="17">
        <v>0</v>
      </c>
      <c r="X119" s="17">
        <v>0</v>
      </c>
      <c r="Y119" s="17">
        <v>0</v>
      </c>
      <c r="Z119" s="17">
        <v>0</v>
      </c>
      <c r="AA119" s="17">
        <v>0</v>
      </c>
      <c r="AB119" s="17">
        <v>0</v>
      </c>
      <c r="AC119" s="17">
        <v>0</v>
      </c>
      <c r="AD119" s="17">
        <v>0</v>
      </c>
      <c r="AE119" s="17">
        <v>0</v>
      </c>
      <c r="AF119" s="17">
        <v>0</v>
      </c>
      <c r="AG119" s="17">
        <v>0</v>
      </c>
      <c r="AH119" s="17">
        <v>0</v>
      </c>
      <c r="AI119" s="17">
        <v>0</v>
      </c>
      <c r="AJ119" s="17">
        <v>0</v>
      </c>
      <c r="AK119" s="17">
        <v>0</v>
      </c>
      <c r="AL119" s="17"/>
      <c r="AM119" s="17"/>
      <c r="AN119" s="17"/>
      <c r="AO119" s="17"/>
      <c r="AP119" s="18">
        <f t="shared" si="1"/>
        <v>804869</v>
      </c>
    </row>
    <row r="120" spans="1:42" ht="15" customHeight="1" x14ac:dyDescent="0.2">
      <c r="A120" s="16" t="s">
        <v>562</v>
      </c>
      <c r="B120" s="16" t="s">
        <v>563</v>
      </c>
      <c r="C120" s="16" t="s">
        <v>196</v>
      </c>
      <c r="D120" s="16" t="s">
        <v>650</v>
      </c>
      <c r="E120" s="17">
        <v>57268.144500000002</v>
      </c>
      <c r="F120" s="17">
        <v>120265.303</v>
      </c>
      <c r="G120" s="17">
        <v>113310.21610000001</v>
      </c>
      <c r="H120" s="17">
        <v>101188.6686</v>
      </c>
      <c r="I120" s="17">
        <v>88885.583299999998</v>
      </c>
      <c r="J120" s="17">
        <v>77823.617599999998</v>
      </c>
      <c r="K120" s="17">
        <v>68279.116699999999</v>
      </c>
      <c r="L120" s="17">
        <v>60161.804799999998</v>
      </c>
      <c r="M120" s="17">
        <v>53281.514600000002</v>
      </c>
      <c r="N120" s="17">
        <v>47440.130100000002</v>
      </c>
      <c r="O120" s="17">
        <v>42460.907500000001</v>
      </c>
      <c r="P120" s="17">
        <v>41204.696199999998</v>
      </c>
      <c r="Q120" s="17">
        <v>31510.5628</v>
      </c>
      <c r="R120" s="17">
        <v>31336.963400000001</v>
      </c>
      <c r="S120" s="17">
        <v>28564.458500000001</v>
      </c>
      <c r="T120" s="17">
        <v>26137.032999999999</v>
      </c>
      <c r="U120" s="17">
        <v>24001.113099999999</v>
      </c>
      <c r="V120" s="17">
        <v>22112.799599999998</v>
      </c>
      <c r="W120" s="17">
        <v>12000</v>
      </c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8">
        <f t="shared" si="1"/>
        <v>1047232.6334</v>
      </c>
    </row>
    <row r="121" spans="1:42" ht="15" customHeight="1" x14ac:dyDescent="0.2">
      <c r="A121" s="16" t="s">
        <v>562</v>
      </c>
      <c r="B121" s="16" t="s">
        <v>563</v>
      </c>
      <c r="C121" s="16" t="s">
        <v>249</v>
      </c>
      <c r="D121" s="16" t="s">
        <v>650</v>
      </c>
      <c r="E121" s="17">
        <v>148676.70910000001</v>
      </c>
      <c r="F121" s="17">
        <v>248280.64780000001</v>
      </c>
      <c r="G121" s="17">
        <v>1314387.2046999999</v>
      </c>
      <c r="H121" s="17">
        <v>1379367.8056000001</v>
      </c>
      <c r="I121" s="17">
        <v>806717.61459999997</v>
      </c>
      <c r="J121" s="17">
        <v>550855.16119999997</v>
      </c>
      <c r="K121" s="17">
        <v>409026.59090000001</v>
      </c>
      <c r="L121" s="17">
        <v>339631.72450000001</v>
      </c>
      <c r="M121" s="17">
        <v>276305.10340000002</v>
      </c>
      <c r="N121" s="17">
        <v>236664.21369999999</v>
      </c>
      <c r="O121" s="17">
        <v>211226.18919999999</v>
      </c>
      <c r="P121" s="17">
        <v>170479.0067</v>
      </c>
      <c r="Q121" s="17">
        <v>144634.52160000001</v>
      </c>
      <c r="R121" s="17">
        <v>138849.33249999999</v>
      </c>
      <c r="S121" s="17">
        <v>109109.0039</v>
      </c>
      <c r="T121" s="17">
        <v>105820.5456</v>
      </c>
      <c r="U121" s="17">
        <v>77039.100999999995</v>
      </c>
      <c r="V121" s="17">
        <v>68650.868400000007</v>
      </c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8">
        <f t="shared" si="1"/>
        <v>6735721.3443999989</v>
      </c>
    </row>
    <row r="122" spans="1:42" ht="15" customHeight="1" x14ac:dyDescent="0.2">
      <c r="A122" s="16" t="s">
        <v>562</v>
      </c>
      <c r="B122" s="16" t="s">
        <v>563</v>
      </c>
      <c r="C122" s="16" t="s">
        <v>265</v>
      </c>
      <c r="D122" s="16" t="s">
        <v>650</v>
      </c>
      <c r="E122" s="17">
        <v>31606.745500000001</v>
      </c>
      <c r="F122" s="17">
        <v>255000.32079999999</v>
      </c>
      <c r="G122" s="17">
        <v>254473.2696</v>
      </c>
      <c r="H122" s="17">
        <v>155113.26939999999</v>
      </c>
      <c r="I122" s="17">
        <v>108266.43210000001</v>
      </c>
      <c r="J122" s="17">
        <v>92856.414199999999</v>
      </c>
      <c r="K122" s="17">
        <v>78257.0965</v>
      </c>
      <c r="L122" s="17">
        <v>46041.6368</v>
      </c>
      <c r="M122" s="17">
        <v>39067.259700000002</v>
      </c>
      <c r="N122" s="17">
        <v>33791.351600000002</v>
      </c>
      <c r="O122" s="17">
        <v>31470.470099999999</v>
      </c>
      <c r="P122" s="17">
        <v>29584.167300000001</v>
      </c>
      <c r="Q122" s="17">
        <v>25101.9162</v>
      </c>
      <c r="R122" s="17">
        <v>19234.794600000001</v>
      </c>
      <c r="S122" s="17">
        <v>19218.438399999999</v>
      </c>
      <c r="T122" s="17">
        <v>17641.211599999999</v>
      </c>
      <c r="U122" s="17">
        <v>16282.6744</v>
      </c>
      <c r="V122" s="17">
        <v>16400</v>
      </c>
      <c r="W122" s="17">
        <v>9000</v>
      </c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8">
        <f t="shared" si="1"/>
        <v>1278407.4688000001</v>
      </c>
    </row>
    <row r="123" spans="1:42" ht="15" customHeight="1" x14ac:dyDescent="0.2">
      <c r="A123" s="16" t="s">
        <v>562</v>
      </c>
      <c r="B123" s="16" t="s">
        <v>563</v>
      </c>
      <c r="C123" s="16" t="s">
        <v>266</v>
      </c>
      <c r="D123" s="16" t="s">
        <v>650</v>
      </c>
      <c r="E123" s="17">
        <v>1326587.5567000001</v>
      </c>
      <c r="F123" s="17">
        <v>2429806.0543</v>
      </c>
      <c r="G123" s="17">
        <v>2977334.5290000001</v>
      </c>
      <c r="H123" s="17">
        <v>2985730.8215999999</v>
      </c>
      <c r="I123" s="17">
        <v>2660856.6697</v>
      </c>
      <c r="J123" s="17">
        <v>2382981.5811999999</v>
      </c>
      <c r="K123" s="17">
        <v>2152638.1811000002</v>
      </c>
      <c r="L123" s="17">
        <v>1964861.9997</v>
      </c>
      <c r="M123" s="17">
        <v>1792891.6956</v>
      </c>
      <c r="N123" s="17">
        <v>1657740.9709000001</v>
      </c>
      <c r="O123" s="17">
        <v>1526795.3111</v>
      </c>
      <c r="P123" s="17">
        <v>1430771.7098000001</v>
      </c>
      <c r="Q123" s="17">
        <v>1327014.0697000001</v>
      </c>
      <c r="R123" s="17">
        <v>1272827.1854999999</v>
      </c>
      <c r="S123" s="17">
        <v>1191200.524</v>
      </c>
      <c r="T123" s="17">
        <v>1084710.8189999999</v>
      </c>
      <c r="U123" s="17">
        <v>1026549.121</v>
      </c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8">
        <f t="shared" si="1"/>
        <v>31191298.799899995</v>
      </c>
    </row>
    <row r="124" spans="1:42" ht="15" customHeight="1" x14ac:dyDescent="0.2">
      <c r="A124" s="16" t="s">
        <v>562</v>
      </c>
      <c r="B124" s="16" t="s">
        <v>563</v>
      </c>
      <c r="C124" s="16" t="s">
        <v>401</v>
      </c>
      <c r="D124" s="16" t="s">
        <v>650</v>
      </c>
      <c r="E124" s="17">
        <v>1384916.2355</v>
      </c>
      <c r="F124" s="17">
        <v>2624033.3133999999</v>
      </c>
      <c r="G124" s="17">
        <v>2714961.4109</v>
      </c>
      <c r="H124" s="17">
        <v>2467818.3646</v>
      </c>
      <c r="I124" s="17">
        <v>2233987.7853999999</v>
      </c>
      <c r="J124" s="17">
        <v>2018481.2524000001</v>
      </c>
      <c r="K124" s="17">
        <v>1863213.1821999999</v>
      </c>
      <c r="L124" s="17">
        <v>1669853.1721000001</v>
      </c>
      <c r="M124" s="17">
        <v>1536040.723</v>
      </c>
      <c r="N124" s="17">
        <v>1414410.9735000001</v>
      </c>
      <c r="O124" s="17">
        <v>1310840.4347000001</v>
      </c>
      <c r="P124" s="17">
        <v>1238838.7476999999</v>
      </c>
      <c r="Q124" s="17">
        <v>1128368.5403</v>
      </c>
      <c r="R124" s="17">
        <v>1063127.9685</v>
      </c>
      <c r="S124" s="17">
        <v>1004962.6509</v>
      </c>
      <c r="T124" s="17">
        <v>948071.59</v>
      </c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8">
        <f t="shared" si="1"/>
        <v>26621926.345099997</v>
      </c>
    </row>
    <row r="125" spans="1:42" ht="15" customHeight="1" x14ac:dyDescent="0.2">
      <c r="A125" s="16" t="s">
        <v>562</v>
      </c>
      <c r="B125" s="16" t="s">
        <v>563</v>
      </c>
      <c r="C125" s="16" t="s">
        <v>415</v>
      </c>
      <c r="D125" s="16" t="s">
        <v>650</v>
      </c>
      <c r="E125" s="17">
        <v>79510.552200000006</v>
      </c>
      <c r="F125" s="17">
        <v>151529.64730000001</v>
      </c>
      <c r="G125" s="17">
        <v>130035.1148</v>
      </c>
      <c r="H125" s="17">
        <v>111778.1488</v>
      </c>
      <c r="I125" s="17">
        <v>95791.024600000004</v>
      </c>
      <c r="J125" s="17">
        <v>74630.240000000005</v>
      </c>
      <c r="K125" s="17">
        <v>64021.803399999997</v>
      </c>
      <c r="L125" s="17">
        <v>55442.292000000001</v>
      </c>
      <c r="M125" s="17">
        <v>48445.881800000003</v>
      </c>
      <c r="N125" s="17">
        <v>58152.599399999999</v>
      </c>
      <c r="O125" s="17">
        <v>65108.135499999997</v>
      </c>
      <c r="P125" s="17">
        <v>60387.489399999999</v>
      </c>
      <c r="Q125" s="17">
        <v>42708.680200000003</v>
      </c>
      <c r="R125" s="17">
        <v>26008.059000000001</v>
      </c>
      <c r="S125" s="17">
        <v>8508.2834000000003</v>
      </c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8">
        <f t="shared" si="1"/>
        <v>1072057.9517999999</v>
      </c>
    </row>
    <row r="126" spans="1:42" ht="15" customHeight="1" x14ac:dyDescent="0.2">
      <c r="A126" s="16" t="s">
        <v>564</v>
      </c>
      <c r="B126" s="16" t="s">
        <v>565</v>
      </c>
      <c r="C126" s="16" t="s">
        <v>214</v>
      </c>
      <c r="D126" s="16" t="s">
        <v>650</v>
      </c>
      <c r="E126" s="17">
        <v>312298.92749999999</v>
      </c>
      <c r="F126" s="17">
        <v>421401.18459999998</v>
      </c>
      <c r="G126" s="17">
        <v>537768.22349999996</v>
      </c>
      <c r="H126" s="17">
        <v>697446.68339999998</v>
      </c>
      <c r="I126" s="17">
        <v>635682.86820000003</v>
      </c>
      <c r="J126" s="17">
        <v>427968.11900000001</v>
      </c>
      <c r="K126" s="17">
        <v>382521.8824</v>
      </c>
      <c r="L126" s="17">
        <v>282262.73450000002</v>
      </c>
      <c r="M126" s="17">
        <v>228989.65359999999</v>
      </c>
      <c r="N126" s="17">
        <v>94275.127900000007</v>
      </c>
      <c r="O126" s="17">
        <v>0</v>
      </c>
      <c r="P126" s="17">
        <v>0</v>
      </c>
      <c r="Q126" s="17">
        <v>0</v>
      </c>
      <c r="R126" s="17">
        <v>0</v>
      </c>
      <c r="S126" s="17">
        <v>0</v>
      </c>
      <c r="T126" s="17">
        <v>0</v>
      </c>
      <c r="U126" s="17">
        <v>0</v>
      </c>
      <c r="V126" s="17">
        <v>0</v>
      </c>
      <c r="W126" s="17">
        <v>0</v>
      </c>
      <c r="X126" s="17">
        <v>0</v>
      </c>
      <c r="Y126" s="17">
        <v>0</v>
      </c>
      <c r="Z126" s="17">
        <v>0</v>
      </c>
      <c r="AA126" s="17">
        <v>0</v>
      </c>
      <c r="AB126" s="17">
        <v>0</v>
      </c>
      <c r="AC126" s="17">
        <v>0</v>
      </c>
      <c r="AD126" s="17">
        <v>0</v>
      </c>
      <c r="AE126" s="17">
        <v>0</v>
      </c>
      <c r="AF126" s="17">
        <v>0</v>
      </c>
      <c r="AG126" s="17">
        <v>0</v>
      </c>
      <c r="AH126" s="17">
        <v>0</v>
      </c>
      <c r="AI126" s="17">
        <v>0</v>
      </c>
      <c r="AJ126" s="17">
        <v>0</v>
      </c>
      <c r="AK126" s="17">
        <v>0</v>
      </c>
      <c r="AL126" s="17">
        <v>0</v>
      </c>
      <c r="AM126" s="17">
        <v>0</v>
      </c>
      <c r="AN126" s="17">
        <v>0</v>
      </c>
      <c r="AO126" s="17">
        <v>0</v>
      </c>
      <c r="AP126" s="18">
        <f t="shared" si="1"/>
        <v>4020615.4045999995</v>
      </c>
    </row>
    <row r="127" spans="1:42" ht="15" customHeight="1" x14ac:dyDescent="0.2">
      <c r="A127" s="16" t="s">
        <v>564</v>
      </c>
      <c r="B127" s="16" t="s">
        <v>565</v>
      </c>
      <c r="C127" s="16" t="s">
        <v>317</v>
      </c>
      <c r="D127" s="16" t="s">
        <v>650</v>
      </c>
      <c r="E127" s="17">
        <v>21370.7094</v>
      </c>
      <c r="F127" s="17">
        <v>68007.391499999998</v>
      </c>
      <c r="G127" s="17">
        <v>87432.690700000006</v>
      </c>
      <c r="H127" s="17">
        <v>117959.0184</v>
      </c>
      <c r="I127" s="17">
        <v>136660.64730000001</v>
      </c>
      <c r="J127" s="17">
        <v>149031.94899999999</v>
      </c>
      <c r="K127" s="17">
        <v>153649.8064</v>
      </c>
      <c r="L127" s="17">
        <v>145983.80059999999</v>
      </c>
      <c r="M127" s="17">
        <v>140249.57819999999</v>
      </c>
      <c r="N127" s="17">
        <v>129529.20480000001</v>
      </c>
      <c r="O127" s="17">
        <v>121663.8278</v>
      </c>
      <c r="P127" s="17">
        <v>118926.9234</v>
      </c>
      <c r="Q127" s="17">
        <v>120838.5183</v>
      </c>
      <c r="R127" s="17">
        <v>35959.939400000003</v>
      </c>
      <c r="S127" s="17">
        <v>0</v>
      </c>
      <c r="T127" s="17">
        <v>0</v>
      </c>
      <c r="U127" s="17">
        <v>0</v>
      </c>
      <c r="V127" s="17">
        <v>0</v>
      </c>
      <c r="W127" s="17">
        <v>0</v>
      </c>
      <c r="X127" s="17">
        <v>0</v>
      </c>
      <c r="Y127" s="17">
        <v>0</v>
      </c>
      <c r="Z127" s="17">
        <v>0</v>
      </c>
      <c r="AA127" s="17">
        <v>0</v>
      </c>
      <c r="AB127" s="17">
        <v>0</v>
      </c>
      <c r="AC127" s="17">
        <v>0</v>
      </c>
      <c r="AD127" s="17">
        <v>0</v>
      </c>
      <c r="AE127" s="17">
        <v>0</v>
      </c>
      <c r="AF127" s="17">
        <v>0</v>
      </c>
      <c r="AG127" s="17">
        <v>0</v>
      </c>
      <c r="AH127" s="17">
        <v>0</v>
      </c>
      <c r="AI127" s="17">
        <v>0</v>
      </c>
      <c r="AJ127" s="17">
        <v>0</v>
      </c>
      <c r="AK127" s="17">
        <v>0</v>
      </c>
      <c r="AL127" s="17">
        <v>0</v>
      </c>
      <c r="AM127" s="17">
        <v>0</v>
      </c>
      <c r="AN127" s="17">
        <v>0</v>
      </c>
      <c r="AO127" s="17">
        <v>0</v>
      </c>
      <c r="AP127" s="18">
        <f t="shared" si="1"/>
        <v>1547264.0052</v>
      </c>
    </row>
    <row r="128" spans="1:42" ht="15" customHeight="1" x14ac:dyDescent="0.2">
      <c r="A128" s="16" t="s">
        <v>564</v>
      </c>
      <c r="B128" s="16" t="s">
        <v>257</v>
      </c>
      <c r="C128" s="16" t="s">
        <v>257</v>
      </c>
      <c r="D128" s="16" t="s">
        <v>650</v>
      </c>
      <c r="E128" s="17">
        <v>3198.5230000000001</v>
      </c>
      <c r="F128" s="17">
        <v>4913.8446999999996</v>
      </c>
      <c r="G128" s="17">
        <v>6021.1783999999998</v>
      </c>
      <c r="H128" s="17">
        <v>6719.9552000000003</v>
      </c>
      <c r="I128" s="17">
        <v>7161.9739</v>
      </c>
      <c r="J128" s="17">
        <v>7374.7028</v>
      </c>
      <c r="K128" s="17">
        <v>7475.3458000000001</v>
      </c>
      <c r="L128" s="17">
        <v>7484.8429999999998</v>
      </c>
      <c r="M128" s="17">
        <v>7451.2709000000004</v>
      </c>
      <c r="N128" s="17">
        <v>15384.8043</v>
      </c>
      <c r="O128" s="17">
        <v>0</v>
      </c>
      <c r="P128" s="17">
        <v>0</v>
      </c>
      <c r="Q128" s="17">
        <v>0</v>
      </c>
      <c r="R128" s="17">
        <v>0</v>
      </c>
      <c r="S128" s="17">
        <v>0</v>
      </c>
      <c r="T128" s="17">
        <v>0</v>
      </c>
      <c r="U128" s="17">
        <v>0</v>
      </c>
      <c r="V128" s="17">
        <v>0</v>
      </c>
      <c r="W128" s="17">
        <v>0</v>
      </c>
      <c r="X128" s="17">
        <v>0</v>
      </c>
      <c r="Y128" s="17">
        <v>0</v>
      </c>
      <c r="Z128" s="17">
        <v>0</v>
      </c>
      <c r="AA128" s="17">
        <v>0</v>
      </c>
      <c r="AB128" s="17">
        <v>0</v>
      </c>
      <c r="AC128" s="17">
        <v>0</v>
      </c>
      <c r="AD128" s="17">
        <v>0</v>
      </c>
      <c r="AE128" s="17">
        <v>0</v>
      </c>
      <c r="AF128" s="17">
        <v>0</v>
      </c>
      <c r="AG128" s="17">
        <v>0</v>
      </c>
      <c r="AH128" s="17">
        <v>0</v>
      </c>
      <c r="AI128" s="17">
        <v>0</v>
      </c>
      <c r="AJ128" s="17">
        <v>0</v>
      </c>
      <c r="AK128" s="17">
        <v>0</v>
      </c>
      <c r="AL128" s="17">
        <v>0</v>
      </c>
      <c r="AM128" s="17">
        <v>0</v>
      </c>
      <c r="AN128" s="17">
        <v>0</v>
      </c>
      <c r="AO128" s="17">
        <v>0</v>
      </c>
      <c r="AP128" s="18">
        <f t="shared" si="1"/>
        <v>73186.44200000001</v>
      </c>
    </row>
    <row r="129" spans="1:42" ht="15" customHeight="1" x14ac:dyDescent="0.2">
      <c r="A129" s="16" t="s">
        <v>564</v>
      </c>
      <c r="B129" s="16" t="s">
        <v>257</v>
      </c>
      <c r="C129" s="16" t="s">
        <v>271</v>
      </c>
      <c r="D129" s="16" t="s">
        <v>650</v>
      </c>
      <c r="E129" s="17">
        <v>2380.4663</v>
      </c>
      <c r="F129" s="17">
        <v>3895.3883999999998</v>
      </c>
      <c r="G129" s="17">
        <v>8226.4616000000005</v>
      </c>
      <c r="H129" s="17">
        <v>5195.0268999999998</v>
      </c>
      <c r="I129" s="17">
        <v>5590.8522999999996</v>
      </c>
      <c r="J129" s="17">
        <v>5962.1265999999996</v>
      </c>
      <c r="K129" s="17">
        <v>2026.2995000000001</v>
      </c>
      <c r="L129" s="17">
        <v>0</v>
      </c>
      <c r="M129" s="17">
        <v>0</v>
      </c>
      <c r="N129" s="17">
        <v>0</v>
      </c>
      <c r="O129" s="17">
        <v>0</v>
      </c>
      <c r="P129" s="17">
        <v>0</v>
      </c>
      <c r="Q129" s="17">
        <v>0</v>
      </c>
      <c r="R129" s="17">
        <v>0</v>
      </c>
      <c r="S129" s="17">
        <v>0</v>
      </c>
      <c r="T129" s="17">
        <v>0</v>
      </c>
      <c r="U129" s="17">
        <v>0</v>
      </c>
      <c r="V129" s="17">
        <v>0</v>
      </c>
      <c r="W129" s="17">
        <v>0</v>
      </c>
      <c r="X129" s="17">
        <v>0</v>
      </c>
      <c r="Y129" s="17">
        <v>0</v>
      </c>
      <c r="Z129" s="17">
        <v>0</v>
      </c>
      <c r="AA129" s="17">
        <v>0</v>
      </c>
      <c r="AB129" s="17">
        <v>0</v>
      </c>
      <c r="AC129" s="17">
        <v>0</v>
      </c>
      <c r="AD129" s="17">
        <v>0</v>
      </c>
      <c r="AE129" s="17">
        <v>0</v>
      </c>
      <c r="AF129" s="17">
        <v>0</v>
      </c>
      <c r="AG129" s="17">
        <v>0</v>
      </c>
      <c r="AH129" s="17">
        <v>0</v>
      </c>
      <c r="AI129" s="17">
        <v>0</v>
      </c>
      <c r="AJ129" s="17">
        <v>0</v>
      </c>
      <c r="AK129" s="17">
        <v>0</v>
      </c>
      <c r="AL129" s="17">
        <v>0</v>
      </c>
      <c r="AM129" s="17">
        <v>0</v>
      </c>
      <c r="AN129" s="17">
        <v>0</v>
      </c>
      <c r="AO129" s="17">
        <v>0</v>
      </c>
      <c r="AP129" s="18">
        <f t="shared" si="1"/>
        <v>33276.621599999999</v>
      </c>
    </row>
    <row r="130" spans="1:42" ht="15" customHeight="1" x14ac:dyDescent="0.2">
      <c r="A130" s="16" t="s">
        <v>564</v>
      </c>
      <c r="B130" s="16" t="s">
        <v>566</v>
      </c>
      <c r="C130" s="16" t="s">
        <v>202</v>
      </c>
      <c r="D130" s="16" t="s">
        <v>650</v>
      </c>
      <c r="E130" s="17">
        <v>980.57230000000004</v>
      </c>
      <c r="F130" s="17">
        <v>2244.6325000000002</v>
      </c>
      <c r="G130" s="17">
        <v>3245.3341999999998</v>
      </c>
      <c r="H130" s="17">
        <v>4026.5118000000002</v>
      </c>
      <c r="I130" s="17">
        <v>4638.7359999999999</v>
      </c>
      <c r="J130" s="17">
        <v>5074.1747999999998</v>
      </c>
      <c r="K130" s="17">
        <v>5396.6170000000002</v>
      </c>
      <c r="L130" s="17">
        <v>5616.0533999999998</v>
      </c>
      <c r="M130" s="17">
        <v>5766.7588999999998</v>
      </c>
      <c r="N130" s="17">
        <v>6294.3441999999995</v>
      </c>
      <c r="O130" s="17">
        <v>6842.1247999999996</v>
      </c>
      <c r="P130" s="17">
        <v>0</v>
      </c>
      <c r="Q130" s="17">
        <v>0</v>
      </c>
      <c r="R130" s="17">
        <v>0</v>
      </c>
      <c r="S130" s="17">
        <v>0</v>
      </c>
      <c r="T130" s="17">
        <v>0</v>
      </c>
      <c r="U130" s="17">
        <v>0</v>
      </c>
      <c r="V130" s="17">
        <v>0</v>
      </c>
      <c r="W130" s="17">
        <v>0</v>
      </c>
      <c r="X130" s="17">
        <v>0</v>
      </c>
      <c r="Y130" s="17">
        <v>0</v>
      </c>
      <c r="Z130" s="17">
        <v>0</v>
      </c>
      <c r="AA130" s="17">
        <v>0</v>
      </c>
      <c r="AB130" s="17">
        <v>0</v>
      </c>
      <c r="AC130" s="17">
        <v>0</v>
      </c>
      <c r="AD130" s="17">
        <v>0</v>
      </c>
      <c r="AE130" s="17">
        <v>0</v>
      </c>
      <c r="AF130" s="17">
        <v>0</v>
      </c>
      <c r="AG130" s="17">
        <v>0</v>
      </c>
      <c r="AH130" s="17">
        <v>0</v>
      </c>
      <c r="AI130" s="17">
        <v>0</v>
      </c>
      <c r="AJ130" s="17">
        <v>0</v>
      </c>
      <c r="AK130" s="17">
        <v>0</v>
      </c>
      <c r="AL130" s="17">
        <v>0</v>
      </c>
      <c r="AM130" s="17">
        <v>0</v>
      </c>
      <c r="AN130" s="17">
        <v>0</v>
      </c>
      <c r="AO130" s="17">
        <v>0</v>
      </c>
      <c r="AP130" s="18">
        <f t="shared" ref="AP130:AP193" si="2">SUM(E130:AO130)</f>
        <v>50125.859899999996</v>
      </c>
    </row>
    <row r="131" spans="1:42" ht="15" customHeight="1" x14ac:dyDescent="0.2">
      <c r="A131" s="16" t="s">
        <v>564</v>
      </c>
      <c r="B131" s="16" t="s">
        <v>566</v>
      </c>
      <c r="C131" s="16" t="s">
        <v>272</v>
      </c>
      <c r="D131" s="16" t="s">
        <v>650</v>
      </c>
      <c r="E131" s="17">
        <v>1278.1397999999999</v>
      </c>
      <c r="F131" s="17">
        <v>2792.2447000000002</v>
      </c>
      <c r="G131" s="17">
        <v>3886.9969999999998</v>
      </c>
      <c r="H131" s="17">
        <v>11552.5774</v>
      </c>
      <c r="I131" s="17">
        <v>93484.960600000006</v>
      </c>
      <c r="J131" s="17">
        <v>115245.38830000001</v>
      </c>
      <c r="K131" s="17">
        <v>101801.7761</v>
      </c>
      <c r="L131" s="17">
        <v>89851.144899999999</v>
      </c>
      <c r="M131" s="17">
        <v>79447.045199999993</v>
      </c>
      <c r="N131" s="17">
        <v>69816.010899999994</v>
      </c>
      <c r="O131" s="17">
        <v>61493.716</v>
      </c>
      <c r="P131" s="17">
        <v>54133.8361</v>
      </c>
      <c r="Q131" s="17">
        <v>49792.704700000002</v>
      </c>
      <c r="R131" s="17">
        <v>44919.321199999998</v>
      </c>
      <c r="S131" s="17">
        <v>39384.949699999997</v>
      </c>
      <c r="T131" s="17">
        <v>34525.972199999997</v>
      </c>
      <c r="U131" s="17">
        <v>0</v>
      </c>
      <c r="V131" s="17">
        <v>0</v>
      </c>
      <c r="W131" s="17">
        <v>0</v>
      </c>
      <c r="X131" s="17">
        <v>0</v>
      </c>
      <c r="Y131" s="17">
        <v>0</v>
      </c>
      <c r="Z131" s="17">
        <v>0</v>
      </c>
      <c r="AA131" s="17">
        <v>0</v>
      </c>
      <c r="AB131" s="17">
        <v>0</v>
      </c>
      <c r="AC131" s="17">
        <v>0</v>
      </c>
      <c r="AD131" s="17">
        <v>0</v>
      </c>
      <c r="AE131" s="17">
        <v>0</v>
      </c>
      <c r="AF131" s="17">
        <v>0</v>
      </c>
      <c r="AG131" s="17">
        <v>0</v>
      </c>
      <c r="AH131" s="17">
        <v>0</v>
      </c>
      <c r="AI131" s="17">
        <v>0</v>
      </c>
      <c r="AJ131" s="17">
        <v>0</v>
      </c>
      <c r="AK131" s="17">
        <v>0</v>
      </c>
      <c r="AL131" s="17">
        <v>0</v>
      </c>
      <c r="AM131" s="17">
        <v>0</v>
      </c>
      <c r="AN131" s="17">
        <v>0</v>
      </c>
      <c r="AO131" s="17">
        <v>0</v>
      </c>
      <c r="AP131" s="18">
        <f t="shared" si="2"/>
        <v>853406.78480000002</v>
      </c>
    </row>
    <row r="132" spans="1:42" ht="15" customHeight="1" x14ac:dyDescent="0.2">
      <c r="A132" s="16" t="s">
        <v>564</v>
      </c>
      <c r="B132" s="16" t="s">
        <v>567</v>
      </c>
      <c r="C132" s="16" t="s">
        <v>118</v>
      </c>
      <c r="D132" s="16" t="s">
        <v>650</v>
      </c>
      <c r="E132" s="17">
        <v>330056.67300000001</v>
      </c>
      <c r="F132" s="17">
        <v>687914.05870000005</v>
      </c>
      <c r="G132" s="17">
        <v>947075.68530000001</v>
      </c>
      <c r="H132" s="17">
        <v>1118743.8796999999</v>
      </c>
      <c r="I132" s="17">
        <v>982511.24549999996</v>
      </c>
      <c r="J132" s="17">
        <v>827218.73470000003</v>
      </c>
      <c r="K132" s="17">
        <v>749896.17740000004</v>
      </c>
      <c r="L132" s="17">
        <v>659388.32779999997</v>
      </c>
      <c r="M132" s="17">
        <v>606984.01309999998</v>
      </c>
      <c r="N132" s="17">
        <v>547113.75899999996</v>
      </c>
      <c r="O132" s="17">
        <v>515971.8174</v>
      </c>
      <c r="P132" s="17">
        <v>454881.42690000002</v>
      </c>
      <c r="Q132" s="17">
        <v>416717.81310000003</v>
      </c>
      <c r="R132" s="17">
        <v>409760.16509999998</v>
      </c>
      <c r="S132" s="17">
        <v>389919.69089999999</v>
      </c>
      <c r="T132" s="17">
        <v>314154.21710000001</v>
      </c>
      <c r="U132" s="17">
        <v>19444.608800000002</v>
      </c>
      <c r="V132" s="17">
        <v>1559.3713</v>
      </c>
      <c r="W132" s="17">
        <v>0</v>
      </c>
      <c r="X132" s="17">
        <v>0</v>
      </c>
      <c r="Y132" s="17">
        <v>0</v>
      </c>
      <c r="Z132" s="17">
        <v>0</v>
      </c>
      <c r="AA132" s="17">
        <v>0</v>
      </c>
      <c r="AB132" s="17">
        <v>0</v>
      </c>
      <c r="AC132" s="17">
        <v>0</v>
      </c>
      <c r="AD132" s="17">
        <v>0</v>
      </c>
      <c r="AE132" s="17">
        <v>0</v>
      </c>
      <c r="AF132" s="17">
        <v>0</v>
      </c>
      <c r="AG132" s="17">
        <v>0</v>
      </c>
      <c r="AH132" s="17">
        <v>0</v>
      </c>
      <c r="AI132" s="17">
        <v>0</v>
      </c>
      <c r="AJ132" s="17">
        <v>0</v>
      </c>
      <c r="AK132" s="17">
        <v>0</v>
      </c>
      <c r="AL132" s="17">
        <v>0</v>
      </c>
      <c r="AM132" s="17">
        <v>0</v>
      </c>
      <c r="AN132" s="17">
        <v>0</v>
      </c>
      <c r="AO132" s="17">
        <v>0</v>
      </c>
      <c r="AP132" s="18">
        <f t="shared" si="2"/>
        <v>9979311.6648000013</v>
      </c>
    </row>
    <row r="133" spans="1:42" ht="15" customHeight="1" x14ac:dyDescent="0.2">
      <c r="A133" s="16" t="s">
        <v>564</v>
      </c>
      <c r="B133" s="16" t="s">
        <v>567</v>
      </c>
      <c r="C133" s="16" t="s">
        <v>197</v>
      </c>
      <c r="D133" s="16" t="s">
        <v>650</v>
      </c>
      <c r="E133" s="17">
        <v>440.76760000000002</v>
      </c>
      <c r="F133" s="17">
        <v>11255.958500000001</v>
      </c>
      <c r="G133" s="17">
        <v>34293.897599999997</v>
      </c>
      <c r="H133" s="17">
        <v>57054.630899999996</v>
      </c>
      <c r="I133" s="17">
        <v>404380.61599999998</v>
      </c>
      <c r="J133" s="17">
        <v>373941.75910000002</v>
      </c>
      <c r="K133" s="17">
        <v>320469.23729999998</v>
      </c>
      <c r="L133" s="17">
        <v>273031.21720000001</v>
      </c>
      <c r="M133" s="17">
        <v>232070.79990000001</v>
      </c>
      <c r="N133" s="17">
        <v>196311.39809999999</v>
      </c>
      <c r="O133" s="17">
        <v>167288.39739999999</v>
      </c>
      <c r="P133" s="17">
        <v>142566.1924</v>
      </c>
      <c r="Q133" s="17">
        <v>121828.713</v>
      </c>
      <c r="R133" s="17">
        <v>103573.90399999999</v>
      </c>
      <c r="S133" s="17">
        <v>88359.787200000006</v>
      </c>
      <c r="T133" s="17">
        <v>75431.692800000004</v>
      </c>
      <c r="U133" s="17">
        <v>64614.6803</v>
      </c>
      <c r="V133" s="17">
        <v>55106.73</v>
      </c>
      <c r="W133" s="17">
        <v>47200.293599999997</v>
      </c>
      <c r="X133" s="17">
        <v>42068.095600000001</v>
      </c>
      <c r="Y133" s="17">
        <v>41003.804799999998</v>
      </c>
      <c r="Z133" s="17">
        <v>41160.277300000002</v>
      </c>
      <c r="AA133" s="17">
        <v>33715.585500000001</v>
      </c>
      <c r="AB133" s="17">
        <v>31789.2706</v>
      </c>
      <c r="AC133" s="17">
        <v>22889.959500000001</v>
      </c>
      <c r="AD133" s="17">
        <v>13166.999</v>
      </c>
      <c r="AE133" s="17">
        <v>12694.8665</v>
      </c>
      <c r="AF133" s="17">
        <v>12247.6808</v>
      </c>
      <c r="AG133" s="17">
        <v>11855.546399999999</v>
      </c>
      <c r="AH133" s="17">
        <v>11420.314399999999</v>
      </c>
      <c r="AI133" s="17">
        <v>11038.2328</v>
      </c>
      <c r="AJ133" s="17">
        <v>7146.2241000000004</v>
      </c>
      <c r="AK133" s="17">
        <v>0</v>
      </c>
      <c r="AL133" s="17">
        <v>0</v>
      </c>
      <c r="AM133" s="17">
        <v>0</v>
      </c>
      <c r="AN133" s="17">
        <v>0</v>
      </c>
      <c r="AO133" s="17">
        <v>0</v>
      </c>
      <c r="AP133" s="18">
        <f t="shared" si="2"/>
        <v>3061417.5301999999</v>
      </c>
    </row>
    <row r="134" spans="1:42" ht="15" customHeight="1" x14ac:dyDescent="0.2">
      <c r="A134" s="16" t="s">
        <v>564</v>
      </c>
      <c r="B134" s="16" t="s">
        <v>568</v>
      </c>
      <c r="C134" s="16" t="s">
        <v>321</v>
      </c>
      <c r="D134" s="16" t="s">
        <v>650</v>
      </c>
      <c r="E134" s="17">
        <v>852.75909999999999</v>
      </c>
      <c r="F134" s="17">
        <v>1976.2748999999999</v>
      </c>
      <c r="G134" s="17">
        <v>2929.6736000000001</v>
      </c>
      <c r="H134" s="17">
        <v>3734.5841999999998</v>
      </c>
      <c r="I134" s="17">
        <v>4423.2371000000003</v>
      </c>
      <c r="J134" s="17">
        <v>4975.1283999999996</v>
      </c>
      <c r="K134" s="17">
        <v>5440.5488999999998</v>
      </c>
      <c r="L134" s="17">
        <v>5821.0289000000002</v>
      </c>
      <c r="M134" s="17">
        <v>6144.8333000000002</v>
      </c>
      <c r="N134" s="17">
        <v>6370.8032999999996</v>
      </c>
      <c r="O134" s="17">
        <v>11113.0203</v>
      </c>
      <c r="P134" s="17">
        <v>32932.271099999998</v>
      </c>
      <c r="Q134" s="17">
        <v>31457.751</v>
      </c>
      <c r="R134" s="17">
        <v>29899.187900000001</v>
      </c>
      <c r="S134" s="17">
        <v>2474.2964000000002</v>
      </c>
      <c r="T134" s="17">
        <v>0</v>
      </c>
      <c r="U134" s="17">
        <v>0</v>
      </c>
      <c r="V134" s="17">
        <v>0</v>
      </c>
      <c r="W134" s="17">
        <v>0</v>
      </c>
      <c r="X134" s="17">
        <v>0</v>
      </c>
      <c r="Y134" s="17">
        <v>0</v>
      </c>
      <c r="Z134" s="17">
        <v>0</v>
      </c>
      <c r="AA134" s="17">
        <v>0</v>
      </c>
      <c r="AB134" s="17">
        <v>0</v>
      </c>
      <c r="AC134" s="17">
        <v>0</v>
      </c>
      <c r="AD134" s="17">
        <v>0</v>
      </c>
      <c r="AE134" s="17">
        <v>0</v>
      </c>
      <c r="AF134" s="17">
        <v>0</v>
      </c>
      <c r="AG134" s="17">
        <v>0</v>
      </c>
      <c r="AH134" s="17">
        <v>0</v>
      </c>
      <c r="AI134" s="17">
        <v>0</v>
      </c>
      <c r="AJ134" s="17">
        <v>0</v>
      </c>
      <c r="AK134" s="17">
        <v>0</v>
      </c>
      <c r="AL134" s="17">
        <v>0</v>
      </c>
      <c r="AM134" s="17">
        <v>0</v>
      </c>
      <c r="AN134" s="17">
        <v>0</v>
      </c>
      <c r="AO134" s="17">
        <v>0</v>
      </c>
      <c r="AP134" s="18">
        <f t="shared" si="2"/>
        <v>150545.39840000001</v>
      </c>
    </row>
    <row r="135" spans="1:42" ht="15" customHeight="1" x14ac:dyDescent="0.2">
      <c r="A135" s="16" t="s">
        <v>564</v>
      </c>
      <c r="B135" s="16" t="s">
        <v>642</v>
      </c>
      <c r="C135" s="16" t="s">
        <v>643</v>
      </c>
      <c r="D135" s="16" t="s">
        <v>650</v>
      </c>
      <c r="E135" s="17">
        <v>0</v>
      </c>
      <c r="F135" s="17">
        <v>0</v>
      </c>
      <c r="G135" s="17">
        <v>0</v>
      </c>
      <c r="H135" s="17">
        <v>0</v>
      </c>
      <c r="I135" s="17">
        <v>0</v>
      </c>
      <c r="J135" s="17">
        <v>78619.615000000005</v>
      </c>
      <c r="K135" s="17">
        <v>220148.68700000001</v>
      </c>
      <c r="L135" s="17">
        <v>552933.47169999999</v>
      </c>
      <c r="M135" s="17">
        <v>308033.51620000001</v>
      </c>
      <c r="N135" s="17">
        <v>76804.117299999998</v>
      </c>
      <c r="O135" s="17">
        <v>0</v>
      </c>
      <c r="P135" s="17">
        <v>0</v>
      </c>
      <c r="Q135" s="17">
        <v>0</v>
      </c>
      <c r="R135" s="17">
        <v>0</v>
      </c>
      <c r="S135" s="17">
        <v>0</v>
      </c>
      <c r="T135" s="17">
        <v>0</v>
      </c>
      <c r="U135" s="17">
        <v>0</v>
      </c>
      <c r="V135" s="17">
        <v>0</v>
      </c>
      <c r="W135" s="17">
        <v>0</v>
      </c>
      <c r="X135" s="17">
        <v>0</v>
      </c>
      <c r="Y135" s="17">
        <v>0</v>
      </c>
      <c r="Z135" s="17">
        <v>0</v>
      </c>
      <c r="AA135" s="17">
        <v>0</v>
      </c>
      <c r="AB135" s="17">
        <v>0</v>
      </c>
      <c r="AC135" s="17">
        <v>0</v>
      </c>
      <c r="AD135" s="17">
        <v>0</v>
      </c>
      <c r="AE135" s="17">
        <v>0</v>
      </c>
      <c r="AF135" s="17">
        <v>0</v>
      </c>
      <c r="AG135" s="17">
        <v>0</v>
      </c>
      <c r="AH135" s="17">
        <v>0</v>
      </c>
      <c r="AI135" s="17">
        <v>0</v>
      </c>
      <c r="AJ135" s="17">
        <v>0</v>
      </c>
      <c r="AK135" s="17">
        <v>0</v>
      </c>
      <c r="AL135" s="17">
        <v>0</v>
      </c>
      <c r="AM135" s="17">
        <v>0</v>
      </c>
      <c r="AN135" s="17">
        <v>0</v>
      </c>
      <c r="AO135" s="17">
        <v>0</v>
      </c>
      <c r="AP135" s="18">
        <f t="shared" si="2"/>
        <v>1236539.4072</v>
      </c>
    </row>
    <row r="136" spans="1:42" ht="15" customHeight="1" x14ac:dyDescent="0.2">
      <c r="A136" s="16" t="s">
        <v>564</v>
      </c>
      <c r="B136" s="16" t="s">
        <v>569</v>
      </c>
      <c r="C136" s="16" t="s">
        <v>308</v>
      </c>
      <c r="D136" s="16" t="s">
        <v>650</v>
      </c>
      <c r="E136" s="17">
        <v>513.12810000000002</v>
      </c>
      <c r="F136" s="17">
        <v>1564.8859</v>
      </c>
      <c r="G136" s="17">
        <v>3883.4576000000002</v>
      </c>
      <c r="H136" s="17">
        <v>5744.9991</v>
      </c>
      <c r="I136" s="17">
        <v>3083.0944</v>
      </c>
      <c r="J136" s="17">
        <v>7177.4519</v>
      </c>
      <c r="K136" s="17">
        <v>13936.347</v>
      </c>
      <c r="L136" s="17">
        <v>19691.274799999999</v>
      </c>
      <c r="M136" s="17">
        <v>1583.9594</v>
      </c>
      <c r="N136" s="17">
        <v>0</v>
      </c>
      <c r="O136" s="17">
        <v>0</v>
      </c>
      <c r="P136" s="17">
        <v>0</v>
      </c>
      <c r="Q136" s="17">
        <v>0</v>
      </c>
      <c r="R136" s="17">
        <v>0</v>
      </c>
      <c r="S136" s="17">
        <v>0</v>
      </c>
      <c r="T136" s="17">
        <v>0</v>
      </c>
      <c r="U136" s="17">
        <v>0</v>
      </c>
      <c r="V136" s="17">
        <v>0</v>
      </c>
      <c r="W136" s="17">
        <v>0</v>
      </c>
      <c r="X136" s="17">
        <v>0</v>
      </c>
      <c r="Y136" s="17">
        <v>0</v>
      </c>
      <c r="Z136" s="17">
        <v>0</v>
      </c>
      <c r="AA136" s="17">
        <v>0</v>
      </c>
      <c r="AB136" s="17">
        <v>0</v>
      </c>
      <c r="AC136" s="17">
        <v>0</v>
      </c>
      <c r="AD136" s="17">
        <v>0</v>
      </c>
      <c r="AE136" s="17">
        <v>0</v>
      </c>
      <c r="AF136" s="17">
        <v>0</v>
      </c>
      <c r="AG136" s="17">
        <v>0</v>
      </c>
      <c r="AH136" s="17">
        <v>0</v>
      </c>
      <c r="AI136" s="17">
        <v>0</v>
      </c>
      <c r="AJ136" s="17">
        <v>0</v>
      </c>
      <c r="AK136" s="17">
        <v>0</v>
      </c>
      <c r="AL136" s="17">
        <v>0</v>
      </c>
      <c r="AM136" s="17">
        <v>0</v>
      </c>
      <c r="AN136" s="17">
        <v>0</v>
      </c>
      <c r="AO136" s="17">
        <v>0</v>
      </c>
      <c r="AP136" s="18">
        <f t="shared" si="2"/>
        <v>57178.5982</v>
      </c>
    </row>
    <row r="137" spans="1:42" ht="15" customHeight="1" x14ac:dyDescent="0.2">
      <c r="A137" s="16" t="s">
        <v>564</v>
      </c>
      <c r="B137" s="16" t="s">
        <v>569</v>
      </c>
      <c r="C137" s="16" t="s">
        <v>412</v>
      </c>
      <c r="D137" s="16" t="s">
        <v>650</v>
      </c>
      <c r="E137" s="17">
        <v>1699.4727</v>
      </c>
      <c r="F137" s="17">
        <v>2788.4672999999998</v>
      </c>
      <c r="G137" s="17">
        <v>3618.8874999999998</v>
      </c>
      <c r="H137" s="17">
        <v>4250.9318999999996</v>
      </c>
      <c r="I137" s="17">
        <v>4743.9978000000001</v>
      </c>
      <c r="J137" s="17">
        <v>5092.38</v>
      </c>
      <c r="K137" s="17">
        <v>18239.281200000001</v>
      </c>
      <c r="L137" s="17">
        <v>42468.6967</v>
      </c>
      <c r="M137" s="17">
        <v>3507.0092</v>
      </c>
      <c r="N137" s="17">
        <v>0</v>
      </c>
      <c r="O137" s="17">
        <v>0</v>
      </c>
      <c r="P137" s="17">
        <v>0</v>
      </c>
      <c r="Q137" s="17">
        <v>0</v>
      </c>
      <c r="R137" s="17">
        <v>0</v>
      </c>
      <c r="S137" s="17">
        <v>0</v>
      </c>
      <c r="T137" s="17">
        <v>0</v>
      </c>
      <c r="U137" s="17">
        <v>0</v>
      </c>
      <c r="V137" s="17">
        <v>0</v>
      </c>
      <c r="W137" s="17">
        <v>0</v>
      </c>
      <c r="X137" s="17">
        <v>0</v>
      </c>
      <c r="Y137" s="17">
        <v>0</v>
      </c>
      <c r="Z137" s="17">
        <v>0</v>
      </c>
      <c r="AA137" s="17">
        <v>0</v>
      </c>
      <c r="AB137" s="17">
        <v>0</v>
      </c>
      <c r="AC137" s="17">
        <v>0</v>
      </c>
      <c r="AD137" s="17">
        <v>0</v>
      </c>
      <c r="AE137" s="17">
        <v>0</v>
      </c>
      <c r="AF137" s="17">
        <v>0</v>
      </c>
      <c r="AG137" s="17">
        <v>0</v>
      </c>
      <c r="AH137" s="17">
        <v>0</v>
      </c>
      <c r="AI137" s="17">
        <v>0</v>
      </c>
      <c r="AJ137" s="17">
        <v>0</v>
      </c>
      <c r="AK137" s="17">
        <v>0</v>
      </c>
      <c r="AL137" s="17">
        <v>0</v>
      </c>
      <c r="AM137" s="17">
        <v>0</v>
      </c>
      <c r="AN137" s="17">
        <v>0</v>
      </c>
      <c r="AO137" s="17">
        <v>0</v>
      </c>
      <c r="AP137" s="18">
        <f t="shared" si="2"/>
        <v>86409.124299999996</v>
      </c>
    </row>
    <row r="138" spans="1:42" ht="15" customHeight="1" x14ac:dyDescent="0.2">
      <c r="A138" s="16" t="s">
        <v>564</v>
      </c>
      <c r="B138" s="16" t="s">
        <v>405</v>
      </c>
      <c r="C138" s="16" t="s">
        <v>299</v>
      </c>
      <c r="D138" s="16" t="s">
        <v>650</v>
      </c>
      <c r="E138" s="17">
        <v>2548.2946000000002</v>
      </c>
      <c r="F138" s="17">
        <v>5754.4045999999998</v>
      </c>
      <c r="G138" s="17">
        <v>8293.2476999999999</v>
      </c>
      <c r="H138" s="17">
        <v>10267.745000000001</v>
      </c>
      <c r="I138" s="17">
        <v>11801.6607</v>
      </c>
      <c r="J138" s="17">
        <v>14054.768</v>
      </c>
      <c r="K138" s="17">
        <v>15229.671899999999</v>
      </c>
      <c r="L138" s="17">
        <v>14635.410099999999</v>
      </c>
      <c r="M138" s="17">
        <v>15159.4182</v>
      </c>
      <c r="N138" s="17">
        <v>15534.8398</v>
      </c>
      <c r="O138" s="17">
        <v>15230.348</v>
      </c>
      <c r="P138" s="17">
        <v>16029.6315</v>
      </c>
      <c r="Q138" s="17">
        <v>15971.138800000001</v>
      </c>
      <c r="R138" s="17">
        <v>29965.744200000001</v>
      </c>
      <c r="S138" s="17">
        <v>37116.076699999998</v>
      </c>
      <c r="T138" s="17">
        <v>32775.484499999999</v>
      </c>
      <c r="U138" s="17">
        <v>30163.089100000001</v>
      </c>
      <c r="V138" s="17">
        <v>10964.8784</v>
      </c>
      <c r="W138" s="17">
        <v>0</v>
      </c>
      <c r="X138" s="17">
        <v>0</v>
      </c>
      <c r="Y138" s="17">
        <v>0</v>
      </c>
      <c r="Z138" s="17">
        <v>0</v>
      </c>
      <c r="AA138" s="17">
        <v>0</v>
      </c>
      <c r="AB138" s="17">
        <v>0</v>
      </c>
      <c r="AC138" s="17">
        <v>0</v>
      </c>
      <c r="AD138" s="17">
        <v>0</v>
      </c>
      <c r="AE138" s="17">
        <v>0</v>
      </c>
      <c r="AF138" s="17">
        <v>0</v>
      </c>
      <c r="AG138" s="17">
        <v>0</v>
      </c>
      <c r="AH138" s="17">
        <v>0</v>
      </c>
      <c r="AI138" s="17">
        <v>0</v>
      </c>
      <c r="AJ138" s="17">
        <v>0</v>
      </c>
      <c r="AK138" s="17">
        <v>0</v>
      </c>
      <c r="AL138" s="17">
        <v>0</v>
      </c>
      <c r="AM138" s="17">
        <v>0</v>
      </c>
      <c r="AN138" s="17">
        <v>0</v>
      </c>
      <c r="AO138" s="17">
        <v>0</v>
      </c>
      <c r="AP138" s="18">
        <f t="shared" si="2"/>
        <v>301495.85179999995</v>
      </c>
    </row>
    <row r="139" spans="1:42" ht="15" customHeight="1" x14ac:dyDescent="0.2">
      <c r="A139" s="16" t="s">
        <v>564</v>
      </c>
      <c r="B139" s="16" t="s">
        <v>405</v>
      </c>
      <c r="C139" s="16" t="s">
        <v>360</v>
      </c>
      <c r="D139" s="16" t="s">
        <v>650</v>
      </c>
      <c r="E139" s="17">
        <v>0</v>
      </c>
      <c r="F139" s="17">
        <v>0</v>
      </c>
      <c r="G139" s="17">
        <v>407.21969999999999</v>
      </c>
      <c r="H139" s="17">
        <v>1221.8125</v>
      </c>
      <c r="I139" s="17">
        <v>1828.0446999999999</v>
      </c>
      <c r="J139" s="17">
        <v>2248.9072999999999</v>
      </c>
      <c r="K139" s="17">
        <v>2534.4250999999999</v>
      </c>
      <c r="L139" s="17">
        <v>2709.4052999999999</v>
      </c>
      <c r="M139" s="17">
        <v>2805.4213</v>
      </c>
      <c r="N139" s="17">
        <v>4885.1611999999996</v>
      </c>
      <c r="O139" s="17">
        <v>5890.4615000000003</v>
      </c>
      <c r="P139" s="17">
        <v>2740.7745</v>
      </c>
      <c r="Q139" s="17">
        <v>4932.1148999999996</v>
      </c>
      <c r="R139" s="17">
        <v>4640.7677999999996</v>
      </c>
      <c r="S139" s="17">
        <v>4116.3197</v>
      </c>
      <c r="T139" s="17">
        <v>1563.7391</v>
      </c>
      <c r="U139" s="17">
        <v>0</v>
      </c>
      <c r="V139" s="17">
        <v>0</v>
      </c>
      <c r="W139" s="17">
        <v>0</v>
      </c>
      <c r="X139" s="17">
        <v>0</v>
      </c>
      <c r="Y139" s="17">
        <v>0</v>
      </c>
      <c r="Z139" s="17">
        <v>0</v>
      </c>
      <c r="AA139" s="17">
        <v>0</v>
      </c>
      <c r="AB139" s="17">
        <v>0</v>
      </c>
      <c r="AC139" s="17">
        <v>0</v>
      </c>
      <c r="AD139" s="17">
        <v>0</v>
      </c>
      <c r="AE139" s="17">
        <v>0</v>
      </c>
      <c r="AF139" s="17">
        <v>0</v>
      </c>
      <c r="AG139" s="17">
        <v>0</v>
      </c>
      <c r="AH139" s="17">
        <v>0</v>
      </c>
      <c r="AI139" s="17">
        <v>0</v>
      </c>
      <c r="AJ139" s="17">
        <v>0</v>
      </c>
      <c r="AK139" s="17">
        <v>0</v>
      </c>
      <c r="AL139" s="17">
        <v>0</v>
      </c>
      <c r="AM139" s="17">
        <v>0</v>
      </c>
      <c r="AN139" s="17">
        <v>0</v>
      </c>
      <c r="AO139" s="17">
        <v>0</v>
      </c>
      <c r="AP139" s="18">
        <f t="shared" si="2"/>
        <v>42524.5746</v>
      </c>
    </row>
    <row r="140" spans="1:42" ht="15" customHeight="1" x14ac:dyDescent="0.2">
      <c r="A140" s="16" t="s">
        <v>564</v>
      </c>
      <c r="B140" s="16" t="s">
        <v>405</v>
      </c>
      <c r="C140" s="16" t="s">
        <v>387</v>
      </c>
      <c r="D140" s="16" t="s">
        <v>650</v>
      </c>
      <c r="E140" s="17">
        <v>792.85050000000001</v>
      </c>
      <c r="F140" s="17">
        <v>3035.2276999999999</v>
      </c>
      <c r="G140" s="17">
        <v>2287.6597999999999</v>
      </c>
      <c r="H140" s="17">
        <v>3000.1179000000002</v>
      </c>
      <c r="I140" s="17">
        <v>3652.5590999999999</v>
      </c>
      <c r="J140" s="17">
        <v>4219.1522000000004</v>
      </c>
      <c r="K140" s="17">
        <v>4733.8923000000004</v>
      </c>
      <c r="L140" s="17">
        <v>5192.0920999999998</v>
      </c>
      <c r="M140" s="17">
        <v>5613.7610000000004</v>
      </c>
      <c r="N140" s="17">
        <v>5956.1617999999999</v>
      </c>
      <c r="O140" s="17">
        <v>6268.5339999999997</v>
      </c>
      <c r="P140" s="17">
        <v>6539.4782999999998</v>
      </c>
      <c r="Q140" s="17">
        <v>6791.0194000000001</v>
      </c>
      <c r="R140" s="17">
        <v>6970.107</v>
      </c>
      <c r="S140" s="17">
        <v>7134.9674000000005</v>
      </c>
      <c r="T140" s="17">
        <v>7269.9443000000001</v>
      </c>
      <c r="U140" s="17">
        <v>7397.7975999999999</v>
      </c>
      <c r="V140" s="17">
        <v>7459.973</v>
      </c>
      <c r="W140" s="17">
        <v>7519.1427999999996</v>
      </c>
      <c r="X140" s="17">
        <v>7557.1962999999996</v>
      </c>
      <c r="Y140" s="17">
        <v>7596.7316000000001</v>
      </c>
      <c r="Z140" s="17">
        <v>7577.1403</v>
      </c>
      <c r="AA140" s="17">
        <v>7562.3050999999996</v>
      </c>
      <c r="AB140" s="17">
        <v>7532.9657999999999</v>
      </c>
      <c r="AC140" s="17">
        <v>7510.9498000000003</v>
      </c>
      <c r="AD140" s="17">
        <v>7436.0141000000003</v>
      </c>
      <c r="AE140" s="17">
        <v>7371.0033000000003</v>
      </c>
      <c r="AF140" s="17">
        <v>7296.4336999999996</v>
      </c>
      <c r="AG140" s="17">
        <v>7232.9683999999997</v>
      </c>
      <c r="AH140" s="17">
        <v>7122.3730999999998</v>
      </c>
      <c r="AI140" s="17">
        <v>7024.9477999999999</v>
      </c>
      <c r="AJ140" s="17">
        <v>6921.6246000000001</v>
      </c>
      <c r="AK140" s="17">
        <v>15824.2979</v>
      </c>
      <c r="AL140" s="17">
        <v>16898.346000000001</v>
      </c>
      <c r="AM140" s="17">
        <v>16236.183499999999</v>
      </c>
      <c r="AN140" s="17">
        <v>15599.968000000001</v>
      </c>
      <c r="AO140" s="17">
        <v>15028.929899999999</v>
      </c>
      <c r="AP140" s="18">
        <f t="shared" si="2"/>
        <v>277164.8174</v>
      </c>
    </row>
    <row r="141" spans="1:42" ht="15" customHeight="1" x14ac:dyDescent="0.2">
      <c r="A141" s="16" t="s">
        <v>570</v>
      </c>
      <c r="B141" s="16" t="s">
        <v>571</v>
      </c>
      <c r="C141" s="16" t="s">
        <v>220</v>
      </c>
      <c r="D141" s="16" t="s">
        <v>650</v>
      </c>
      <c r="E141" s="17">
        <v>3009.4463000000001</v>
      </c>
      <c r="F141" s="17">
        <v>6516.8444</v>
      </c>
      <c r="G141" s="17">
        <v>17976.402999999998</v>
      </c>
      <c r="H141" s="17">
        <v>78318.339600000007</v>
      </c>
      <c r="I141" s="17">
        <v>158243.56340000001</v>
      </c>
      <c r="J141" s="17">
        <v>260025.27540000001</v>
      </c>
      <c r="K141" s="17">
        <v>317694.00180000003</v>
      </c>
      <c r="L141" s="17">
        <v>404435.41019999998</v>
      </c>
      <c r="M141" s="17">
        <v>366228.11949999997</v>
      </c>
      <c r="N141" s="17">
        <v>327609.33299999998</v>
      </c>
      <c r="O141" s="17">
        <v>292929.81020000001</v>
      </c>
      <c r="P141" s="17">
        <v>261587.49900000001</v>
      </c>
      <c r="Q141" s="17">
        <v>234209.55360000001</v>
      </c>
      <c r="R141" s="17">
        <v>208732.6544</v>
      </c>
      <c r="S141" s="17">
        <v>186829.53940000001</v>
      </c>
      <c r="T141" s="17">
        <v>167519.6537</v>
      </c>
      <c r="U141" s="17">
        <v>150894.71669999999</v>
      </c>
      <c r="V141" s="17">
        <v>258734.4914</v>
      </c>
      <c r="W141" s="17">
        <v>240834.53510000001</v>
      </c>
      <c r="X141" s="17">
        <v>214864.8627</v>
      </c>
      <c r="Y141" s="17">
        <v>192886.87849999999</v>
      </c>
      <c r="Z141" s="17">
        <v>172800.0742</v>
      </c>
      <c r="AA141" s="17">
        <v>155754.2181</v>
      </c>
      <c r="AB141" s="17">
        <v>12513.1232</v>
      </c>
      <c r="AC141" s="17">
        <v>0</v>
      </c>
      <c r="AD141" s="17">
        <v>0</v>
      </c>
      <c r="AE141" s="17">
        <v>0</v>
      </c>
      <c r="AF141" s="17">
        <v>0</v>
      </c>
      <c r="AG141" s="17">
        <v>0</v>
      </c>
      <c r="AH141" s="17">
        <v>0</v>
      </c>
      <c r="AI141" s="17">
        <v>0</v>
      </c>
      <c r="AJ141" s="17">
        <v>0</v>
      </c>
      <c r="AK141" s="17">
        <v>0</v>
      </c>
      <c r="AL141" s="17">
        <v>0</v>
      </c>
      <c r="AM141" s="17">
        <v>0</v>
      </c>
      <c r="AN141" s="17">
        <v>0</v>
      </c>
      <c r="AO141" s="17">
        <v>0</v>
      </c>
      <c r="AP141" s="18">
        <f t="shared" si="2"/>
        <v>4691148.3468000004</v>
      </c>
    </row>
    <row r="142" spans="1:42" ht="15" customHeight="1" x14ac:dyDescent="0.2">
      <c r="A142" s="16" t="s">
        <v>570</v>
      </c>
      <c r="B142" s="16" t="s">
        <v>572</v>
      </c>
      <c r="C142" s="16" t="s">
        <v>316</v>
      </c>
      <c r="D142" s="16" t="s">
        <v>650</v>
      </c>
      <c r="E142" s="17">
        <v>2498.0077000000001</v>
      </c>
      <c r="F142" s="17">
        <v>5722.6432999999997</v>
      </c>
      <c r="G142" s="17">
        <v>15258.927600000001</v>
      </c>
      <c r="H142" s="17">
        <v>34871.703999999998</v>
      </c>
      <c r="I142" s="17">
        <v>44109.469400000002</v>
      </c>
      <c r="J142" s="17">
        <v>43688.498500000002</v>
      </c>
      <c r="K142" s="17">
        <v>39926.890299999999</v>
      </c>
      <c r="L142" s="17">
        <v>35372.781300000002</v>
      </c>
      <c r="M142" s="17">
        <v>31518.5746</v>
      </c>
      <c r="N142" s="17">
        <v>45047.403100000003</v>
      </c>
      <c r="O142" s="17">
        <v>63359.451099999998</v>
      </c>
      <c r="P142" s="17">
        <v>51516.7382</v>
      </c>
      <c r="Q142" s="17">
        <v>27231.4483</v>
      </c>
      <c r="R142" s="17">
        <v>0</v>
      </c>
      <c r="S142" s="17">
        <v>0</v>
      </c>
      <c r="T142" s="17">
        <v>0</v>
      </c>
      <c r="U142" s="17">
        <v>0</v>
      </c>
      <c r="V142" s="17">
        <v>0</v>
      </c>
      <c r="W142" s="17">
        <v>0</v>
      </c>
      <c r="X142" s="17">
        <v>0</v>
      </c>
      <c r="Y142" s="17">
        <v>0</v>
      </c>
      <c r="Z142" s="17">
        <v>0</v>
      </c>
      <c r="AA142" s="17">
        <v>0</v>
      </c>
      <c r="AB142" s="17">
        <v>0</v>
      </c>
      <c r="AC142" s="17">
        <v>0</v>
      </c>
      <c r="AD142" s="17">
        <v>0</v>
      </c>
      <c r="AE142" s="17">
        <v>0</v>
      </c>
      <c r="AF142" s="17">
        <v>0</v>
      </c>
      <c r="AG142" s="17">
        <v>0</v>
      </c>
      <c r="AH142" s="17">
        <v>0</v>
      </c>
      <c r="AI142" s="17">
        <v>0</v>
      </c>
      <c r="AJ142" s="17">
        <v>0</v>
      </c>
      <c r="AK142" s="17">
        <v>0</v>
      </c>
      <c r="AL142" s="17">
        <v>0</v>
      </c>
      <c r="AM142" s="17">
        <v>0</v>
      </c>
      <c r="AN142" s="17">
        <v>0</v>
      </c>
      <c r="AO142" s="17">
        <v>0</v>
      </c>
      <c r="AP142" s="18">
        <f t="shared" si="2"/>
        <v>440122.53740000003</v>
      </c>
    </row>
    <row r="143" spans="1:42" ht="15" customHeight="1" x14ac:dyDescent="0.2">
      <c r="A143" s="16" t="s">
        <v>575</v>
      </c>
      <c r="B143" s="16" t="s">
        <v>578</v>
      </c>
      <c r="C143" s="16" t="s">
        <v>309</v>
      </c>
      <c r="D143" s="16" t="s">
        <v>650</v>
      </c>
      <c r="E143" s="17">
        <v>25044</v>
      </c>
      <c r="F143" s="17">
        <v>25438</v>
      </c>
      <c r="G143" s="17">
        <v>25392</v>
      </c>
      <c r="H143" s="17">
        <v>25113</v>
      </c>
      <c r="I143" s="17">
        <v>24730</v>
      </c>
      <c r="J143" s="17">
        <v>24078</v>
      </c>
      <c r="K143" s="17">
        <v>28043</v>
      </c>
      <c r="L143" s="17">
        <v>29990</v>
      </c>
      <c r="M143" s="17">
        <v>22596</v>
      </c>
      <c r="N143" s="17">
        <v>27870</v>
      </c>
      <c r="O143" s="17">
        <v>21550</v>
      </c>
      <c r="P143" s="17">
        <v>161587</v>
      </c>
      <c r="Q143" s="17">
        <v>148857</v>
      </c>
      <c r="R143" s="17">
        <v>0</v>
      </c>
      <c r="S143" s="17">
        <v>0</v>
      </c>
      <c r="T143" s="17">
        <v>0</v>
      </c>
      <c r="U143" s="17">
        <v>0</v>
      </c>
      <c r="V143" s="17">
        <v>0</v>
      </c>
      <c r="W143" s="17">
        <v>0</v>
      </c>
      <c r="X143" s="17">
        <v>0</v>
      </c>
      <c r="Y143" s="17">
        <v>0</v>
      </c>
      <c r="Z143" s="17">
        <v>0</v>
      </c>
      <c r="AA143" s="17">
        <v>0</v>
      </c>
      <c r="AB143" s="17">
        <v>0</v>
      </c>
      <c r="AC143" s="17">
        <v>0</v>
      </c>
      <c r="AD143" s="17">
        <v>0</v>
      </c>
      <c r="AE143" s="17">
        <v>0</v>
      </c>
      <c r="AF143" s="17">
        <v>0</v>
      </c>
      <c r="AG143" s="17">
        <v>0</v>
      </c>
      <c r="AH143" s="17">
        <v>0</v>
      </c>
      <c r="AI143" s="17">
        <v>0</v>
      </c>
      <c r="AJ143" s="17">
        <v>0</v>
      </c>
      <c r="AK143" s="17">
        <v>0</v>
      </c>
      <c r="AL143" s="17">
        <v>0</v>
      </c>
      <c r="AM143" s="17">
        <v>0</v>
      </c>
      <c r="AN143" s="17">
        <v>0</v>
      </c>
      <c r="AO143" s="17">
        <v>0</v>
      </c>
      <c r="AP143" s="18">
        <f t="shared" si="2"/>
        <v>590288</v>
      </c>
    </row>
    <row r="144" spans="1:42" ht="15" customHeight="1" x14ac:dyDescent="0.2">
      <c r="A144" s="16" t="s">
        <v>575</v>
      </c>
      <c r="B144" s="16" t="s">
        <v>578</v>
      </c>
      <c r="C144" s="16" t="s">
        <v>310</v>
      </c>
      <c r="D144" s="16" t="s">
        <v>650</v>
      </c>
      <c r="E144" s="17">
        <v>3178</v>
      </c>
      <c r="F144" s="17">
        <v>3683</v>
      </c>
      <c r="G144" s="17">
        <v>3812</v>
      </c>
      <c r="H144" s="17">
        <v>3843</v>
      </c>
      <c r="I144" s="17">
        <v>3812</v>
      </c>
      <c r="J144" s="17">
        <v>3719</v>
      </c>
      <c r="K144" s="17">
        <v>3601</v>
      </c>
      <c r="L144" s="17">
        <v>3472</v>
      </c>
      <c r="M144" s="17">
        <v>3335</v>
      </c>
      <c r="N144" s="17">
        <v>3758</v>
      </c>
      <c r="O144" s="17">
        <v>4666</v>
      </c>
      <c r="P144" s="17">
        <v>16314</v>
      </c>
      <c r="Q144" s="17">
        <v>13507</v>
      </c>
      <c r="R144" s="17">
        <v>0</v>
      </c>
      <c r="S144" s="17">
        <v>0</v>
      </c>
      <c r="T144" s="17">
        <v>0</v>
      </c>
      <c r="U144" s="17">
        <v>0</v>
      </c>
      <c r="V144" s="17">
        <v>0</v>
      </c>
      <c r="W144" s="17">
        <v>0</v>
      </c>
      <c r="X144" s="17">
        <v>0</v>
      </c>
      <c r="Y144" s="17">
        <v>0</v>
      </c>
      <c r="Z144" s="17">
        <v>0</v>
      </c>
      <c r="AA144" s="17">
        <v>0</v>
      </c>
      <c r="AB144" s="17">
        <v>0</v>
      </c>
      <c r="AC144" s="17">
        <v>0</v>
      </c>
      <c r="AD144" s="17">
        <v>0</v>
      </c>
      <c r="AE144" s="17">
        <v>0</v>
      </c>
      <c r="AF144" s="17">
        <v>0</v>
      </c>
      <c r="AG144" s="17">
        <v>0</v>
      </c>
      <c r="AH144" s="17">
        <v>0</v>
      </c>
      <c r="AI144" s="17">
        <v>0</v>
      </c>
      <c r="AJ144" s="17">
        <v>0</v>
      </c>
      <c r="AK144" s="17">
        <v>0</v>
      </c>
      <c r="AL144" s="17">
        <v>0</v>
      </c>
      <c r="AM144" s="17">
        <v>0</v>
      </c>
      <c r="AN144" s="17">
        <v>0</v>
      </c>
      <c r="AO144" s="17">
        <v>0</v>
      </c>
      <c r="AP144" s="18">
        <f t="shared" si="2"/>
        <v>70700</v>
      </c>
    </row>
    <row r="145" spans="1:42" ht="15" customHeight="1" x14ac:dyDescent="0.2">
      <c r="A145" s="16" t="s">
        <v>575</v>
      </c>
      <c r="B145" s="16" t="s">
        <v>578</v>
      </c>
      <c r="C145" s="16" t="s">
        <v>359</v>
      </c>
      <c r="D145" s="16" t="s">
        <v>650</v>
      </c>
      <c r="E145" s="17">
        <v>1083</v>
      </c>
      <c r="F145" s="17">
        <v>1744</v>
      </c>
      <c r="G145" s="17">
        <v>1926</v>
      </c>
      <c r="H145" s="17">
        <v>1790</v>
      </c>
      <c r="I145" s="17">
        <v>1656</v>
      </c>
      <c r="J145" s="17">
        <v>1520</v>
      </c>
      <c r="K145" s="17">
        <v>1385</v>
      </c>
      <c r="L145" s="17">
        <v>1278</v>
      </c>
      <c r="M145" s="17">
        <v>1182</v>
      </c>
      <c r="N145" s="17">
        <v>1087</v>
      </c>
      <c r="O145" s="17">
        <v>1010</v>
      </c>
      <c r="P145" s="17">
        <v>10385</v>
      </c>
      <c r="Q145" s="17">
        <v>9090</v>
      </c>
      <c r="R145" s="17">
        <v>0</v>
      </c>
      <c r="S145" s="17">
        <v>0</v>
      </c>
      <c r="T145" s="17">
        <v>0</v>
      </c>
      <c r="U145" s="17">
        <v>0</v>
      </c>
      <c r="V145" s="17">
        <v>0</v>
      </c>
      <c r="W145" s="17">
        <v>0</v>
      </c>
      <c r="X145" s="17">
        <v>0</v>
      </c>
      <c r="Y145" s="17">
        <v>0</v>
      </c>
      <c r="Z145" s="17">
        <v>0</v>
      </c>
      <c r="AA145" s="17">
        <v>0</v>
      </c>
      <c r="AB145" s="17">
        <v>0</v>
      </c>
      <c r="AC145" s="17">
        <v>0</v>
      </c>
      <c r="AD145" s="17">
        <v>0</v>
      </c>
      <c r="AE145" s="17">
        <v>0</v>
      </c>
      <c r="AF145" s="17">
        <v>0</v>
      </c>
      <c r="AG145" s="17">
        <v>0</v>
      </c>
      <c r="AH145" s="17">
        <v>0</v>
      </c>
      <c r="AI145" s="17">
        <v>0</v>
      </c>
      <c r="AJ145" s="17">
        <v>0</v>
      </c>
      <c r="AK145" s="17">
        <v>0</v>
      </c>
      <c r="AL145" s="17">
        <v>0</v>
      </c>
      <c r="AM145" s="17">
        <v>0</v>
      </c>
      <c r="AN145" s="17">
        <v>0</v>
      </c>
      <c r="AO145" s="17">
        <v>0</v>
      </c>
      <c r="AP145" s="18">
        <f t="shared" si="2"/>
        <v>35136</v>
      </c>
    </row>
    <row r="146" spans="1:42" ht="15" customHeight="1" x14ac:dyDescent="0.2">
      <c r="A146" s="16" t="s">
        <v>575</v>
      </c>
      <c r="B146" s="16" t="s">
        <v>579</v>
      </c>
      <c r="C146" s="16" t="s">
        <v>408</v>
      </c>
      <c r="D146" s="16" t="s">
        <v>650</v>
      </c>
      <c r="E146" s="17">
        <v>10458</v>
      </c>
      <c r="F146" s="17">
        <v>9701</v>
      </c>
      <c r="G146" s="17">
        <v>8960</v>
      </c>
      <c r="H146" s="17">
        <v>8271</v>
      </c>
      <c r="I146" s="17">
        <v>7704</v>
      </c>
      <c r="J146" s="17">
        <v>7112</v>
      </c>
      <c r="K146" s="17">
        <v>6635</v>
      </c>
      <c r="L146" s="17">
        <v>6156</v>
      </c>
      <c r="M146" s="17">
        <v>5765</v>
      </c>
      <c r="N146" s="17">
        <v>5356</v>
      </c>
      <c r="O146" s="17">
        <v>5006</v>
      </c>
      <c r="P146" s="17">
        <v>4686</v>
      </c>
      <c r="Q146" s="17">
        <v>4398</v>
      </c>
      <c r="R146" s="17">
        <v>4099</v>
      </c>
      <c r="S146" s="17">
        <v>4033</v>
      </c>
      <c r="T146" s="17">
        <v>46385</v>
      </c>
      <c r="U146" s="17">
        <v>0</v>
      </c>
      <c r="V146" s="17">
        <v>0</v>
      </c>
      <c r="W146" s="17">
        <v>0</v>
      </c>
      <c r="X146" s="17">
        <v>0</v>
      </c>
      <c r="Y146" s="17">
        <v>0</v>
      </c>
      <c r="Z146" s="17">
        <v>0</v>
      </c>
      <c r="AA146" s="17">
        <v>0</v>
      </c>
      <c r="AB146" s="17">
        <v>0</v>
      </c>
      <c r="AC146" s="17">
        <v>0</v>
      </c>
      <c r="AD146" s="17">
        <v>0</v>
      </c>
      <c r="AE146" s="17">
        <v>0</v>
      </c>
      <c r="AF146" s="17">
        <v>0</v>
      </c>
      <c r="AG146" s="17">
        <v>0</v>
      </c>
      <c r="AH146" s="17">
        <v>0</v>
      </c>
      <c r="AI146" s="17">
        <v>0</v>
      </c>
      <c r="AJ146" s="17">
        <v>0</v>
      </c>
      <c r="AK146" s="17">
        <v>0</v>
      </c>
      <c r="AL146" s="17">
        <v>0</v>
      </c>
      <c r="AM146" s="17">
        <v>0</v>
      </c>
      <c r="AN146" s="17">
        <v>0</v>
      </c>
      <c r="AO146" s="17">
        <v>0</v>
      </c>
      <c r="AP146" s="18">
        <f t="shared" si="2"/>
        <v>144725</v>
      </c>
    </row>
    <row r="147" spans="1:42" ht="15" customHeight="1" x14ac:dyDescent="0.2">
      <c r="A147" s="16" t="s">
        <v>575</v>
      </c>
      <c r="B147" s="16" t="s">
        <v>580</v>
      </c>
      <c r="C147" s="16" t="s">
        <v>276</v>
      </c>
      <c r="D147" s="16" t="s">
        <v>650</v>
      </c>
      <c r="E147" s="17">
        <v>8411</v>
      </c>
      <c r="F147" s="17">
        <v>9839</v>
      </c>
      <c r="G147" s="17">
        <v>10532</v>
      </c>
      <c r="H147" s="17">
        <v>10738</v>
      </c>
      <c r="I147" s="17">
        <v>10657</v>
      </c>
      <c r="J147" s="17">
        <v>10311</v>
      </c>
      <c r="K147" s="17">
        <v>9867</v>
      </c>
      <c r="L147" s="17">
        <v>9642</v>
      </c>
      <c r="M147" s="17">
        <v>9445</v>
      </c>
      <c r="N147" s="17">
        <v>7864</v>
      </c>
      <c r="O147" s="17">
        <v>7365</v>
      </c>
      <c r="P147" s="17">
        <v>6859</v>
      </c>
      <c r="Q147" s="17">
        <v>6370</v>
      </c>
      <c r="R147" s="17">
        <v>5855</v>
      </c>
      <c r="S147" s="17">
        <v>5378</v>
      </c>
      <c r="T147" s="17">
        <v>4920</v>
      </c>
      <c r="U147" s="17">
        <v>4502</v>
      </c>
      <c r="V147" s="17">
        <v>4084</v>
      </c>
      <c r="W147" s="17">
        <v>3706</v>
      </c>
      <c r="X147" s="17">
        <v>65442</v>
      </c>
      <c r="Y147" s="17">
        <v>0</v>
      </c>
      <c r="Z147" s="17">
        <v>0</v>
      </c>
      <c r="AA147" s="17">
        <v>0</v>
      </c>
      <c r="AB147" s="17">
        <v>0</v>
      </c>
      <c r="AC147" s="17">
        <v>0</v>
      </c>
      <c r="AD147" s="17">
        <v>0</v>
      </c>
      <c r="AE147" s="17">
        <v>0</v>
      </c>
      <c r="AF147" s="17">
        <v>0</v>
      </c>
      <c r="AG147" s="17">
        <v>0</v>
      </c>
      <c r="AH147" s="17">
        <v>0</v>
      </c>
      <c r="AI147" s="17">
        <v>0</v>
      </c>
      <c r="AJ147" s="17">
        <v>0</v>
      </c>
      <c r="AK147" s="17">
        <v>0</v>
      </c>
      <c r="AL147" s="17">
        <v>0</v>
      </c>
      <c r="AM147" s="17">
        <v>0</v>
      </c>
      <c r="AN147" s="17">
        <v>0</v>
      </c>
      <c r="AO147" s="17">
        <v>0</v>
      </c>
      <c r="AP147" s="18">
        <f t="shared" si="2"/>
        <v>211787</v>
      </c>
    </row>
    <row r="148" spans="1:42" ht="15" customHeight="1" x14ac:dyDescent="0.2">
      <c r="A148" s="16" t="s">
        <v>575</v>
      </c>
      <c r="B148" s="16" t="s">
        <v>580</v>
      </c>
      <c r="C148" s="16" t="s">
        <v>281</v>
      </c>
      <c r="D148" s="16" t="s">
        <v>650</v>
      </c>
      <c r="E148" s="17">
        <v>2185</v>
      </c>
      <c r="F148" s="17">
        <v>3856</v>
      </c>
      <c r="G148" s="17">
        <v>3833</v>
      </c>
      <c r="H148" s="17">
        <v>3664</v>
      </c>
      <c r="I148" s="17">
        <v>3419</v>
      </c>
      <c r="J148" s="17">
        <v>3111</v>
      </c>
      <c r="K148" s="17">
        <v>2795</v>
      </c>
      <c r="L148" s="17">
        <v>0</v>
      </c>
      <c r="M148" s="17">
        <v>0</v>
      </c>
      <c r="N148" s="17">
        <v>0</v>
      </c>
      <c r="O148" s="17">
        <v>0</v>
      </c>
      <c r="P148" s="17">
        <v>0</v>
      </c>
      <c r="Q148" s="17">
        <v>0</v>
      </c>
      <c r="R148" s="17">
        <v>0</v>
      </c>
      <c r="S148" s="17">
        <v>0</v>
      </c>
      <c r="T148" s="17">
        <v>0</v>
      </c>
      <c r="U148" s="17">
        <v>0</v>
      </c>
      <c r="V148" s="17">
        <v>0</v>
      </c>
      <c r="W148" s="17">
        <v>0</v>
      </c>
      <c r="X148" s="17">
        <v>0</v>
      </c>
      <c r="Y148" s="17">
        <v>0</v>
      </c>
      <c r="Z148" s="17">
        <v>0</v>
      </c>
      <c r="AA148" s="17">
        <v>0</v>
      </c>
      <c r="AB148" s="17">
        <v>0</v>
      </c>
      <c r="AC148" s="17">
        <v>0</v>
      </c>
      <c r="AD148" s="17">
        <v>0</v>
      </c>
      <c r="AE148" s="17">
        <v>0</v>
      </c>
      <c r="AF148" s="17">
        <v>0</v>
      </c>
      <c r="AG148" s="17">
        <v>0</v>
      </c>
      <c r="AH148" s="17">
        <v>0</v>
      </c>
      <c r="AI148" s="17">
        <v>0</v>
      </c>
      <c r="AJ148" s="17">
        <v>0</v>
      </c>
      <c r="AK148" s="17">
        <v>0</v>
      </c>
      <c r="AL148" s="17">
        <v>0</v>
      </c>
      <c r="AM148" s="17">
        <v>0</v>
      </c>
      <c r="AN148" s="17">
        <v>0</v>
      </c>
      <c r="AO148" s="17">
        <v>0</v>
      </c>
      <c r="AP148" s="18">
        <f t="shared" si="2"/>
        <v>22863</v>
      </c>
    </row>
    <row r="149" spans="1:42" ht="15" customHeight="1" x14ac:dyDescent="0.2">
      <c r="A149" s="16" t="s">
        <v>575</v>
      </c>
      <c r="B149" s="16" t="s">
        <v>581</v>
      </c>
      <c r="C149" s="16" t="s">
        <v>147</v>
      </c>
      <c r="D149" s="16" t="s">
        <v>650</v>
      </c>
      <c r="E149" s="17">
        <v>30</v>
      </c>
      <c r="F149" s="17">
        <v>321</v>
      </c>
      <c r="G149" s="17">
        <v>572</v>
      </c>
      <c r="H149" s="17">
        <v>734</v>
      </c>
      <c r="I149" s="17">
        <v>792</v>
      </c>
      <c r="J149" s="17">
        <v>689</v>
      </c>
      <c r="K149" s="17">
        <v>618</v>
      </c>
      <c r="L149" s="17">
        <v>569</v>
      </c>
      <c r="M149" s="17">
        <v>537</v>
      </c>
      <c r="N149" s="17">
        <v>507</v>
      </c>
      <c r="O149" s="17">
        <v>483</v>
      </c>
      <c r="P149" s="17">
        <v>465</v>
      </c>
      <c r="Q149" s="17">
        <v>446</v>
      </c>
      <c r="R149" s="17">
        <v>431</v>
      </c>
      <c r="S149" s="17">
        <v>413</v>
      </c>
      <c r="T149" s="17">
        <v>394</v>
      </c>
      <c r="U149" s="17">
        <v>515</v>
      </c>
      <c r="V149" s="17">
        <v>497</v>
      </c>
      <c r="W149" s="17">
        <v>481</v>
      </c>
      <c r="X149" s="17">
        <v>462</v>
      </c>
      <c r="Y149" s="17">
        <v>445</v>
      </c>
      <c r="Z149" s="17">
        <v>428</v>
      </c>
      <c r="AA149" s="17">
        <v>412</v>
      </c>
      <c r="AB149" s="17">
        <v>400</v>
      </c>
      <c r="AC149" s="17">
        <v>389</v>
      </c>
      <c r="AD149" s="17">
        <v>378</v>
      </c>
      <c r="AE149" s="17">
        <v>365</v>
      </c>
      <c r="AF149" s="17">
        <v>355</v>
      </c>
      <c r="AG149" s="17">
        <v>0</v>
      </c>
      <c r="AH149" s="17">
        <v>0</v>
      </c>
      <c r="AI149" s="17">
        <v>0</v>
      </c>
      <c r="AJ149" s="17">
        <v>0</v>
      </c>
      <c r="AK149" s="17">
        <v>0</v>
      </c>
      <c r="AL149" s="17">
        <v>0</v>
      </c>
      <c r="AM149" s="17">
        <v>0</v>
      </c>
      <c r="AN149" s="17">
        <v>0</v>
      </c>
      <c r="AO149" s="17">
        <v>0</v>
      </c>
      <c r="AP149" s="18">
        <f t="shared" si="2"/>
        <v>13128</v>
      </c>
    </row>
    <row r="150" spans="1:42" ht="15" customHeight="1" x14ac:dyDescent="0.2">
      <c r="A150" s="16" t="s">
        <v>575</v>
      </c>
      <c r="B150" s="16" t="s">
        <v>581</v>
      </c>
      <c r="C150" s="16" t="s">
        <v>303</v>
      </c>
      <c r="D150" s="16" t="s">
        <v>650</v>
      </c>
      <c r="E150" s="17">
        <v>0</v>
      </c>
      <c r="F150" s="17">
        <v>0</v>
      </c>
      <c r="G150" s="17">
        <v>154</v>
      </c>
      <c r="H150" s="17">
        <v>796</v>
      </c>
      <c r="I150" s="17">
        <v>1864</v>
      </c>
      <c r="J150" s="17">
        <v>2052</v>
      </c>
      <c r="K150" s="17">
        <v>1712</v>
      </c>
      <c r="L150" s="17">
        <v>1446</v>
      </c>
      <c r="M150" s="17">
        <v>1247</v>
      </c>
      <c r="N150" s="17">
        <v>1063</v>
      </c>
      <c r="O150" s="17">
        <v>896</v>
      </c>
      <c r="P150" s="17">
        <v>773</v>
      </c>
      <c r="Q150" s="17">
        <v>688</v>
      </c>
      <c r="R150" s="17">
        <v>621</v>
      </c>
      <c r="S150" s="17">
        <v>574</v>
      </c>
      <c r="T150" s="17">
        <v>531</v>
      </c>
      <c r="U150" s="17">
        <v>1160</v>
      </c>
      <c r="V150" s="17">
        <v>1061</v>
      </c>
      <c r="W150" s="17">
        <v>911</v>
      </c>
      <c r="X150" s="17">
        <v>758</v>
      </c>
      <c r="Y150" s="17">
        <v>711</v>
      </c>
      <c r="Z150" s="17">
        <v>668</v>
      </c>
      <c r="AA150" s="17">
        <v>632</v>
      </c>
      <c r="AB150" s="17">
        <v>593</v>
      </c>
      <c r="AC150" s="17">
        <v>487</v>
      </c>
      <c r="AD150" s="17">
        <v>414</v>
      </c>
      <c r="AE150" s="17">
        <v>402</v>
      </c>
      <c r="AF150" s="17">
        <v>399</v>
      </c>
      <c r="AG150" s="17">
        <v>0</v>
      </c>
      <c r="AH150" s="17">
        <v>0</v>
      </c>
      <c r="AI150" s="17">
        <v>0</v>
      </c>
      <c r="AJ150" s="17">
        <v>0</v>
      </c>
      <c r="AK150" s="17">
        <v>0</v>
      </c>
      <c r="AL150" s="17">
        <v>0</v>
      </c>
      <c r="AM150" s="17">
        <v>0</v>
      </c>
      <c r="AN150" s="17">
        <v>0</v>
      </c>
      <c r="AO150" s="17">
        <v>0</v>
      </c>
      <c r="AP150" s="18">
        <f t="shared" si="2"/>
        <v>22613</v>
      </c>
    </row>
    <row r="151" spans="1:42" ht="15" customHeight="1" x14ac:dyDescent="0.2">
      <c r="A151" s="16" t="s">
        <v>575</v>
      </c>
      <c r="B151" s="16" t="s">
        <v>407</v>
      </c>
      <c r="C151" s="16" t="s">
        <v>407</v>
      </c>
      <c r="D151" s="16" t="s">
        <v>650</v>
      </c>
      <c r="E151" s="17">
        <v>6986</v>
      </c>
      <c r="F151" s="17">
        <v>10464</v>
      </c>
      <c r="G151" s="17">
        <v>12977</v>
      </c>
      <c r="H151" s="17">
        <v>14708</v>
      </c>
      <c r="I151" s="17">
        <v>59721</v>
      </c>
      <c r="J151" s="17">
        <v>53600</v>
      </c>
      <c r="K151" s="17">
        <v>48241</v>
      </c>
      <c r="L151" s="17">
        <v>0</v>
      </c>
      <c r="M151" s="17">
        <v>0</v>
      </c>
      <c r="N151" s="17">
        <v>0</v>
      </c>
      <c r="O151" s="17">
        <v>0</v>
      </c>
      <c r="P151" s="17">
        <v>0</v>
      </c>
      <c r="Q151" s="17">
        <v>0</v>
      </c>
      <c r="R151" s="17">
        <v>0</v>
      </c>
      <c r="S151" s="17">
        <v>0</v>
      </c>
      <c r="T151" s="17">
        <v>0</v>
      </c>
      <c r="U151" s="17">
        <v>0</v>
      </c>
      <c r="V151" s="17">
        <v>0</v>
      </c>
      <c r="W151" s="17">
        <v>0</v>
      </c>
      <c r="X151" s="17">
        <v>0</v>
      </c>
      <c r="Y151" s="17">
        <v>0</v>
      </c>
      <c r="Z151" s="17">
        <v>0</v>
      </c>
      <c r="AA151" s="17">
        <v>0</v>
      </c>
      <c r="AB151" s="17">
        <v>0</v>
      </c>
      <c r="AC151" s="17">
        <v>0</v>
      </c>
      <c r="AD151" s="17">
        <v>0</v>
      </c>
      <c r="AE151" s="17">
        <v>0</v>
      </c>
      <c r="AF151" s="17">
        <v>0</v>
      </c>
      <c r="AG151" s="17">
        <v>0</v>
      </c>
      <c r="AH151" s="17">
        <v>0</v>
      </c>
      <c r="AI151" s="17">
        <v>0</v>
      </c>
      <c r="AJ151" s="17">
        <v>0</v>
      </c>
      <c r="AK151" s="17">
        <v>0</v>
      </c>
      <c r="AL151" s="17">
        <v>0</v>
      </c>
      <c r="AM151" s="17">
        <v>0</v>
      </c>
      <c r="AN151" s="17">
        <v>0</v>
      </c>
      <c r="AO151" s="17">
        <v>0</v>
      </c>
      <c r="AP151" s="18">
        <f t="shared" si="2"/>
        <v>206697</v>
      </c>
    </row>
    <row r="152" spans="1:42" ht="15" customHeight="1" x14ac:dyDescent="0.2">
      <c r="A152" s="16" t="s">
        <v>575</v>
      </c>
      <c r="B152" s="16" t="s">
        <v>582</v>
      </c>
      <c r="C152" s="16" t="s">
        <v>262</v>
      </c>
      <c r="D152" s="16" t="s">
        <v>650</v>
      </c>
      <c r="E152" s="17">
        <v>6736</v>
      </c>
      <c r="F152" s="17">
        <v>9945</v>
      </c>
      <c r="G152" s="17">
        <v>11864</v>
      </c>
      <c r="H152" s="17">
        <v>12828</v>
      </c>
      <c r="I152" s="17">
        <v>13148</v>
      </c>
      <c r="J152" s="17">
        <v>12931</v>
      </c>
      <c r="K152" s="17">
        <v>12430</v>
      </c>
      <c r="L152" s="17">
        <v>11720</v>
      </c>
      <c r="M152" s="17">
        <v>10928</v>
      </c>
      <c r="N152" s="17">
        <v>10015</v>
      </c>
      <c r="O152" s="17">
        <v>9123</v>
      </c>
      <c r="P152" s="17">
        <v>8250</v>
      </c>
      <c r="Q152" s="17">
        <v>7428</v>
      </c>
      <c r="R152" s="17">
        <v>6617</v>
      </c>
      <c r="S152" s="17">
        <v>5889</v>
      </c>
      <c r="T152" s="17">
        <v>7499</v>
      </c>
      <c r="U152" s="17">
        <v>7378</v>
      </c>
      <c r="V152" s="17">
        <v>0</v>
      </c>
      <c r="W152" s="17">
        <v>0</v>
      </c>
      <c r="X152" s="17">
        <v>0</v>
      </c>
      <c r="Y152" s="17">
        <v>0</v>
      </c>
      <c r="Z152" s="17">
        <v>0</v>
      </c>
      <c r="AA152" s="17">
        <v>0</v>
      </c>
      <c r="AB152" s="17">
        <v>0</v>
      </c>
      <c r="AC152" s="17">
        <v>0</v>
      </c>
      <c r="AD152" s="17">
        <v>0</v>
      </c>
      <c r="AE152" s="17">
        <v>0</v>
      </c>
      <c r="AF152" s="17">
        <v>0</v>
      </c>
      <c r="AG152" s="17">
        <v>0</v>
      </c>
      <c r="AH152" s="17">
        <v>0</v>
      </c>
      <c r="AI152" s="17">
        <v>0</v>
      </c>
      <c r="AJ152" s="17">
        <v>0</v>
      </c>
      <c r="AK152" s="17">
        <v>0</v>
      </c>
      <c r="AL152" s="17">
        <v>0</v>
      </c>
      <c r="AM152" s="17">
        <v>0</v>
      </c>
      <c r="AN152" s="17">
        <v>0</v>
      </c>
      <c r="AO152" s="17">
        <v>0</v>
      </c>
      <c r="AP152" s="18">
        <f t="shared" si="2"/>
        <v>164729</v>
      </c>
    </row>
    <row r="153" spans="1:42" ht="24" customHeight="1" x14ac:dyDescent="0.2">
      <c r="A153" s="16" t="s">
        <v>584</v>
      </c>
      <c r="B153" s="16" t="s">
        <v>585</v>
      </c>
      <c r="C153" s="16" t="s">
        <v>242</v>
      </c>
      <c r="D153" s="16" t="s">
        <v>650</v>
      </c>
      <c r="E153" s="17">
        <v>516.19140000000004</v>
      </c>
      <c r="F153" s="17">
        <v>3545.0063</v>
      </c>
      <c r="G153" s="17">
        <v>20979.980899999999</v>
      </c>
      <c r="H153" s="17">
        <v>22161.713899999999</v>
      </c>
      <c r="I153" s="17">
        <v>22305.267800000001</v>
      </c>
      <c r="J153" s="17">
        <v>21746.972300000001</v>
      </c>
      <c r="K153" s="17">
        <v>20734.0062</v>
      </c>
      <c r="L153" s="17">
        <v>31806.541000000001</v>
      </c>
      <c r="M153" s="17">
        <v>6745.1459000000004</v>
      </c>
      <c r="N153" s="17">
        <v>2342.4137999999998</v>
      </c>
      <c r="O153" s="17">
        <v>2294.0059999999999</v>
      </c>
      <c r="P153" s="17">
        <v>3064.5891000000001</v>
      </c>
      <c r="Q153" s="17">
        <v>11698.191500000001</v>
      </c>
      <c r="R153" s="17">
        <v>10934.2294</v>
      </c>
      <c r="S153" s="17">
        <v>9413.9825999999994</v>
      </c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8">
        <f t="shared" si="2"/>
        <v>190288.23810000002</v>
      </c>
    </row>
    <row r="154" spans="1:42" ht="24" customHeight="1" x14ac:dyDescent="0.2">
      <c r="A154" s="16" t="s">
        <v>584</v>
      </c>
      <c r="B154" s="16" t="s">
        <v>585</v>
      </c>
      <c r="C154" s="16" t="s">
        <v>295</v>
      </c>
      <c r="D154" s="16" t="s">
        <v>650</v>
      </c>
      <c r="E154" s="17">
        <v>2342.2977999999998</v>
      </c>
      <c r="F154" s="17">
        <v>6151.6293999999998</v>
      </c>
      <c r="G154" s="17">
        <v>42142.080000000002</v>
      </c>
      <c r="H154" s="17">
        <v>22355.026999999998</v>
      </c>
      <c r="I154" s="17">
        <v>23293.191999999999</v>
      </c>
      <c r="J154" s="17">
        <v>16470.251799999998</v>
      </c>
      <c r="K154" s="17">
        <v>11851.9961</v>
      </c>
      <c r="L154" s="17">
        <v>12001.8588</v>
      </c>
      <c r="M154" s="17">
        <v>23240.608800000002</v>
      </c>
      <c r="N154" s="17">
        <v>19658.5373</v>
      </c>
      <c r="O154" s="17">
        <v>14993.670400000001</v>
      </c>
      <c r="P154" s="17">
        <v>22325.943899999998</v>
      </c>
      <c r="Q154" s="17">
        <v>18421.942200000001</v>
      </c>
      <c r="R154" s="17">
        <v>14928.0321</v>
      </c>
      <c r="S154" s="17">
        <v>13638.5671</v>
      </c>
      <c r="T154" s="17">
        <v>12460.4845</v>
      </c>
      <c r="U154" s="17">
        <v>11384.1633</v>
      </c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8">
        <f t="shared" si="2"/>
        <v>287660.28249999997</v>
      </c>
    </row>
    <row r="155" spans="1:42" ht="15" customHeight="1" x14ac:dyDescent="0.2">
      <c r="A155" s="16" t="s">
        <v>586</v>
      </c>
      <c r="B155" s="16" t="s">
        <v>587</v>
      </c>
      <c r="C155" s="16" t="s">
        <v>422</v>
      </c>
      <c r="D155" s="16" t="s">
        <v>650</v>
      </c>
      <c r="E155" s="17">
        <v>14705.1176</v>
      </c>
      <c r="F155" s="17">
        <v>38488.139199999998</v>
      </c>
      <c r="G155" s="17">
        <v>120783.03109999999</v>
      </c>
      <c r="H155" s="17">
        <v>102455.8159</v>
      </c>
      <c r="I155" s="17">
        <v>42915.703200000004</v>
      </c>
      <c r="J155" s="17">
        <v>57619.645499999999</v>
      </c>
      <c r="K155" s="17">
        <v>60111.253499999999</v>
      </c>
      <c r="L155" s="17">
        <v>27266.0507</v>
      </c>
      <c r="M155" s="17">
        <v>33894.834499999997</v>
      </c>
      <c r="N155" s="17">
        <v>31778.628100000002</v>
      </c>
      <c r="O155" s="17">
        <v>16244.968699999999</v>
      </c>
      <c r="P155" s="17">
        <v>14643.829</v>
      </c>
      <c r="Q155" s="17">
        <v>13268.289000000001</v>
      </c>
      <c r="R155" s="17">
        <v>12077.867399999999</v>
      </c>
      <c r="S155" s="17">
        <v>4718.4952000000003</v>
      </c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8">
        <f t="shared" si="2"/>
        <v>590971.66859999998</v>
      </c>
    </row>
    <row r="156" spans="1:42" ht="24" customHeight="1" x14ac:dyDescent="0.2">
      <c r="A156" s="16" t="s">
        <v>588</v>
      </c>
      <c r="B156" s="16" t="s">
        <v>379</v>
      </c>
      <c r="C156" s="16" t="s">
        <v>379</v>
      </c>
      <c r="D156" s="16" t="s">
        <v>650</v>
      </c>
      <c r="E156" s="17">
        <v>598.51850000000002</v>
      </c>
      <c r="F156" s="17">
        <v>30097.917000000001</v>
      </c>
      <c r="G156" s="17">
        <v>202428.61259999999</v>
      </c>
      <c r="H156" s="17">
        <v>192859.9528</v>
      </c>
      <c r="I156" s="17">
        <v>327031.45140000002</v>
      </c>
      <c r="J156" s="17">
        <v>280319.77350000001</v>
      </c>
      <c r="K156" s="17">
        <v>198172.42860000001</v>
      </c>
      <c r="L156" s="17">
        <v>150911.45000000001</v>
      </c>
      <c r="M156" s="17">
        <v>119969.5191</v>
      </c>
      <c r="N156" s="17">
        <v>98468.664399999994</v>
      </c>
      <c r="O156" s="17">
        <v>82137.255000000005</v>
      </c>
      <c r="P156" s="17">
        <v>69879.951700000005</v>
      </c>
      <c r="Q156" s="17">
        <v>60287.095699999998</v>
      </c>
      <c r="R156" s="17">
        <v>52773.517800000001</v>
      </c>
      <c r="S156" s="17">
        <v>46416.9928</v>
      </c>
      <c r="T156" s="17">
        <v>41308.706200000001</v>
      </c>
      <c r="U156" s="17">
        <v>37059.213400000001</v>
      </c>
      <c r="V156" s="17">
        <v>33579.733500000002</v>
      </c>
      <c r="W156" s="17">
        <v>30459.441699999999</v>
      </c>
      <c r="X156" s="17">
        <v>27870.0226</v>
      </c>
      <c r="Y156" s="17">
        <v>25639.4774</v>
      </c>
      <c r="Z156" s="17">
        <v>23769.778900000001</v>
      </c>
      <c r="AA156" s="17">
        <v>22016.132900000001</v>
      </c>
      <c r="AB156" s="17">
        <v>20533.347699999998</v>
      </c>
      <c r="AC156" s="17">
        <v>19224.129099999998</v>
      </c>
      <c r="AD156" s="17">
        <v>18111.608400000001</v>
      </c>
      <c r="AE156" s="17">
        <v>17025.7035</v>
      </c>
      <c r="AF156" s="17">
        <v>16097.0051</v>
      </c>
      <c r="AG156" s="17">
        <v>15261.177799999999</v>
      </c>
      <c r="AH156" s="17">
        <v>14545.549000000001</v>
      </c>
      <c r="AI156" s="17">
        <v>15168.428</v>
      </c>
      <c r="AJ156" s="17">
        <v>16284.341</v>
      </c>
      <c r="AK156" s="17">
        <v>15699.5342</v>
      </c>
      <c r="AL156" s="17">
        <v>16628.2176</v>
      </c>
      <c r="AM156" s="17">
        <v>16202.890299999999</v>
      </c>
      <c r="AN156" s="17">
        <v>15513.825199999999</v>
      </c>
      <c r="AO156" s="17">
        <v>85674.960999999996</v>
      </c>
      <c r="AP156" s="18">
        <f t="shared" si="2"/>
        <v>2456026.3254</v>
      </c>
    </row>
    <row r="157" spans="1:42" ht="24" customHeight="1" x14ac:dyDescent="0.2">
      <c r="A157" s="16" t="s">
        <v>588</v>
      </c>
      <c r="B157" s="16" t="s">
        <v>589</v>
      </c>
      <c r="C157" s="16" t="s">
        <v>420</v>
      </c>
      <c r="D157" s="16" t="s">
        <v>650</v>
      </c>
      <c r="E157" s="17">
        <v>1350.5393999999999</v>
      </c>
      <c r="F157" s="17">
        <v>25237.298999999999</v>
      </c>
      <c r="G157" s="17">
        <v>24154.905599999998</v>
      </c>
      <c r="H157" s="17">
        <v>21744.652300000002</v>
      </c>
      <c r="I157" s="17">
        <v>20617.481400000001</v>
      </c>
      <c r="J157" s="17">
        <v>20163.508000000002</v>
      </c>
      <c r="K157" s="17">
        <v>20148.145400000001</v>
      </c>
      <c r="L157" s="17">
        <v>20387.148700000002</v>
      </c>
      <c r="M157" s="17">
        <v>20838.4136</v>
      </c>
      <c r="N157" s="17">
        <v>21279.053199999998</v>
      </c>
      <c r="O157" s="17">
        <v>21796.815200000001</v>
      </c>
      <c r="P157" s="17">
        <v>22313.457399999999</v>
      </c>
      <c r="Q157" s="17">
        <v>22880.307199999999</v>
      </c>
      <c r="R157" s="17">
        <v>23297.485499999999</v>
      </c>
      <c r="S157" s="17">
        <v>23758.8341</v>
      </c>
      <c r="T157" s="17">
        <v>24165.495999999999</v>
      </c>
      <c r="U157" s="17">
        <v>24602.4247</v>
      </c>
      <c r="V157" s="17">
        <v>24875.299599999998</v>
      </c>
      <c r="W157" s="17">
        <v>25145.031900000002</v>
      </c>
      <c r="X157" s="17">
        <v>25392.513599999998</v>
      </c>
      <c r="Y157" s="17">
        <v>25661.8475</v>
      </c>
      <c r="Z157" s="17">
        <v>25745.4018</v>
      </c>
      <c r="AA157" s="17">
        <v>25854.083900000001</v>
      </c>
      <c r="AB157" s="17">
        <v>25948.6093</v>
      </c>
      <c r="AC157" s="17">
        <v>26052.8583</v>
      </c>
      <c r="AD157" s="17">
        <v>26009.082699999999</v>
      </c>
      <c r="AE157" s="17">
        <v>25965.238300000001</v>
      </c>
      <c r="AF157" s="17">
        <v>25925.646100000002</v>
      </c>
      <c r="AG157" s="17">
        <v>25912.575199999999</v>
      </c>
      <c r="AH157" s="17">
        <v>26341.8272</v>
      </c>
      <c r="AI157" s="17">
        <v>27710.0772</v>
      </c>
      <c r="AJ157" s="17">
        <v>27781.607899999999</v>
      </c>
      <c r="AK157" s="17">
        <v>27566.065699999999</v>
      </c>
      <c r="AL157" s="17">
        <v>27199.120299999999</v>
      </c>
      <c r="AM157" s="17">
        <v>26877.6476</v>
      </c>
      <c r="AN157" s="17">
        <v>62330.275999999998</v>
      </c>
      <c r="AO157" s="17">
        <v>382638.08299999998</v>
      </c>
      <c r="AP157" s="18">
        <f t="shared" si="2"/>
        <v>1275668.8597999997</v>
      </c>
    </row>
    <row r="158" spans="1:42" ht="15" customHeight="1" x14ac:dyDescent="0.2">
      <c r="A158" s="16" t="s">
        <v>590</v>
      </c>
      <c r="B158" s="16" t="s">
        <v>127</v>
      </c>
      <c r="C158" s="16" t="s">
        <v>127</v>
      </c>
      <c r="D158" s="16" t="s">
        <v>650</v>
      </c>
      <c r="E158" s="17">
        <v>10444</v>
      </c>
      <c r="F158" s="17">
        <v>9745</v>
      </c>
      <c r="G158" s="17">
        <v>9122</v>
      </c>
      <c r="H158" s="17">
        <v>8447</v>
      </c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8">
        <f t="shared" si="2"/>
        <v>37758</v>
      </c>
    </row>
    <row r="159" spans="1:42" ht="15" customHeight="1" x14ac:dyDescent="0.2">
      <c r="A159" s="16" t="s">
        <v>590</v>
      </c>
      <c r="B159" s="16" t="s">
        <v>591</v>
      </c>
      <c r="C159" s="16" t="s">
        <v>425</v>
      </c>
      <c r="D159" s="16" t="s">
        <v>650</v>
      </c>
      <c r="E159" s="17">
        <v>42043</v>
      </c>
      <c r="F159" s="17">
        <v>38401</v>
      </c>
      <c r="G159" s="17">
        <v>31176</v>
      </c>
      <c r="H159" s="17">
        <v>32221</v>
      </c>
      <c r="I159" s="17">
        <v>29592</v>
      </c>
      <c r="J159" s="17">
        <v>18182</v>
      </c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8">
        <f t="shared" si="2"/>
        <v>191615</v>
      </c>
    </row>
    <row r="160" spans="1:42" ht="15" customHeight="1" x14ac:dyDescent="0.2">
      <c r="A160" s="16" t="s">
        <v>590</v>
      </c>
      <c r="B160" s="16" t="s">
        <v>304</v>
      </c>
      <c r="C160" s="16" t="s">
        <v>304</v>
      </c>
      <c r="D160" s="16" t="s">
        <v>650</v>
      </c>
      <c r="E160" s="17">
        <v>112339.35</v>
      </c>
      <c r="F160" s="17">
        <v>100611.58</v>
      </c>
      <c r="G160" s="17">
        <v>88612.84</v>
      </c>
      <c r="H160" s="17">
        <v>78819.87</v>
      </c>
      <c r="I160" s="17">
        <v>64340.91</v>
      </c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8">
        <f t="shared" si="2"/>
        <v>444724.55000000005</v>
      </c>
    </row>
    <row r="161" spans="1:42" ht="15" customHeight="1" x14ac:dyDescent="0.2">
      <c r="A161" s="16" t="s">
        <v>590</v>
      </c>
      <c r="B161" s="16" t="s">
        <v>377</v>
      </c>
      <c r="C161" s="16" t="s">
        <v>377</v>
      </c>
      <c r="D161" s="16" t="s">
        <v>650</v>
      </c>
      <c r="E161" s="17">
        <v>8573</v>
      </c>
      <c r="F161" s="17">
        <v>7233</v>
      </c>
      <c r="G161" s="17">
        <v>5544</v>
      </c>
      <c r="H161" s="17">
        <v>4717</v>
      </c>
      <c r="I161" s="17">
        <v>4075</v>
      </c>
      <c r="J161" s="17">
        <v>3506</v>
      </c>
      <c r="K161" s="17">
        <v>1523</v>
      </c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8">
        <f t="shared" si="2"/>
        <v>35171</v>
      </c>
    </row>
    <row r="162" spans="1:42" ht="15" customHeight="1" x14ac:dyDescent="0.2">
      <c r="A162" s="16" t="s">
        <v>592</v>
      </c>
      <c r="B162" s="16" t="s">
        <v>593</v>
      </c>
      <c r="C162" s="16" t="s">
        <v>186</v>
      </c>
      <c r="D162" s="16" t="s">
        <v>650</v>
      </c>
      <c r="E162" s="17">
        <v>92010</v>
      </c>
      <c r="F162" s="17">
        <v>121422</v>
      </c>
      <c r="G162" s="17">
        <v>152071</v>
      </c>
      <c r="H162" s="17">
        <v>112823</v>
      </c>
      <c r="I162" s="17">
        <v>53105</v>
      </c>
      <c r="J162" s="17">
        <v>31952</v>
      </c>
      <c r="K162" s="17">
        <v>22933</v>
      </c>
      <c r="L162" s="17">
        <v>16724</v>
      </c>
      <c r="M162" s="17">
        <v>13545</v>
      </c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8">
        <f t="shared" si="2"/>
        <v>616585</v>
      </c>
    </row>
    <row r="163" spans="1:42" ht="15" customHeight="1" x14ac:dyDescent="0.2">
      <c r="A163" s="16" t="s">
        <v>592</v>
      </c>
      <c r="B163" s="16" t="s">
        <v>593</v>
      </c>
      <c r="C163" s="16" t="s">
        <v>224</v>
      </c>
      <c r="D163" s="16" t="s">
        <v>650</v>
      </c>
      <c r="E163" s="17">
        <v>0</v>
      </c>
      <c r="F163" s="17">
        <v>286105</v>
      </c>
      <c r="G163" s="17">
        <v>568518</v>
      </c>
      <c r="H163" s="17">
        <v>257530</v>
      </c>
      <c r="I163" s="17">
        <v>152110</v>
      </c>
      <c r="J163" s="17">
        <v>102664</v>
      </c>
      <c r="K163" s="17">
        <v>132889</v>
      </c>
      <c r="L163" s="17">
        <v>87588</v>
      </c>
      <c r="M163" s="17">
        <v>60658</v>
      </c>
      <c r="N163" s="17">
        <v>45120</v>
      </c>
      <c r="O163" s="17">
        <v>37707</v>
      </c>
      <c r="P163" s="17">
        <v>31965</v>
      </c>
      <c r="Q163" s="17">
        <v>24760</v>
      </c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8">
        <f t="shared" si="2"/>
        <v>1787614</v>
      </c>
    </row>
    <row r="164" spans="1:42" ht="15" customHeight="1" x14ac:dyDescent="0.2">
      <c r="A164" s="16" t="s">
        <v>594</v>
      </c>
      <c r="B164" s="16" t="s">
        <v>595</v>
      </c>
      <c r="C164" s="16" t="s">
        <v>298</v>
      </c>
      <c r="D164" s="16" t="s">
        <v>650</v>
      </c>
      <c r="E164" s="17">
        <v>322.8372</v>
      </c>
      <c r="F164" s="17">
        <v>13972.645500000001</v>
      </c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8">
        <f t="shared" si="2"/>
        <v>14295.4827</v>
      </c>
    </row>
    <row r="165" spans="1:42" ht="15" customHeight="1" x14ac:dyDescent="0.2">
      <c r="A165" s="16" t="s">
        <v>594</v>
      </c>
      <c r="B165" s="16" t="s">
        <v>595</v>
      </c>
      <c r="C165" s="16" t="s">
        <v>356</v>
      </c>
      <c r="D165" s="16" t="s">
        <v>650</v>
      </c>
      <c r="E165" s="17">
        <v>126.29510000000001</v>
      </c>
      <c r="F165" s="17">
        <v>5466.1507000000001</v>
      </c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8">
        <f t="shared" si="2"/>
        <v>5592.4458000000004</v>
      </c>
    </row>
    <row r="166" spans="1:42" ht="15" customHeight="1" x14ac:dyDescent="0.2">
      <c r="A166" s="16" t="s">
        <v>594</v>
      </c>
      <c r="B166" s="16" t="s">
        <v>596</v>
      </c>
      <c r="C166" s="16" t="s">
        <v>120</v>
      </c>
      <c r="D166" s="16" t="s">
        <v>650</v>
      </c>
      <c r="E166" s="17">
        <v>1731.6148000000001</v>
      </c>
      <c r="F166" s="17">
        <v>13402.893400000001</v>
      </c>
      <c r="G166" s="17">
        <v>8761.1525000000001</v>
      </c>
      <c r="H166" s="17">
        <v>5936.9558999999999</v>
      </c>
      <c r="I166" s="17">
        <v>4379.9642000000003</v>
      </c>
      <c r="J166" s="17">
        <v>3474.4571000000001</v>
      </c>
      <c r="K166" s="17">
        <v>2498.3514</v>
      </c>
      <c r="L166" s="17">
        <v>1319.914</v>
      </c>
      <c r="M166" s="17">
        <v>10216.425999999999</v>
      </c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8">
        <f t="shared" si="2"/>
        <v>51721.729299999999</v>
      </c>
    </row>
    <row r="167" spans="1:42" ht="15" customHeight="1" x14ac:dyDescent="0.2">
      <c r="A167" s="16" t="s">
        <v>594</v>
      </c>
      <c r="B167" s="16" t="s">
        <v>596</v>
      </c>
      <c r="C167" s="16" t="s">
        <v>136</v>
      </c>
      <c r="D167" s="16" t="s">
        <v>650</v>
      </c>
      <c r="E167" s="17">
        <v>1373.7778000000001</v>
      </c>
      <c r="F167" s="17">
        <v>36381.3963</v>
      </c>
      <c r="G167" s="17">
        <v>27666.573499999999</v>
      </c>
      <c r="H167" s="17">
        <v>20497.562000000002</v>
      </c>
      <c r="I167" s="17">
        <v>16357.180700000001</v>
      </c>
      <c r="J167" s="17">
        <v>13781.373299999999</v>
      </c>
      <c r="K167" s="17">
        <v>12198.652700000001</v>
      </c>
      <c r="L167" s="17">
        <v>11159.12</v>
      </c>
      <c r="M167" s="17">
        <v>43847.941899999998</v>
      </c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8">
        <f t="shared" si="2"/>
        <v>183263.57820000002</v>
      </c>
    </row>
    <row r="168" spans="1:42" ht="15" customHeight="1" x14ac:dyDescent="0.2">
      <c r="A168" s="16" t="s">
        <v>594</v>
      </c>
      <c r="B168" s="16" t="s">
        <v>596</v>
      </c>
      <c r="C168" s="16" t="s">
        <v>416</v>
      </c>
      <c r="D168" s="16" t="s">
        <v>650</v>
      </c>
      <c r="E168" s="17">
        <v>25646.4355</v>
      </c>
      <c r="F168" s="17">
        <v>62686.387300000002</v>
      </c>
      <c r="G168" s="17">
        <v>40414.716500000002</v>
      </c>
      <c r="H168" s="17">
        <v>27720.3413</v>
      </c>
      <c r="I168" s="17">
        <v>20259.432400000002</v>
      </c>
      <c r="J168" s="17">
        <v>15565.3809</v>
      </c>
      <c r="K168" s="17">
        <v>12598.3307</v>
      </c>
      <c r="L168" s="17">
        <v>10615.8842</v>
      </c>
      <c r="M168" s="17">
        <v>37597.962099999997</v>
      </c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8">
        <f t="shared" si="2"/>
        <v>253104.87089999998</v>
      </c>
    </row>
    <row r="169" spans="1:42" ht="15" customHeight="1" x14ac:dyDescent="0.2">
      <c r="A169" s="16" t="s">
        <v>597</v>
      </c>
      <c r="B169" s="16" t="s">
        <v>421</v>
      </c>
      <c r="C169" s="16" t="s">
        <v>421</v>
      </c>
      <c r="D169" s="16" t="s">
        <v>650</v>
      </c>
      <c r="E169" s="17">
        <v>18208.6119</v>
      </c>
      <c r="F169" s="17">
        <v>65860.556299999997</v>
      </c>
      <c r="G169" s="17">
        <v>130931.1139</v>
      </c>
      <c r="H169" s="17">
        <v>183900.9583</v>
      </c>
      <c r="I169" s="17">
        <v>230214.93640000001</v>
      </c>
      <c r="J169" s="17">
        <v>271787.0257</v>
      </c>
      <c r="K169" s="17">
        <v>309411.10279999999</v>
      </c>
      <c r="L169" s="17">
        <v>453289.57770000002</v>
      </c>
      <c r="M169" s="17">
        <v>537005.07810000004</v>
      </c>
      <c r="N169" s="17">
        <v>473054.09909999999</v>
      </c>
      <c r="O169" s="17">
        <v>417892.81209999998</v>
      </c>
      <c r="P169" s="17">
        <v>369128.59960000002</v>
      </c>
      <c r="Q169" s="17">
        <v>328455.74650000001</v>
      </c>
      <c r="R169" s="17">
        <v>289180.0429</v>
      </c>
      <c r="S169" s="17">
        <v>254069.74400000001</v>
      </c>
      <c r="T169" s="17">
        <v>223871.3995</v>
      </c>
      <c r="U169" s="17">
        <v>198162.27040000001</v>
      </c>
      <c r="V169" s="17">
        <v>174431.85430000001</v>
      </c>
      <c r="W169" s="17">
        <v>153977.00589999999</v>
      </c>
      <c r="X169" s="17">
        <v>135908.46309999999</v>
      </c>
      <c r="Y169" s="17">
        <v>120257.51</v>
      </c>
      <c r="Z169" s="17">
        <v>105817.36139999999</v>
      </c>
      <c r="AA169" s="17">
        <v>26869.673999999999</v>
      </c>
      <c r="AB169" s="17">
        <v>0</v>
      </c>
      <c r="AC169" s="17">
        <v>108033.0624</v>
      </c>
      <c r="AD169" s="17">
        <v>185907.73680000001</v>
      </c>
      <c r="AE169" s="17">
        <v>127197.323</v>
      </c>
      <c r="AF169" s="17">
        <v>0</v>
      </c>
      <c r="AG169" s="17">
        <v>0</v>
      </c>
      <c r="AH169" s="17">
        <v>126204.7107</v>
      </c>
      <c r="AI169" s="17">
        <v>346686.1911</v>
      </c>
      <c r="AJ169" s="17">
        <v>368065.58029999997</v>
      </c>
      <c r="AK169" s="17">
        <v>326332.15919999999</v>
      </c>
      <c r="AL169" s="17">
        <v>287749.10820000002</v>
      </c>
      <c r="AM169" s="17">
        <v>254466.0429</v>
      </c>
      <c r="AN169" s="17">
        <v>225032.15599999999</v>
      </c>
      <c r="AO169" s="17">
        <v>1380102.8373</v>
      </c>
      <c r="AP169" s="18">
        <f t="shared" si="2"/>
        <v>9207462.4517999981</v>
      </c>
    </row>
    <row r="170" spans="1:42" ht="24" customHeight="1" x14ac:dyDescent="0.2">
      <c r="A170" s="16" t="s">
        <v>598</v>
      </c>
      <c r="B170" s="16" t="s">
        <v>151</v>
      </c>
      <c r="C170" s="16" t="s">
        <v>151</v>
      </c>
      <c r="D170" s="16" t="s">
        <v>650</v>
      </c>
      <c r="E170" s="17">
        <v>1124.6908000000001</v>
      </c>
      <c r="F170" s="17">
        <v>2699.1722</v>
      </c>
      <c r="G170" s="17">
        <v>4501.7363999999998</v>
      </c>
      <c r="H170" s="17">
        <v>7577.6383999999998</v>
      </c>
      <c r="I170" s="17">
        <v>4993.9263000000001</v>
      </c>
      <c r="J170" s="17">
        <v>5433.9129000000003</v>
      </c>
      <c r="K170" s="17">
        <v>5755.0497999999998</v>
      </c>
      <c r="L170" s="17">
        <v>6281.7379000000001</v>
      </c>
      <c r="M170" s="17">
        <v>9672.1296000000002</v>
      </c>
      <c r="N170" s="17">
        <v>5547.1405000000004</v>
      </c>
      <c r="O170" s="17">
        <v>0</v>
      </c>
      <c r="P170" s="17">
        <v>0</v>
      </c>
      <c r="Q170" s="17">
        <v>0</v>
      </c>
      <c r="R170" s="17">
        <v>0</v>
      </c>
      <c r="S170" s="17">
        <v>0</v>
      </c>
      <c r="T170" s="17">
        <v>0</v>
      </c>
      <c r="U170" s="17">
        <v>0</v>
      </c>
      <c r="V170" s="17">
        <v>0</v>
      </c>
      <c r="W170" s="17">
        <v>0</v>
      </c>
      <c r="X170" s="17">
        <v>0</v>
      </c>
      <c r="Y170" s="17">
        <v>0</v>
      </c>
      <c r="Z170" s="17">
        <v>0</v>
      </c>
      <c r="AA170" s="17">
        <v>0</v>
      </c>
      <c r="AB170" s="17">
        <v>0</v>
      </c>
      <c r="AC170" s="17">
        <v>0</v>
      </c>
      <c r="AD170" s="17">
        <v>0</v>
      </c>
      <c r="AE170" s="17">
        <v>0</v>
      </c>
      <c r="AF170" s="17">
        <v>0</v>
      </c>
      <c r="AG170" s="17">
        <v>0</v>
      </c>
      <c r="AH170" s="17">
        <v>0</v>
      </c>
      <c r="AI170" s="17">
        <v>0</v>
      </c>
      <c r="AJ170" s="17">
        <v>0</v>
      </c>
      <c r="AK170" s="17">
        <v>0</v>
      </c>
      <c r="AL170" s="17">
        <v>0</v>
      </c>
      <c r="AM170" s="17">
        <v>0</v>
      </c>
      <c r="AN170" s="17">
        <v>0</v>
      </c>
      <c r="AO170" s="17">
        <v>0</v>
      </c>
      <c r="AP170" s="18">
        <f t="shared" si="2"/>
        <v>53587.1348</v>
      </c>
    </row>
    <row r="171" spans="1:42" ht="24" customHeight="1" x14ac:dyDescent="0.2">
      <c r="A171" s="16" t="s">
        <v>598</v>
      </c>
      <c r="B171" s="16" t="s">
        <v>599</v>
      </c>
      <c r="C171" s="16" t="s">
        <v>230</v>
      </c>
      <c r="D171" s="16" t="s">
        <v>650</v>
      </c>
      <c r="E171" s="17">
        <v>3919.7132999999999</v>
      </c>
      <c r="F171" s="17">
        <v>11204.080599999999</v>
      </c>
      <c r="G171" s="17">
        <v>18369.713199999998</v>
      </c>
      <c r="H171" s="17">
        <v>31050.511900000001</v>
      </c>
      <c r="I171" s="17">
        <v>38938.657500000001</v>
      </c>
      <c r="J171" s="17">
        <v>33720.249300000003</v>
      </c>
      <c r="K171" s="17">
        <v>48893.323700000001</v>
      </c>
      <c r="L171" s="17">
        <v>62397.705900000001</v>
      </c>
      <c r="M171" s="17">
        <v>52943.719899999996</v>
      </c>
      <c r="N171" s="17">
        <v>107719.8832</v>
      </c>
      <c r="O171" s="17">
        <v>0</v>
      </c>
      <c r="P171" s="17">
        <v>0</v>
      </c>
      <c r="Q171" s="17">
        <v>0</v>
      </c>
      <c r="R171" s="17">
        <v>0</v>
      </c>
      <c r="S171" s="17">
        <v>0</v>
      </c>
      <c r="T171" s="17">
        <v>0</v>
      </c>
      <c r="U171" s="17">
        <v>0</v>
      </c>
      <c r="V171" s="17">
        <v>0</v>
      </c>
      <c r="W171" s="17">
        <v>0</v>
      </c>
      <c r="X171" s="17">
        <v>0</v>
      </c>
      <c r="Y171" s="17">
        <v>0</v>
      </c>
      <c r="Z171" s="17">
        <v>0</v>
      </c>
      <c r="AA171" s="17">
        <v>0</v>
      </c>
      <c r="AB171" s="17">
        <v>0</v>
      </c>
      <c r="AC171" s="17">
        <v>0</v>
      </c>
      <c r="AD171" s="17">
        <v>0</v>
      </c>
      <c r="AE171" s="17">
        <v>0</v>
      </c>
      <c r="AF171" s="17">
        <v>0</v>
      </c>
      <c r="AG171" s="17">
        <v>0</v>
      </c>
      <c r="AH171" s="17">
        <v>0</v>
      </c>
      <c r="AI171" s="17">
        <v>0</v>
      </c>
      <c r="AJ171" s="17">
        <v>0</v>
      </c>
      <c r="AK171" s="17">
        <v>0</v>
      </c>
      <c r="AL171" s="17">
        <v>0</v>
      </c>
      <c r="AM171" s="17">
        <v>0</v>
      </c>
      <c r="AN171" s="17">
        <v>0</v>
      </c>
      <c r="AO171" s="17">
        <v>0</v>
      </c>
      <c r="AP171" s="18">
        <f t="shared" si="2"/>
        <v>409157.55849999998</v>
      </c>
    </row>
    <row r="172" spans="1:42" ht="24" customHeight="1" x14ac:dyDescent="0.2">
      <c r="A172" s="16" t="s">
        <v>598</v>
      </c>
      <c r="B172" s="16" t="s">
        <v>599</v>
      </c>
      <c r="C172" s="16" t="s">
        <v>231</v>
      </c>
      <c r="D172" s="16" t="s">
        <v>650</v>
      </c>
      <c r="E172" s="17">
        <v>295.12180000000001</v>
      </c>
      <c r="F172" s="17">
        <v>658.09839999999997</v>
      </c>
      <c r="G172" s="17">
        <v>882.29880000000003</v>
      </c>
      <c r="H172" s="17">
        <v>1014.587</v>
      </c>
      <c r="I172" s="17">
        <v>1088.6638</v>
      </c>
      <c r="J172" s="17">
        <v>1115.8027999999999</v>
      </c>
      <c r="K172" s="17">
        <v>1118.6017999999999</v>
      </c>
      <c r="L172" s="17">
        <v>1103.4076</v>
      </c>
      <c r="M172" s="17">
        <v>1079.4485999999999</v>
      </c>
      <c r="N172" s="17">
        <v>3416.5589</v>
      </c>
      <c r="O172" s="17">
        <v>7646.6655000000001</v>
      </c>
      <c r="P172" s="17">
        <v>617.82740000000001</v>
      </c>
      <c r="Q172" s="17">
        <v>0</v>
      </c>
      <c r="R172" s="17">
        <v>0</v>
      </c>
      <c r="S172" s="17">
        <v>0</v>
      </c>
      <c r="T172" s="17">
        <v>0</v>
      </c>
      <c r="U172" s="17">
        <v>0</v>
      </c>
      <c r="V172" s="17">
        <v>0</v>
      </c>
      <c r="W172" s="17">
        <v>0</v>
      </c>
      <c r="X172" s="17">
        <v>0</v>
      </c>
      <c r="Y172" s="17">
        <v>0</v>
      </c>
      <c r="Z172" s="17">
        <v>0</v>
      </c>
      <c r="AA172" s="17">
        <v>0</v>
      </c>
      <c r="AB172" s="17">
        <v>0</v>
      </c>
      <c r="AC172" s="17">
        <v>0</v>
      </c>
      <c r="AD172" s="17">
        <v>0</v>
      </c>
      <c r="AE172" s="17">
        <v>0</v>
      </c>
      <c r="AF172" s="17">
        <v>0</v>
      </c>
      <c r="AG172" s="17">
        <v>0</v>
      </c>
      <c r="AH172" s="17">
        <v>0</v>
      </c>
      <c r="AI172" s="17">
        <v>0</v>
      </c>
      <c r="AJ172" s="17">
        <v>0</v>
      </c>
      <c r="AK172" s="17">
        <v>0</v>
      </c>
      <c r="AL172" s="17">
        <v>0</v>
      </c>
      <c r="AM172" s="17">
        <v>0</v>
      </c>
      <c r="AN172" s="17">
        <v>0</v>
      </c>
      <c r="AO172" s="17">
        <v>0</v>
      </c>
      <c r="AP172" s="18">
        <f t="shared" si="2"/>
        <v>20037.082399999999</v>
      </c>
    </row>
    <row r="173" spans="1:42" ht="24" customHeight="1" x14ac:dyDescent="0.2">
      <c r="A173" s="16" t="s">
        <v>598</v>
      </c>
      <c r="B173" s="16" t="s">
        <v>600</v>
      </c>
      <c r="C173" s="16" t="s">
        <v>288</v>
      </c>
      <c r="D173" s="16" t="s">
        <v>650</v>
      </c>
      <c r="E173" s="17">
        <v>0</v>
      </c>
      <c r="F173" s="17">
        <v>457.14760000000001</v>
      </c>
      <c r="G173" s="17">
        <v>1862.6786</v>
      </c>
      <c r="H173" s="17">
        <v>2257.7797</v>
      </c>
      <c r="I173" s="17">
        <v>2271.3407999999999</v>
      </c>
      <c r="J173" s="17">
        <v>4717.7111999999997</v>
      </c>
      <c r="K173" s="17">
        <v>7312.3680000000004</v>
      </c>
      <c r="L173" s="17">
        <v>0</v>
      </c>
      <c r="M173" s="17">
        <v>0</v>
      </c>
      <c r="N173" s="17">
        <v>0</v>
      </c>
      <c r="O173" s="17">
        <v>0</v>
      </c>
      <c r="P173" s="17">
        <v>0</v>
      </c>
      <c r="Q173" s="17">
        <v>0</v>
      </c>
      <c r="R173" s="17">
        <v>0</v>
      </c>
      <c r="S173" s="17">
        <v>0</v>
      </c>
      <c r="T173" s="17">
        <v>0</v>
      </c>
      <c r="U173" s="17">
        <v>0</v>
      </c>
      <c r="V173" s="17">
        <v>0</v>
      </c>
      <c r="W173" s="17">
        <v>0</v>
      </c>
      <c r="X173" s="17">
        <v>0</v>
      </c>
      <c r="Y173" s="17">
        <v>0</v>
      </c>
      <c r="Z173" s="17">
        <v>0</v>
      </c>
      <c r="AA173" s="17">
        <v>0</v>
      </c>
      <c r="AB173" s="17">
        <v>0</v>
      </c>
      <c r="AC173" s="17">
        <v>0</v>
      </c>
      <c r="AD173" s="17">
        <v>0</v>
      </c>
      <c r="AE173" s="17">
        <v>0</v>
      </c>
      <c r="AF173" s="17">
        <v>0</v>
      </c>
      <c r="AG173" s="17">
        <v>0</v>
      </c>
      <c r="AH173" s="17">
        <v>0</v>
      </c>
      <c r="AI173" s="17">
        <v>0</v>
      </c>
      <c r="AJ173" s="17">
        <v>0</v>
      </c>
      <c r="AK173" s="17">
        <v>0</v>
      </c>
      <c r="AL173" s="17">
        <v>0</v>
      </c>
      <c r="AM173" s="17">
        <v>0</v>
      </c>
      <c r="AN173" s="17">
        <v>0</v>
      </c>
      <c r="AO173" s="17">
        <v>0</v>
      </c>
      <c r="AP173" s="18">
        <f t="shared" si="2"/>
        <v>18879.025900000001</v>
      </c>
    </row>
    <row r="174" spans="1:42" ht="15" customHeight="1" x14ac:dyDescent="0.2">
      <c r="A174" s="16" t="s">
        <v>603</v>
      </c>
      <c r="B174" s="16" t="s">
        <v>604</v>
      </c>
      <c r="C174" s="16" t="s">
        <v>263</v>
      </c>
      <c r="D174" s="16" t="s">
        <v>650</v>
      </c>
      <c r="E174" s="17">
        <v>684419.59710000001</v>
      </c>
      <c r="F174" s="17">
        <v>1062698.719</v>
      </c>
      <c r="G174" s="17">
        <v>1324762.6635</v>
      </c>
      <c r="H174" s="17">
        <v>1041021.5734</v>
      </c>
      <c r="I174" s="17">
        <v>194238.54190000001</v>
      </c>
      <c r="J174" s="17">
        <v>85096.881399999998</v>
      </c>
      <c r="K174" s="17">
        <v>83110.9136</v>
      </c>
      <c r="L174" s="17">
        <v>62105.891799999998</v>
      </c>
      <c r="M174" s="17">
        <v>105371.06690000001</v>
      </c>
      <c r="N174" s="17">
        <v>111044.87790000001</v>
      </c>
      <c r="O174" s="17">
        <v>63332.182800000002</v>
      </c>
      <c r="P174" s="17">
        <v>54326.059200000003</v>
      </c>
      <c r="Q174" s="17">
        <v>48334.845099999999</v>
      </c>
      <c r="R174" s="17">
        <v>43843.418799999999</v>
      </c>
      <c r="S174" s="17">
        <v>40294.972600000001</v>
      </c>
      <c r="T174" s="17">
        <v>63103.373500000002</v>
      </c>
      <c r="U174" s="17">
        <v>58888.717700000001</v>
      </c>
      <c r="V174" s="17">
        <v>54691.021800000002</v>
      </c>
      <c r="W174" s="17">
        <v>21932.2454</v>
      </c>
      <c r="X174" s="17">
        <v>20488.298200000001</v>
      </c>
      <c r="Y174" s="17">
        <v>19079.6639</v>
      </c>
      <c r="Z174" s="17">
        <v>11797.537200000001</v>
      </c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8">
        <f t="shared" si="2"/>
        <v>5253983.0626999997</v>
      </c>
    </row>
    <row r="175" spans="1:42" ht="15" customHeight="1" x14ac:dyDescent="0.2">
      <c r="A175" s="16" t="s">
        <v>603</v>
      </c>
      <c r="B175" s="16" t="s">
        <v>604</v>
      </c>
      <c r="C175" s="16" t="s">
        <v>307</v>
      </c>
      <c r="D175" s="16" t="s">
        <v>650</v>
      </c>
      <c r="E175" s="17">
        <v>8523.1298000000006</v>
      </c>
      <c r="F175" s="17">
        <v>13542.267599999999</v>
      </c>
      <c r="G175" s="17">
        <v>14089.8452</v>
      </c>
      <c r="H175" s="17">
        <v>15131.132100000001</v>
      </c>
      <c r="I175" s="17">
        <v>79316.525500000003</v>
      </c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8">
        <f t="shared" si="2"/>
        <v>130602.9002</v>
      </c>
    </row>
    <row r="176" spans="1:42" ht="15" customHeight="1" x14ac:dyDescent="0.2">
      <c r="A176" s="16" t="s">
        <v>605</v>
      </c>
      <c r="B176" s="16" t="s">
        <v>121</v>
      </c>
      <c r="C176" s="16" t="s">
        <v>121</v>
      </c>
      <c r="D176" s="16" t="s">
        <v>650</v>
      </c>
      <c r="E176" s="17">
        <v>40031.939100000003</v>
      </c>
      <c r="F176" s="17">
        <v>90787.601299999995</v>
      </c>
      <c r="G176" s="17">
        <v>164850.4528</v>
      </c>
      <c r="H176" s="17">
        <v>174958.6612</v>
      </c>
      <c r="I176" s="17">
        <v>135371.5914</v>
      </c>
      <c r="J176" s="17">
        <v>109709.4403</v>
      </c>
      <c r="K176" s="17">
        <v>92325.593200000003</v>
      </c>
      <c r="L176" s="17">
        <v>80371.290399999998</v>
      </c>
      <c r="M176" s="17">
        <v>73781.961800000005</v>
      </c>
      <c r="N176" s="17">
        <v>63482.895499999999</v>
      </c>
      <c r="O176" s="17">
        <v>55354.486900000004</v>
      </c>
      <c r="P176" s="17">
        <v>51362.824800000002</v>
      </c>
      <c r="Q176" s="17">
        <v>48735.338000000003</v>
      </c>
      <c r="R176" s="17">
        <v>45176.085500000001</v>
      </c>
      <c r="S176" s="17">
        <v>43215.953800000003</v>
      </c>
      <c r="T176" s="17">
        <v>42055.542300000001</v>
      </c>
      <c r="U176" s="17">
        <v>33779.481399999997</v>
      </c>
      <c r="V176" s="17">
        <v>0</v>
      </c>
      <c r="W176" s="17">
        <v>0</v>
      </c>
      <c r="X176" s="17">
        <v>0</v>
      </c>
      <c r="Y176" s="17">
        <v>0</v>
      </c>
      <c r="Z176" s="17">
        <v>0</v>
      </c>
      <c r="AA176" s="17">
        <v>0</v>
      </c>
      <c r="AB176" s="17">
        <v>0</v>
      </c>
      <c r="AC176" s="17">
        <v>0</v>
      </c>
      <c r="AD176" s="17">
        <v>0</v>
      </c>
      <c r="AE176" s="17">
        <v>0</v>
      </c>
      <c r="AF176" s="17">
        <v>0</v>
      </c>
      <c r="AG176" s="17">
        <v>0</v>
      </c>
      <c r="AH176" s="17">
        <v>0</v>
      </c>
      <c r="AI176" s="17">
        <v>0</v>
      </c>
      <c r="AJ176" s="17">
        <v>0</v>
      </c>
      <c r="AK176" s="17">
        <v>0</v>
      </c>
      <c r="AL176" s="17">
        <v>0</v>
      </c>
      <c r="AM176" s="17">
        <v>0</v>
      </c>
      <c r="AN176" s="17">
        <v>0</v>
      </c>
      <c r="AO176" s="17">
        <v>0</v>
      </c>
      <c r="AP176" s="18">
        <f t="shared" si="2"/>
        <v>1345351.1397000002</v>
      </c>
    </row>
    <row r="177" spans="1:42" ht="15" customHeight="1" x14ac:dyDescent="0.2">
      <c r="A177" s="16" t="s">
        <v>605</v>
      </c>
      <c r="B177" s="16" t="s">
        <v>132</v>
      </c>
      <c r="C177" s="16" t="s">
        <v>132</v>
      </c>
      <c r="D177" s="16" t="s">
        <v>650</v>
      </c>
      <c r="E177" s="17">
        <v>887169.41509999998</v>
      </c>
      <c r="F177" s="17">
        <v>1012250.135</v>
      </c>
      <c r="G177" s="17">
        <v>988887.05579999997</v>
      </c>
      <c r="H177" s="17">
        <v>1059548.4121000001</v>
      </c>
      <c r="I177" s="17">
        <v>1045999.1114000001</v>
      </c>
      <c r="J177" s="17">
        <v>822551.45319999999</v>
      </c>
      <c r="K177" s="17">
        <v>666526.85979999998</v>
      </c>
      <c r="L177" s="17">
        <v>548974.71160000004</v>
      </c>
      <c r="M177" s="17">
        <v>484012.9755</v>
      </c>
      <c r="N177" s="17">
        <v>400724.86090000003</v>
      </c>
      <c r="O177" s="17">
        <v>339367.85930000001</v>
      </c>
      <c r="P177" s="17">
        <v>184288.42360000001</v>
      </c>
      <c r="Q177" s="17">
        <v>0</v>
      </c>
      <c r="R177" s="17">
        <v>0</v>
      </c>
      <c r="S177" s="17">
        <v>0</v>
      </c>
      <c r="T177" s="17">
        <v>0</v>
      </c>
      <c r="U177" s="17">
        <v>0</v>
      </c>
      <c r="V177" s="17">
        <v>0</v>
      </c>
      <c r="W177" s="17">
        <v>0</v>
      </c>
      <c r="X177" s="17">
        <v>0</v>
      </c>
      <c r="Y177" s="17">
        <v>0</v>
      </c>
      <c r="Z177" s="17">
        <v>0</v>
      </c>
      <c r="AA177" s="17">
        <v>0</v>
      </c>
      <c r="AB177" s="17">
        <v>0</v>
      </c>
      <c r="AC177" s="17">
        <v>0</v>
      </c>
      <c r="AD177" s="17">
        <v>0</v>
      </c>
      <c r="AE177" s="17">
        <v>0</v>
      </c>
      <c r="AF177" s="17">
        <v>0</v>
      </c>
      <c r="AG177" s="17">
        <v>0</v>
      </c>
      <c r="AH177" s="17">
        <v>0</v>
      </c>
      <c r="AI177" s="17">
        <v>0</v>
      </c>
      <c r="AJ177" s="17">
        <v>0</v>
      </c>
      <c r="AK177" s="17">
        <v>0</v>
      </c>
      <c r="AL177" s="17">
        <v>0</v>
      </c>
      <c r="AM177" s="17">
        <v>0</v>
      </c>
      <c r="AN177" s="17">
        <v>0</v>
      </c>
      <c r="AO177" s="17">
        <v>0</v>
      </c>
      <c r="AP177" s="18">
        <f t="shared" si="2"/>
        <v>8440301.2732999995</v>
      </c>
    </row>
    <row r="178" spans="1:42" ht="15" customHeight="1" x14ac:dyDescent="0.2">
      <c r="A178" s="16" t="s">
        <v>605</v>
      </c>
      <c r="B178" s="16" t="s">
        <v>149</v>
      </c>
      <c r="C178" s="16" t="s">
        <v>149</v>
      </c>
      <c r="D178" s="16" t="s">
        <v>650</v>
      </c>
      <c r="E178" s="17">
        <v>20994.723399999999</v>
      </c>
      <c r="F178" s="17">
        <v>394695.61249999999</v>
      </c>
      <c r="G178" s="17">
        <v>793032.62670000002</v>
      </c>
      <c r="H178" s="17">
        <v>630820.29779999994</v>
      </c>
      <c r="I178" s="17">
        <v>501038.41609999997</v>
      </c>
      <c r="J178" s="17">
        <v>410973.05690000003</v>
      </c>
      <c r="K178" s="17">
        <v>347505.18680000002</v>
      </c>
      <c r="L178" s="17">
        <v>301120.53610000003</v>
      </c>
      <c r="M178" s="17">
        <v>279312.16090000002</v>
      </c>
      <c r="N178" s="17">
        <v>259372.95129999999</v>
      </c>
      <c r="O178" s="17">
        <v>292092.15649999998</v>
      </c>
      <c r="P178" s="17">
        <v>281957.26539999997</v>
      </c>
      <c r="Q178" s="17">
        <v>254536.557</v>
      </c>
      <c r="R178" s="17">
        <v>218157.45420000001</v>
      </c>
      <c r="S178" s="17">
        <v>78716.374100000001</v>
      </c>
      <c r="T178" s="17">
        <v>32852.539599999996</v>
      </c>
      <c r="U178" s="17">
        <v>31168.181700000001</v>
      </c>
      <c r="V178" s="17">
        <v>29464.1181</v>
      </c>
      <c r="W178" s="17">
        <v>27980.5795</v>
      </c>
      <c r="X178" s="17">
        <v>17864.367399999999</v>
      </c>
      <c r="Y178" s="17">
        <v>0</v>
      </c>
      <c r="Z178" s="17">
        <v>0</v>
      </c>
      <c r="AA178" s="17">
        <v>0</v>
      </c>
      <c r="AB178" s="17">
        <v>0</v>
      </c>
      <c r="AC178" s="17">
        <v>0</v>
      </c>
      <c r="AD178" s="17">
        <v>0</v>
      </c>
      <c r="AE178" s="17">
        <v>0</v>
      </c>
      <c r="AF178" s="17">
        <v>0</v>
      </c>
      <c r="AG178" s="17">
        <v>0</v>
      </c>
      <c r="AH178" s="17">
        <v>0</v>
      </c>
      <c r="AI178" s="17">
        <v>0</v>
      </c>
      <c r="AJ178" s="17">
        <v>0</v>
      </c>
      <c r="AK178" s="17">
        <v>0</v>
      </c>
      <c r="AL178" s="17">
        <v>0</v>
      </c>
      <c r="AM178" s="17">
        <v>0</v>
      </c>
      <c r="AN178" s="17">
        <v>0</v>
      </c>
      <c r="AO178" s="17">
        <v>0</v>
      </c>
      <c r="AP178" s="18">
        <f t="shared" si="2"/>
        <v>5203655.1619999986</v>
      </c>
    </row>
    <row r="179" spans="1:42" ht="15" customHeight="1" x14ac:dyDescent="0.2">
      <c r="A179" s="16" t="s">
        <v>605</v>
      </c>
      <c r="B179" s="16" t="s">
        <v>168</v>
      </c>
      <c r="C179" s="16" t="s">
        <v>129</v>
      </c>
      <c r="D179" s="16" t="s">
        <v>650</v>
      </c>
      <c r="E179" s="17">
        <v>174365.57180000001</v>
      </c>
      <c r="F179" s="17">
        <v>601662.09039999999</v>
      </c>
      <c r="G179" s="17">
        <v>716987.56720000005</v>
      </c>
      <c r="H179" s="17">
        <v>535527.45209999999</v>
      </c>
      <c r="I179" s="17">
        <v>420720.42670000001</v>
      </c>
      <c r="J179" s="17">
        <v>448644.72289999999</v>
      </c>
      <c r="K179" s="17">
        <v>421153.42930000002</v>
      </c>
      <c r="L179" s="17">
        <v>327268.80170000001</v>
      </c>
      <c r="M179" s="17">
        <v>28375.8266</v>
      </c>
      <c r="N179" s="17">
        <v>0</v>
      </c>
      <c r="O179" s="17">
        <v>0</v>
      </c>
      <c r="P179" s="17">
        <v>0</v>
      </c>
      <c r="Q179" s="17">
        <v>0</v>
      </c>
      <c r="R179" s="17">
        <v>0</v>
      </c>
      <c r="S179" s="17">
        <v>0</v>
      </c>
      <c r="T179" s="17">
        <v>0</v>
      </c>
      <c r="U179" s="17">
        <v>0</v>
      </c>
      <c r="V179" s="17">
        <v>0</v>
      </c>
      <c r="W179" s="17">
        <v>0</v>
      </c>
      <c r="X179" s="17">
        <v>0</v>
      </c>
      <c r="Y179" s="17">
        <v>0</v>
      </c>
      <c r="Z179" s="17">
        <v>0</v>
      </c>
      <c r="AA179" s="17">
        <v>0</v>
      </c>
      <c r="AB179" s="17">
        <v>0</v>
      </c>
      <c r="AC179" s="17">
        <v>0</v>
      </c>
      <c r="AD179" s="17">
        <v>0</v>
      </c>
      <c r="AE179" s="17">
        <v>0</v>
      </c>
      <c r="AF179" s="17">
        <v>0</v>
      </c>
      <c r="AG179" s="17">
        <v>0</v>
      </c>
      <c r="AH179" s="17">
        <v>0</v>
      </c>
      <c r="AI179" s="17">
        <v>0</v>
      </c>
      <c r="AJ179" s="17">
        <v>0</v>
      </c>
      <c r="AK179" s="17">
        <v>0</v>
      </c>
      <c r="AL179" s="17">
        <v>0</v>
      </c>
      <c r="AM179" s="17">
        <v>0</v>
      </c>
      <c r="AN179" s="17">
        <v>0</v>
      </c>
      <c r="AO179" s="17">
        <v>0</v>
      </c>
      <c r="AP179" s="18">
        <f t="shared" si="2"/>
        <v>3674705.8887</v>
      </c>
    </row>
    <row r="180" spans="1:42" ht="15" customHeight="1" x14ac:dyDescent="0.2">
      <c r="A180" s="16" t="s">
        <v>605</v>
      </c>
      <c r="B180" s="16" t="s">
        <v>168</v>
      </c>
      <c r="C180" s="16" t="s">
        <v>168</v>
      </c>
      <c r="D180" s="16" t="s">
        <v>650</v>
      </c>
      <c r="E180" s="17">
        <v>12019.4079</v>
      </c>
      <c r="F180" s="17">
        <v>104969.48020000001</v>
      </c>
      <c r="G180" s="17">
        <v>352133.73100000003</v>
      </c>
      <c r="H180" s="17">
        <v>401514.03450000001</v>
      </c>
      <c r="I180" s="17">
        <v>166895.9596</v>
      </c>
      <c r="J180" s="17">
        <v>102533.6897</v>
      </c>
      <c r="K180" s="17">
        <v>78204.149300000005</v>
      </c>
      <c r="L180" s="17">
        <v>66523.103400000007</v>
      </c>
      <c r="M180" s="17">
        <v>5297.4844000000003</v>
      </c>
      <c r="N180" s="17">
        <v>0</v>
      </c>
      <c r="O180" s="17">
        <v>0</v>
      </c>
      <c r="P180" s="17">
        <v>0</v>
      </c>
      <c r="Q180" s="17">
        <v>0</v>
      </c>
      <c r="R180" s="17">
        <v>0</v>
      </c>
      <c r="S180" s="17">
        <v>0</v>
      </c>
      <c r="T180" s="17">
        <v>0</v>
      </c>
      <c r="U180" s="17">
        <v>0</v>
      </c>
      <c r="V180" s="17">
        <v>0</v>
      </c>
      <c r="W180" s="17">
        <v>0</v>
      </c>
      <c r="X180" s="17">
        <v>0</v>
      </c>
      <c r="Y180" s="17">
        <v>0</v>
      </c>
      <c r="Z180" s="17">
        <v>0</v>
      </c>
      <c r="AA180" s="17">
        <v>0</v>
      </c>
      <c r="AB180" s="17">
        <v>0</v>
      </c>
      <c r="AC180" s="17">
        <v>0</v>
      </c>
      <c r="AD180" s="17">
        <v>0</v>
      </c>
      <c r="AE180" s="17">
        <v>0</v>
      </c>
      <c r="AF180" s="17">
        <v>0</v>
      </c>
      <c r="AG180" s="17">
        <v>0</v>
      </c>
      <c r="AH180" s="17">
        <v>0</v>
      </c>
      <c r="AI180" s="17">
        <v>0</v>
      </c>
      <c r="AJ180" s="17">
        <v>0</v>
      </c>
      <c r="AK180" s="17">
        <v>0</v>
      </c>
      <c r="AL180" s="17">
        <v>0</v>
      </c>
      <c r="AM180" s="17">
        <v>0</v>
      </c>
      <c r="AN180" s="17">
        <v>0</v>
      </c>
      <c r="AO180" s="17">
        <v>0</v>
      </c>
      <c r="AP180" s="18">
        <f t="shared" si="2"/>
        <v>1290091.0399999998</v>
      </c>
    </row>
    <row r="181" spans="1:42" ht="15" customHeight="1" x14ac:dyDescent="0.2">
      <c r="A181" s="16" t="s">
        <v>605</v>
      </c>
      <c r="B181" s="16" t="s">
        <v>168</v>
      </c>
      <c r="C181" s="16" t="s">
        <v>169</v>
      </c>
      <c r="D181" s="16" t="s">
        <v>650</v>
      </c>
      <c r="E181" s="17">
        <v>12341.217699999999</v>
      </c>
      <c r="F181" s="17">
        <v>52524.5288</v>
      </c>
      <c r="G181" s="17">
        <v>71797.500899999999</v>
      </c>
      <c r="H181" s="17">
        <v>572133.06449999998</v>
      </c>
      <c r="I181" s="17">
        <v>532658.49210000003</v>
      </c>
      <c r="J181" s="17">
        <v>365030.69209999999</v>
      </c>
      <c r="K181" s="17">
        <v>300709.85739999998</v>
      </c>
      <c r="L181" s="17">
        <v>261789.3339</v>
      </c>
      <c r="M181" s="17">
        <v>20210.924500000001</v>
      </c>
      <c r="N181" s="17">
        <v>0</v>
      </c>
      <c r="O181" s="17">
        <v>0</v>
      </c>
      <c r="P181" s="17">
        <v>0</v>
      </c>
      <c r="Q181" s="17">
        <v>0</v>
      </c>
      <c r="R181" s="17">
        <v>0</v>
      </c>
      <c r="S181" s="17">
        <v>0</v>
      </c>
      <c r="T181" s="17">
        <v>0</v>
      </c>
      <c r="U181" s="17">
        <v>0</v>
      </c>
      <c r="V181" s="17">
        <v>0</v>
      </c>
      <c r="W181" s="17">
        <v>0</v>
      </c>
      <c r="X181" s="17">
        <v>0</v>
      </c>
      <c r="Y181" s="17">
        <v>0</v>
      </c>
      <c r="Z181" s="17">
        <v>0</v>
      </c>
      <c r="AA181" s="17">
        <v>0</v>
      </c>
      <c r="AB181" s="17">
        <v>0</v>
      </c>
      <c r="AC181" s="17">
        <v>0</v>
      </c>
      <c r="AD181" s="17">
        <v>0</v>
      </c>
      <c r="AE181" s="17">
        <v>0</v>
      </c>
      <c r="AF181" s="17">
        <v>0</v>
      </c>
      <c r="AG181" s="17">
        <v>0</v>
      </c>
      <c r="AH181" s="17">
        <v>0</v>
      </c>
      <c r="AI181" s="17">
        <v>0</v>
      </c>
      <c r="AJ181" s="17">
        <v>0</v>
      </c>
      <c r="AK181" s="17">
        <v>0</v>
      </c>
      <c r="AL181" s="17">
        <v>0</v>
      </c>
      <c r="AM181" s="17">
        <v>0</v>
      </c>
      <c r="AN181" s="17">
        <v>0</v>
      </c>
      <c r="AO181" s="17">
        <v>0</v>
      </c>
      <c r="AP181" s="18">
        <f t="shared" si="2"/>
        <v>2189195.6119000004</v>
      </c>
    </row>
    <row r="182" spans="1:42" ht="15" customHeight="1" x14ac:dyDescent="0.2">
      <c r="A182" s="16" t="s">
        <v>605</v>
      </c>
      <c r="B182" s="16" t="s">
        <v>606</v>
      </c>
      <c r="C182" s="16" t="s">
        <v>381</v>
      </c>
      <c r="D182" s="16" t="s">
        <v>650</v>
      </c>
      <c r="E182" s="17">
        <v>30453.606299999999</v>
      </c>
      <c r="F182" s="17">
        <v>43486.927799999998</v>
      </c>
      <c r="G182" s="17">
        <v>54750.089500000002</v>
      </c>
      <c r="H182" s="17">
        <v>29205.744500000001</v>
      </c>
      <c r="I182" s="17">
        <v>47164.130599999997</v>
      </c>
      <c r="J182" s="17">
        <v>50796.908799999997</v>
      </c>
      <c r="K182" s="17">
        <v>22683.299800000001</v>
      </c>
      <c r="L182" s="17">
        <v>42684.251100000001</v>
      </c>
      <c r="M182" s="17">
        <v>28817.585200000001</v>
      </c>
      <c r="N182" s="17">
        <v>0</v>
      </c>
      <c r="O182" s="17">
        <v>0</v>
      </c>
      <c r="P182" s="17">
        <v>0</v>
      </c>
      <c r="Q182" s="17">
        <v>0</v>
      </c>
      <c r="R182" s="17">
        <v>0</v>
      </c>
      <c r="S182" s="17">
        <v>0</v>
      </c>
      <c r="T182" s="17">
        <v>0</v>
      </c>
      <c r="U182" s="17">
        <v>0</v>
      </c>
      <c r="V182" s="17">
        <v>0</v>
      </c>
      <c r="W182" s="17">
        <v>0</v>
      </c>
      <c r="X182" s="17">
        <v>0</v>
      </c>
      <c r="Y182" s="17">
        <v>0</v>
      </c>
      <c r="Z182" s="17">
        <v>0</v>
      </c>
      <c r="AA182" s="17">
        <v>0</v>
      </c>
      <c r="AB182" s="17">
        <v>0</v>
      </c>
      <c r="AC182" s="17">
        <v>0</v>
      </c>
      <c r="AD182" s="17">
        <v>0</v>
      </c>
      <c r="AE182" s="17">
        <v>0</v>
      </c>
      <c r="AF182" s="17">
        <v>0</v>
      </c>
      <c r="AG182" s="17">
        <v>0</v>
      </c>
      <c r="AH182" s="17">
        <v>0</v>
      </c>
      <c r="AI182" s="17">
        <v>0</v>
      </c>
      <c r="AJ182" s="17">
        <v>0</v>
      </c>
      <c r="AK182" s="17">
        <v>0</v>
      </c>
      <c r="AL182" s="17">
        <v>0</v>
      </c>
      <c r="AM182" s="17">
        <v>0</v>
      </c>
      <c r="AN182" s="17">
        <v>0</v>
      </c>
      <c r="AO182" s="17">
        <v>0</v>
      </c>
      <c r="AP182" s="18">
        <f t="shared" si="2"/>
        <v>350042.54359999998</v>
      </c>
    </row>
    <row r="183" spans="1:42" ht="15" customHeight="1" x14ac:dyDescent="0.2">
      <c r="A183" s="16" t="s">
        <v>605</v>
      </c>
      <c r="B183" s="16" t="s">
        <v>607</v>
      </c>
      <c r="C183" s="16" t="s">
        <v>119</v>
      </c>
      <c r="D183" s="16" t="s">
        <v>650</v>
      </c>
      <c r="E183" s="17">
        <v>547.0865</v>
      </c>
      <c r="F183" s="17">
        <v>1464.3176000000001</v>
      </c>
      <c r="G183" s="17">
        <v>2171.5428000000002</v>
      </c>
      <c r="H183" s="17">
        <v>2716.8589999999999</v>
      </c>
      <c r="I183" s="17">
        <v>3145.3382000000001</v>
      </c>
      <c r="J183" s="17">
        <v>3457.7808</v>
      </c>
      <c r="K183" s="17">
        <v>3700.5407</v>
      </c>
      <c r="L183" s="17">
        <v>27732.027999999998</v>
      </c>
      <c r="M183" s="17">
        <v>30216.619900000002</v>
      </c>
      <c r="N183" s="17">
        <v>0</v>
      </c>
      <c r="O183" s="17">
        <v>0</v>
      </c>
      <c r="P183" s="17">
        <v>0</v>
      </c>
      <c r="Q183" s="17">
        <v>0</v>
      </c>
      <c r="R183" s="17">
        <v>0</v>
      </c>
      <c r="S183" s="17">
        <v>0</v>
      </c>
      <c r="T183" s="17">
        <v>0</v>
      </c>
      <c r="U183" s="17">
        <v>0</v>
      </c>
      <c r="V183" s="17">
        <v>0</v>
      </c>
      <c r="W183" s="17">
        <v>0</v>
      </c>
      <c r="X183" s="17">
        <v>0</v>
      </c>
      <c r="Y183" s="17">
        <v>0</v>
      </c>
      <c r="Z183" s="17">
        <v>0</v>
      </c>
      <c r="AA183" s="17">
        <v>0</v>
      </c>
      <c r="AB183" s="17">
        <v>0</v>
      </c>
      <c r="AC183" s="17">
        <v>0</v>
      </c>
      <c r="AD183" s="17">
        <v>0</v>
      </c>
      <c r="AE183" s="17">
        <v>0</v>
      </c>
      <c r="AF183" s="17">
        <v>0</v>
      </c>
      <c r="AG183" s="17">
        <v>0</v>
      </c>
      <c r="AH183" s="17">
        <v>0</v>
      </c>
      <c r="AI183" s="17">
        <v>0</v>
      </c>
      <c r="AJ183" s="17">
        <v>0</v>
      </c>
      <c r="AK183" s="17">
        <v>0</v>
      </c>
      <c r="AL183" s="17">
        <v>0</v>
      </c>
      <c r="AM183" s="17">
        <v>0</v>
      </c>
      <c r="AN183" s="17">
        <v>0</v>
      </c>
      <c r="AO183" s="17">
        <v>0</v>
      </c>
      <c r="AP183" s="18">
        <f t="shared" si="2"/>
        <v>75152.113500000007</v>
      </c>
    </row>
    <row r="184" spans="1:42" ht="15" customHeight="1" x14ac:dyDescent="0.2">
      <c r="A184" s="16" t="s">
        <v>605</v>
      </c>
      <c r="B184" s="16" t="s">
        <v>608</v>
      </c>
      <c r="C184" s="16" t="s">
        <v>144</v>
      </c>
      <c r="D184" s="16" t="s">
        <v>650</v>
      </c>
      <c r="E184" s="17">
        <v>9702.5136999999995</v>
      </c>
      <c r="F184" s="17">
        <v>20154.882300000001</v>
      </c>
      <c r="G184" s="17">
        <v>23866.163799999998</v>
      </c>
      <c r="H184" s="17">
        <v>24841.742099999999</v>
      </c>
      <c r="I184" s="17">
        <v>24709.653300000002</v>
      </c>
      <c r="J184" s="17">
        <v>23935.0995</v>
      </c>
      <c r="K184" s="17">
        <v>23025.7582</v>
      </c>
      <c r="L184" s="17">
        <v>48419.554600000003</v>
      </c>
      <c r="M184" s="17">
        <v>50969.158199999998</v>
      </c>
      <c r="N184" s="17">
        <v>45787.690900000001</v>
      </c>
      <c r="O184" s="17">
        <v>57343.347500000003</v>
      </c>
      <c r="P184" s="17">
        <v>39880.245000000003</v>
      </c>
      <c r="Q184" s="17">
        <v>3298.1475999999998</v>
      </c>
      <c r="R184" s="17">
        <v>0</v>
      </c>
      <c r="S184" s="17">
        <v>0</v>
      </c>
      <c r="T184" s="17">
        <v>0</v>
      </c>
      <c r="U184" s="17">
        <v>0</v>
      </c>
      <c r="V184" s="17">
        <v>0</v>
      </c>
      <c r="W184" s="17">
        <v>0</v>
      </c>
      <c r="X184" s="17">
        <v>0</v>
      </c>
      <c r="Y184" s="17">
        <v>0</v>
      </c>
      <c r="Z184" s="17">
        <v>0</v>
      </c>
      <c r="AA184" s="17">
        <v>0</v>
      </c>
      <c r="AB184" s="17">
        <v>0</v>
      </c>
      <c r="AC184" s="17">
        <v>0</v>
      </c>
      <c r="AD184" s="17">
        <v>0</v>
      </c>
      <c r="AE184" s="17">
        <v>0</v>
      </c>
      <c r="AF184" s="17">
        <v>0</v>
      </c>
      <c r="AG184" s="17">
        <v>0</v>
      </c>
      <c r="AH184" s="17">
        <v>0</v>
      </c>
      <c r="AI184" s="17">
        <v>0</v>
      </c>
      <c r="AJ184" s="17">
        <v>0</v>
      </c>
      <c r="AK184" s="17">
        <v>0</v>
      </c>
      <c r="AL184" s="17">
        <v>0</v>
      </c>
      <c r="AM184" s="17">
        <v>0</v>
      </c>
      <c r="AN184" s="17">
        <v>0</v>
      </c>
      <c r="AO184" s="17">
        <v>0</v>
      </c>
      <c r="AP184" s="18">
        <f t="shared" si="2"/>
        <v>395933.9567000001</v>
      </c>
    </row>
    <row r="185" spans="1:42" ht="15" customHeight="1" x14ac:dyDescent="0.2">
      <c r="A185" s="16" t="s">
        <v>605</v>
      </c>
      <c r="B185" s="16" t="s">
        <v>609</v>
      </c>
      <c r="C185" s="16" t="s">
        <v>287</v>
      </c>
      <c r="D185" s="16" t="s">
        <v>650</v>
      </c>
      <c r="E185" s="17">
        <v>586.19299999999998</v>
      </c>
      <c r="F185" s="17">
        <v>1541.2529</v>
      </c>
      <c r="G185" s="17">
        <v>2248.7062000000001</v>
      </c>
      <c r="H185" s="17">
        <v>2775.5221999999999</v>
      </c>
      <c r="I185" s="17">
        <v>3177.3959</v>
      </c>
      <c r="J185" s="17">
        <v>37669.584499999997</v>
      </c>
      <c r="K185" s="17">
        <v>3081.4497000000001</v>
      </c>
      <c r="L185" s="17">
        <v>0</v>
      </c>
      <c r="M185" s="17">
        <v>0</v>
      </c>
      <c r="N185" s="17">
        <v>0</v>
      </c>
      <c r="O185" s="17">
        <v>0</v>
      </c>
      <c r="P185" s="17">
        <v>0</v>
      </c>
      <c r="Q185" s="17">
        <v>0</v>
      </c>
      <c r="R185" s="17">
        <v>0</v>
      </c>
      <c r="S185" s="17">
        <v>0</v>
      </c>
      <c r="T185" s="17">
        <v>0</v>
      </c>
      <c r="U185" s="17">
        <v>0</v>
      </c>
      <c r="V185" s="17">
        <v>0</v>
      </c>
      <c r="W185" s="17">
        <v>0</v>
      </c>
      <c r="X185" s="17">
        <v>0</v>
      </c>
      <c r="Y185" s="17">
        <v>0</v>
      </c>
      <c r="Z185" s="17">
        <v>0</v>
      </c>
      <c r="AA185" s="17">
        <v>0</v>
      </c>
      <c r="AB185" s="17">
        <v>0</v>
      </c>
      <c r="AC185" s="17">
        <v>0</v>
      </c>
      <c r="AD185" s="17">
        <v>0</v>
      </c>
      <c r="AE185" s="17">
        <v>0</v>
      </c>
      <c r="AF185" s="17">
        <v>0</v>
      </c>
      <c r="AG185" s="17">
        <v>0</v>
      </c>
      <c r="AH185" s="17">
        <v>0</v>
      </c>
      <c r="AI185" s="17">
        <v>0</v>
      </c>
      <c r="AJ185" s="17">
        <v>0</v>
      </c>
      <c r="AK185" s="17">
        <v>0</v>
      </c>
      <c r="AL185" s="17">
        <v>0</v>
      </c>
      <c r="AM185" s="17">
        <v>0</v>
      </c>
      <c r="AN185" s="17">
        <v>0</v>
      </c>
      <c r="AO185" s="17">
        <v>0</v>
      </c>
      <c r="AP185" s="18">
        <f t="shared" si="2"/>
        <v>51080.104399999997</v>
      </c>
    </row>
    <row r="186" spans="1:42" ht="15" customHeight="1" x14ac:dyDescent="0.2">
      <c r="A186" s="16" t="s">
        <v>605</v>
      </c>
      <c r="B186" s="16" t="s">
        <v>610</v>
      </c>
      <c r="C186" s="16" t="s">
        <v>275</v>
      </c>
      <c r="D186" s="16" t="s">
        <v>650</v>
      </c>
      <c r="E186" s="17">
        <v>0</v>
      </c>
      <c r="F186" s="17">
        <v>0</v>
      </c>
      <c r="G186" s="17">
        <v>1155058.2394000001</v>
      </c>
      <c r="H186" s="17">
        <v>2003322.1579</v>
      </c>
      <c r="I186" s="17">
        <v>2423677.5443000002</v>
      </c>
      <c r="J186" s="17">
        <v>1651841.1396000001</v>
      </c>
      <c r="K186" s="17">
        <v>1122068.9741</v>
      </c>
      <c r="L186" s="17">
        <v>813646.22589999996</v>
      </c>
      <c r="M186" s="17">
        <v>620249.20589999994</v>
      </c>
      <c r="N186" s="17">
        <v>487480.90620000003</v>
      </c>
      <c r="O186" s="17">
        <v>395220.989</v>
      </c>
      <c r="P186" s="17">
        <v>327637.29180000001</v>
      </c>
      <c r="Q186" s="17">
        <v>277268.52740000002</v>
      </c>
      <c r="R186" s="17">
        <v>236882.81839999999</v>
      </c>
      <c r="S186" s="17">
        <v>205541.28589999999</v>
      </c>
      <c r="T186" s="17">
        <v>180256.1195</v>
      </c>
      <c r="U186" s="17">
        <v>159946.86910000001</v>
      </c>
      <c r="V186" s="17">
        <v>142278.47270000001</v>
      </c>
      <c r="W186" s="17">
        <v>127815.35370000001</v>
      </c>
      <c r="X186" s="17">
        <v>115529.4044</v>
      </c>
      <c r="Y186" s="17">
        <v>88396.280299999999</v>
      </c>
      <c r="Z186" s="17">
        <v>0</v>
      </c>
      <c r="AA186" s="17">
        <v>0</v>
      </c>
      <c r="AB186" s="17">
        <v>0</v>
      </c>
      <c r="AC186" s="17">
        <v>0</v>
      </c>
      <c r="AD186" s="17">
        <v>0</v>
      </c>
      <c r="AE186" s="17">
        <v>0</v>
      </c>
      <c r="AF186" s="17">
        <v>0</v>
      </c>
      <c r="AG186" s="17">
        <v>0</v>
      </c>
      <c r="AH186" s="17">
        <v>0</v>
      </c>
      <c r="AI186" s="17">
        <v>0</v>
      </c>
      <c r="AJ186" s="17">
        <v>0</v>
      </c>
      <c r="AK186" s="17">
        <v>0</v>
      </c>
      <c r="AL186" s="17">
        <v>0</v>
      </c>
      <c r="AM186" s="17">
        <v>0</v>
      </c>
      <c r="AN186" s="17">
        <v>0</v>
      </c>
      <c r="AO186" s="17">
        <v>0</v>
      </c>
      <c r="AP186" s="18">
        <f t="shared" si="2"/>
        <v>12534117.805500003</v>
      </c>
    </row>
    <row r="187" spans="1:42" ht="15" customHeight="1" x14ac:dyDescent="0.2">
      <c r="A187" s="16" t="s">
        <v>611</v>
      </c>
      <c r="B187" s="16" t="s">
        <v>612</v>
      </c>
      <c r="C187" s="16" t="s">
        <v>141</v>
      </c>
      <c r="D187" s="16" t="s">
        <v>650</v>
      </c>
      <c r="E187" s="17">
        <v>544.7355</v>
      </c>
      <c r="F187" s="17">
        <v>1199.5107</v>
      </c>
      <c r="G187" s="17">
        <v>1773.7654</v>
      </c>
      <c r="H187" s="17">
        <v>2274.8213000000001</v>
      </c>
      <c r="I187" s="17">
        <v>2709.4092999999998</v>
      </c>
      <c r="J187" s="17">
        <v>3083.7143000000001</v>
      </c>
      <c r="K187" s="17">
        <v>3403.4164999999998</v>
      </c>
      <c r="L187" s="17">
        <v>3673.7302</v>
      </c>
      <c r="M187" s="17">
        <v>40458.752200000003</v>
      </c>
      <c r="N187" s="17">
        <v>41481.126100000001</v>
      </c>
      <c r="O187" s="17">
        <v>39199.664100000002</v>
      </c>
      <c r="P187" s="17">
        <v>15689.921899999999</v>
      </c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8">
        <f t="shared" si="2"/>
        <v>155492.56749999998</v>
      </c>
    </row>
    <row r="188" spans="1:42" ht="15" customHeight="1" x14ac:dyDescent="0.2">
      <c r="A188" s="16" t="s">
        <v>611</v>
      </c>
      <c r="B188" s="16" t="s">
        <v>612</v>
      </c>
      <c r="C188" s="16" t="s">
        <v>161</v>
      </c>
      <c r="D188" s="16" t="s">
        <v>650</v>
      </c>
      <c r="E188" s="17">
        <v>10316.014300000001</v>
      </c>
      <c r="F188" s="17">
        <v>13460.5658</v>
      </c>
      <c r="G188" s="17">
        <v>9504.0470000000005</v>
      </c>
      <c r="H188" s="17">
        <v>8678.9351000000006</v>
      </c>
      <c r="I188" s="17">
        <v>7981.7830999999996</v>
      </c>
      <c r="J188" s="17">
        <v>12846.1145</v>
      </c>
      <c r="K188" s="17">
        <v>16362.3958</v>
      </c>
      <c r="L188" s="17">
        <v>14259.036099999999</v>
      </c>
      <c r="M188" s="17">
        <v>12471.954400000001</v>
      </c>
      <c r="N188" s="17">
        <v>1924.0119</v>
      </c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8">
        <f t="shared" si="2"/>
        <v>107804.85799999999</v>
      </c>
    </row>
    <row r="189" spans="1:42" ht="15" customHeight="1" x14ac:dyDescent="0.2">
      <c r="A189" s="16" t="s">
        <v>611</v>
      </c>
      <c r="B189" s="16" t="s">
        <v>612</v>
      </c>
      <c r="C189" s="16" t="s">
        <v>162</v>
      </c>
      <c r="D189" s="16" t="s">
        <v>650</v>
      </c>
      <c r="E189" s="17">
        <v>801.42740000000003</v>
      </c>
      <c r="F189" s="17">
        <v>1729.5786000000001</v>
      </c>
      <c r="G189" s="17">
        <v>2504.1765999999998</v>
      </c>
      <c r="H189" s="17">
        <v>3143.9425000000001</v>
      </c>
      <c r="I189" s="17">
        <v>3665.5695999999998</v>
      </c>
      <c r="J189" s="17">
        <v>4083.9295999999999</v>
      </c>
      <c r="K189" s="17">
        <v>4412.2587999999996</v>
      </c>
      <c r="L189" s="17">
        <v>4662.3266000000003</v>
      </c>
      <c r="M189" s="17">
        <v>25973.937999999998</v>
      </c>
      <c r="N189" s="17">
        <v>26027.830399999999</v>
      </c>
      <c r="O189" s="17">
        <v>24205.8822</v>
      </c>
      <c r="P189" s="17">
        <v>9578.6949999999997</v>
      </c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8">
        <f t="shared" si="2"/>
        <v>110789.55530000001</v>
      </c>
    </row>
    <row r="190" spans="1:42" ht="15" customHeight="1" x14ac:dyDescent="0.2">
      <c r="A190" s="16" t="s">
        <v>611</v>
      </c>
      <c r="B190" s="16" t="s">
        <v>612</v>
      </c>
      <c r="C190" s="16" t="s">
        <v>163</v>
      </c>
      <c r="D190" s="16" t="s">
        <v>650</v>
      </c>
      <c r="E190" s="17">
        <v>64766.724600000001</v>
      </c>
      <c r="F190" s="17">
        <v>76415.510699999999</v>
      </c>
      <c r="G190" s="17">
        <v>67055.184500000003</v>
      </c>
      <c r="H190" s="17">
        <v>59223.424700000003</v>
      </c>
      <c r="I190" s="17">
        <v>52601.728300000002</v>
      </c>
      <c r="J190" s="17">
        <v>46949.874799999998</v>
      </c>
      <c r="K190" s="17">
        <v>42084.519500000002</v>
      </c>
      <c r="L190" s="17">
        <v>37864.119200000001</v>
      </c>
      <c r="M190" s="17">
        <v>54886.318299999999</v>
      </c>
      <c r="N190" s="17">
        <v>50710.366800000003</v>
      </c>
      <c r="O190" s="17">
        <v>45279.292600000001</v>
      </c>
      <c r="P190" s="17">
        <v>17422.645</v>
      </c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8">
        <f t="shared" si="2"/>
        <v>615259.70900000003</v>
      </c>
    </row>
    <row r="191" spans="1:42" ht="15" customHeight="1" x14ac:dyDescent="0.2">
      <c r="A191" s="16" t="s">
        <v>611</v>
      </c>
      <c r="B191" s="16" t="s">
        <v>612</v>
      </c>
      <c r="C191" s="16" t="s">
        <v>215</v>
      </c>
      <c r="D191" s="16" t="s">
        <v>650</v>
      </c>
      <c r="E191" s="17">
        <v>1597.0217</v>
      </c>
      <c r="F191" s="17">
        <v>3239.5897</v>
      </c>
      <c r="G191" s="17">
        <v>4413.1027999999997</v>
      </c>
      <c r="H191" s="17">
        <v>5231.2254000000003</v>
      </c>
      <c r="I191" s="17">
        <v>5780.1058000000003</v>
      </c>
      <c r="J191" s="17">
        <v>6125.2605999999996</v>
      </c>
      <c r="K191" s="17">
        <v>6316.6682000000001</v>
      </c>
      <c r="L191" s="17">
        <v>6392.5540000000001</v>
      </c>
      <c r="M191" s="17">
        <v>26330.292099999999</v>
      </c>
      <c r="N191" s="17">
        <v>25490.0468</v>
      </c>
      <c r="O191" s="17">
        <v>23056.5537</v>
      </c>
      <c r="P191" s="17">
        <v>8960.0339000000004</v>
      </c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8">
        <f t="shared" si="2"/>
        <v>122932.4547</v>
      </c>
    </row>
    <row r="192" spans="1:42" ht="15" customHeight="1" x14ac:dyDescent="0.2">
      <c r="A192" s="16" t="s">
        <v>611</v>
      </c>
      <c r="B192" s="16" t="s">
        <v>612</v>
      </c>
      <c r="C192" s="16" t="s">
        <v>278</v>
      </c>
      <c r="D192" s="16" t="s">
        <v>650</v>
      </c>
      <c r="E192" s="17">
        <v>1089.1335999999999</v>
      </c>
      <c r="F192" s="17">
        <v>2311.8928000000001</v>
      </c>
      <c r="G192" s="17">
        <v>29825.995699999999</v>
      </c>
      <c r="H192" s="17">
        <v>77167.071899999995</v>
      </c>
      <c r="I192" s="17">
        <v>70664.532099999997</v>
      </c>
      <c r="J192" s="17">
        <v>83113.785900000003</v>
      </c>
      <c r="K192" s="17">
        <v>61568.974499999997</v>
      </c>
      <c r="L192" s="17">
        <v>28219.5887</v>
      </c>
      <c r="M192" s="17">
        <v>63497.688399999999</v>
      </c>
      <c r="N192" s="17">
        <v>59384.596599999997</v>
      </c>
      <c r="O192" s="17">
        <v>52893.816800000001</v>
      </c>
      <c r="P192" s="17">
        <v>20365.531200000001</v>
      </c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8">
        <f t="shared" si="2"/>
        <v>550102.60820000002</v>
      </c>
    </row>
    <row r="193" spans="1:42" ht="15" customHeight="1" x14ac:dyDescent="0.2">
      <c r="A193" s="16" t="s">
        <v>611</v>
      </c>
      <c r="B193" s="16" t="s">
        <v>612</v>
      </c>
      <c r="C193" s="16" t="s">
        <v>279</v>
      </c>
      <c r="D193" s="16" t="s">
        <v>650</v>
      </c>
      <c r="E193" s="17">
        <v>2187.1379000000002</v>
      </c>
      <c r="F193" s="17">
        <v>238339.587</v>
      </c>
      <c r="G193" s="17">
        <v>224102.18340000001</v>
      </c>
      <c r="H193" s="17">
        <v>171034.3039</v>
      </c>
      <c r="I193" s="17">
        <v>136437.6741</v>
      </c>
      <c r="J193" s="17">
        <v>122246.7377</v>
      </c>
      <c r="K193" s="17">
        <v>93738.021800000002</v>
      </c>
      <c r="L193" s="17">
        <v>69182.513399999996</v>
      </c>
      <c r="M193" s="17">
        <v>150111.5993</v>
      </c>
      <c r="N193" s="17">
        <v>136971.08840000001</v>
      </c>
      <c r="O193" s="17">
        <v>115201.79210000001</v>
      </c>
      <c r="P193" s="17">
        <v>40588.596400000002</v>
      </c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8">
        <f t="shared" si="2"/>
        <v>1500141.2353999999</v>
      </c>
    </row>
    <row r="194" spans="1:42" ht="15" customHeight="1" x14ac:dyDescent="0.2">
      <c r="A194" s="16" t="s">
        <v>611</v>
      </c>
      <c r="B194" s="16" t="s">
        <v>612</v>
      </c>
      <c r="C194" s="16" t="s">
        <v>280</v>
      </c>
      <c r="D194" s="16" t="s">
        <v>650</v>
      </c>
      <c r="E194" s="17">
        <v>6157.4422000000004</v>
      </c>
      <c r="F194" s="17">
        <v>7905.3275999999996</v>
      </c>
      <c r="G194" s="17">
        <v>51346.676200000002</v>
      </c>
      <c r="H194" s="17">
        <v>97399.493700000006</v>
      </c>
      <c r="I194" s="17">
        <v>97505.885999999999</v>
      </c>
      <c r="J194" s="17">
        <v>72795.397599999997</v>
      </c>
      <c r="K194" s="17">
        <v>64094.364099999999</v>
      </c>
      <c r="L194" s="17">
        <v>55334.1976</v>
      </c>
      <c r="M194" s="17">
        <v>156510.60060000001</v>
      </c>
      <c r="N194" s="17">
        <v>145953.5846</v>
      </c>
      <c r="O194" s="17">
        <v>125052.6871</v>
      </c>
      <c r="P194" s="17">
        <v>48823.281499999997</v>
      </c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8">
        <f t="shared" ref="AP194:AP257" si="3">SUM(E194:AO194)</f>
        <v>928878.93880000012</v>
      </c>
    </row>
    <row r="195" spans="1:42" ht="15" customHeight="1" x14ac:dyDescent="0.2">
      <c r="A195" s="16" t="s">
        <v>611</v>
      </c>
      <c r="B195" s="16" t="s">
        <v>612</v>
      </c>
      <c r="C195" s="16" t="s">
        <v>318</v>
      </c>
      <c r="D195" s="16" t="s">
        <v>650</v>
      </c>
      <c r="E195" s="17">
        <v>21545.239699999998</v>
      </c>
      <c r="F195" s="17">
        <v>17952.2248</v>
      </c>
      <c r="G195" s="17">
        <v>20859.716100000001</v>
      </c>
      <c r="H195" s="17">
        <v>36052.563099999999</v>
      </c>
      <c r="I195" s="17">
        <v>25655.8017</v>
      </c>
      <c r="J195" s="17">
        <v>20264.75</v>
      </c>
      <c r="K195" s="17">
        <v>16790.1073</v>
      </c>
      <c r="L195" s="17">
        <v>29456.3148</v>
      </c>
      <c r="M195" s="17">
        <v>29950.7346</v>
      </c>
      <c r="N195" s="17">
        <v>25554.4202</v>
      </c>
      <c r="O195" s="17">
        <v>13772.164000000001</v>
      </c>
      <c r="P195" s="17">
        <v>5304.1012000000001</v>
      </c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8">
        <f t="shared" si="3"/>
        <v>263158.13749999995</v>
      </c>
    </row>
    <row r="196" spans="1:42" ht="15" customHeight="1" x14ac:dyDescent="0.2">
      <c r="A196" s="16" t="s">
        <v>611</v>
      </c>
      <c r="B196" s="16" t="s">
        <v>612</v>
      </c>
      <c r="C196" s="16" t="s">
        <v>406</v>
      </c>
      <c r="D196" s="16" t="s">
        <v>650</v>
      </c>
      <c r="E196" s="17">
        <v>1199.0033000000001</v>
      </c>
      <c r="F196" s="17">
        <v>16754.468099999998</v>
      </c>
      <c r="G196" s="17">
        <v>50367.181400000001</v>
      </c>
      <c r="H196" s="17">
        <v>215604.2788</v>
      </c>
      <c r="I196" s="17">
        <v>153680.4675</v>
      </c>
      <c r="J196" s="17">
        <v>110475.5365</v>
      </c>
      <c r="K196" s="17">
        <v>79973.385399999999</v>
      </c>
      <c r="L196" s="17">
        <v>122949.66439999999</v>
      </c>
      <c r="M196" s="17">
        <v>20143.4424</v>
      </c>
      <c r="N196" s="17">
        <v>19757.1378</v>
      </c>
      <c r="O196" s="17">
        <v>18132.362300000001</v>
      </c>
      <c r="P196" s="17">
        <v>7116.6909999999998</v>
      </c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8">
        <f t="shared" si="3"/>
        <v>816153.61890000023</v>
      </c>
    </row>
    <row r="197" spans="1:42" ht="15" customHeight="1" x14ac:dyDescent="0.2">
      <c r="A197" s="16" t="s">
        <v>611</v>
      </c>
      <c r="B197" s="16" t="s">
        <v>211</v>
      </c>
      <c r="C197" s="16" t="s">
        <v>160</v>
      </c>
      <c r="D197" s="16" t="s">
        <v>650</v>
      </c>
      <c r="E197" s="17">
        <v>872.17949999999996</v>
      </c>
      <c r="F197" s="17">
        <v>1825.7067999999999</v>
      </c>
      <c r="G197" s="17">
        <v>2566.7991000000002</v>
      </c>
      <c r="H197" s="17">
        <v>3136.6390999999999</v>
      </c>
      <c r="I197" s="17">
        <v>3568.2856999999999</v>
      </c>
      <c r="J197" s="17">
        <v>3888.3611000000001</v>
      </c>
      <c r="K197" s="17">
        <v>4118.3658999999998</v>
      </c>
      <c r="L197" s="17">
        <v>4275.7091</v>
      </c>
      <c r="M197" s="17">
        <v>4374.5196999999998</v>
      </c>
      <c r="N197" s="17">
        <v>4426.2879999999996</v>
      </c>
      <c r="O197" s="17">
        <v>4440.3741</v>
      </c>
      <c r="P197" s="17">
        <v>4424.4141</v>
      </c>
      <c r="Q197" s="17">
        <v>4384.6444000000001</v>
      </c>
      <c r="R197" s="17">
        <v>4326.1624000000002</v>
      </c>
      <c r="S197" s="17">
        <v>6759.2048999999997</v>
      </c>
      <c r="T197" s="17">
        <v>11243.9671</v>
      </c>
      <c r="U197" s="17">
        <v>10540.386</v>
      </c>
      <c r="V197" s="17">
        <v>9892.9819000000007</v>
      </c>
      <c r="W197" s="17">
        <v>6260.8173999999999</v>
      </c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8">
        <f t="shared" si="3"/>
        <v>95325.806299999997</v>
      </c>
    </row>
    <row r="198" spans="1:42" ht="15" customHeight="1" x14ac:dyDescent="0.2">
      <c r="A198" s="16" t="s">
        <v>611</v>
      </c>
      <c r="B198" s="16" t="s">
        <v>211</v>
      </c>
      <c r="C198" s="16" t="s">
        <v>210</v>
      </c>
      <c r="D198" s="16" t="s">
        <v>650</v>
      </c>
      <c r="E198" s="17">
        <v>95761.297699999996</v>
      </c>
      <c r="F198" s="17">
        <v>90225.085099999997</v>
      </c>
      <c r="G198" s="17">
        <v>78745.134399999995</v>
      </c>
      <c r="H198" s="17">
        <v>146166.39929999999</v>
      </c>
      <c r="I198" s="17">
        <v>128419.0892</v>
      </c>
      <c r="J198" s="17">
        <v>111740.5116</v>
      </c>
      <c r="K198" s="17">
        <v>107197.5598</v>
      </c>
      <c r="L198" s="17">
        <v>88079.038</v>
      </c>
      <c r="M198" s="17">
        <v>73159.407699999996</v>
      </c>
      <c r="N198" s="17">
        <v>72444.142999999996</v>
      </c>
      <c r="O198" s="17">
        <v>94780.611000000004</v>
      </c>
      <c r="P198" s="17">
        <v>74502.138999999996</v>
      </c>
      <c r="Q198" s="17">
        <v>49626.413399999998</v>
      </c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8">
        <f t="shared" si="3"/>
        <v>1210846.8292</v>
      </c>
    </row>
    <row r="199" spans="1:42" ht="15" customHeight="1" x14ac:dyDescent="0.2">
      <c r="A199" s="16" t="s">
        <v>611</v>
      </c>
      <c r="B199" s="16" t="s">
        <v>211</v>
      </c>
      <c r="C199" s="16" t="s">
        <v>211</v>
      </c>
      <c r="D199" s="16" t="s">
        <v>650</v>
      </c>
      <c r="E199" s="17">
        <v>2054.848</v>
      </c>
      <c r="F199" s="17">
        <v>18469.327799999999</v>
      </c>
      <c r="G199" s="17">
        <v>18198.958299999998</v>
      </c>
      <c r="H199" s="17">
        <v>15803.7032</v>
      </c>
      <c r="I199" s="17">
        <v>15449.210800000001</v>
      </c>
      <c r="J199" s="17">
        <v>12918.6163</v>
      </c>
      <c r="K199" s="17">
        <v>12282.0008</v>
      </c>
      <c r="L199" s="17">
        <v>11427.8379</v>
      </c>
      <c r="M199" s="17">
        <v>10462.356900000001</v>
      </c>
      <c r="N199" s="17">
        <v>12004.468199999999</v>
      </c>
      <c r="O199" s="17">
        <v>21876.886699999999</v>
      </c>
      <c r="P199" s="17">
        <v>18211.941800000001</v>
      </c>
      <c r="Q199" s="17">
        <v>11628.498100000001</v>
      </c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8">
        <f t="shared" si="3"/>
        <v>180788.65479999999</v>
      </c>
    </row>
    <row r="200" spans="1:42" ht="15" customHeight="1" x14ac:dyDescent="0.2">
      <c r="A200" s="16" t="s">
        <v>611</v>
      </c>
      <c r="B200" s="16" t="s">
        <v>211</v>
      </c>
      <c r="C200" s="16" t="s">
        <v>212</v>
      </c>
      <c r="D200" s="16" t="s">
        <v>650</v>
      </c>
      <c r="E200" s="17">
        <v>753.38260000000002</v>
      </c>
      <c r="F200" s="17">
        <v>1549.3993</v>
      </c>
      <c r="G200" s="17">
        <v>2139.1028000000001</v>
      </c>
      <c r="H200" s="17">
        <v>2567.6518000000001</v>
      </c>
      <c r="I200" s="17">
        <v>2870.4479999999999</v>
      </c>
      <c r="J200" s="17">
        <v>3075.2719999999999</v>
      </c>
      <c r="K200" s="17">
        <v>3203.9495999999999</v>
      </c>
      <c r="L200" s="17">
        <v>3273.6477</v>
      </c>
      <c r="M200" s="17">
        <v>3297.8825999999999</v>
      </c>
      <c r="N200" s="17">
        <v>5230.3950000000004</v>
      </c>
      <c r="O200" s="17">
        <v>14120.136</v>
      </c>
      <c r="P200" s="17">
        <v>12843.429400000001</v>
      </c>
      <c r="Q200" s="17">
        <v>8883.4032000000007</v>
      </c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8">
        <f t="shared" si="3"/>
        <v>63808.100000000006</v>
      </c>
    </row>
    <row r="201" spans="1:42" ht="15" customHeight="1" x14ac:dyDescent="0.2">
      <c r="A201" s="16" t="s">
        <v>611</v>
      </c>
      <c r="B201" s="16" t="s">
        <v>211</v>
      </c>
      <c r="C201" s="16" t="s">
        <v>371</v>
      </c>
      <c r="D201" s="16" t="s">
        <v>650</v>
      </c>
      <c r="E201" s="17">
        <v>15224.7395</v>
      </c>
      <c r="F201" s="17">
        <v>70911.505799999999</v>
      </c>
      <c r="G201" s="17">
        <v>113996.17019999999</v>
      </c>
      <c r="H201" s="17">
        <v>124126.01119999999</v>
      </c>
      <c r="I201" s="17">
        <v>95319.7068</v>
      </c>
      <c r="J201" s="17">
        <v>76416.445399999997</v>
      </c>
      <c r="K201" s="17">
        <v>63256.424200000001</v>
      </c>
      <c r="L201" s="17">
        <v>50427.337399999997</v>
      </c>
      <c r="M201" s="17">
        <v>41398.075599999996</v>
      </c>
      <c r="N201" s="17">
        <v>37426.458400000003</v>
      </c>
      <c r="O201" s="17">
        <v>37812.4018</v>
      </c>
      <c r="P201" s="17">
        <v>36152.073600000003</v>
      </c>
      <c r="Q201" s="17">
        <v>34767.713799999998</v>
      </c>
      <c r="R201" s="17">
        <v>29132.0393</v>
      </c>
      <c r="S201" s="17">
        <v>43033.378499999999</v>
      </c>
      <c r="T201" s="17">
        <v>69748.895300000004</v>
      </c>
      <c r="U201" s="17">
        <v>61238.064700000003</v>
      </c>
      <c r="V201" s="17">
        <v>57026.402199999997</v>
      </c>
      <c r="W201" s="17">
        <v>35850.270299999996</v>
      </c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8">
        <f t="shared" si="3"/>
        <v>1093264.1139999998</v>
      </c>
    </row>
    <row r="202" spans="1:42" ht="15" customHeight="1" x14ac:dyDescent="0.2">
      <c r="A202" s="16" t="s">
        <v>611</v>
      </c>
      <c r="B202" s="16" t="s">
        <v>211</v>
      </c>
      <c r="C202" s="16" t="s">
        <v>372</v>
      </c>
      <c r="D202" s="16" t="s">
        <v>650</v>
      </c>
      <c r="E202" s="17">
        <v>457.17079999999999</v>
      </c>
      <c r="F202" s="17">
        <v>955.32740000000001</v>
      </c>
      <c r="G202" s="17">
        <v>1335.5301999999999</v>
      </c>
      <c r="H202" s="17">
        <v>1616.1416999999999</v>
      </c>
      <c r="I202" s="17">
        <v>1812.9897000000001</v>
      </c>
      <c r="J202" s="17">
        <v>1939.7090000000001</v>
      </c>
      <c r="K202" s="17">
        <v>2008.0367000000001</v>
      </c>
      <c r="L202" s="17">
        <v>2028.0669</v>
      </c>
      <c r="M202" s="17">
        <v>2008.47</v>
      </c>
      <c r="N202" s="17">
        <v>1956.6835000000001</v>
      </c>
      <c r="O202" s="17">
        <v>1879.0762</v>
      </c>
      <c r="P202" s="17">
        <v>1781.2316000000001</v>
      </c>
      <c r="Q202" s="17">
        <v>1675.3678</v>
      </c>
      <c r="R202" s="17">
        <v>1574.8457000000001</v>
      </c>
      <c r="S202" s="17">
        <v>9255.6265000000003</v>
      </c>
      <c r="T202" s="17">
        <v>23777.901399999999</v>
      </c>
      <c r="U202" s="17">
        <v>22351.227299999999</v>
      </c>
      <c r="V202" s="17">
        <v>21010.153699999999</v>
      </c>
      <c r="W202" s="17">
        <v>13301.6657</v>
      </c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8">
        <f t="shared" si="3"/>
        <v>112725.22179999998</v>
      </c>
    </row>
    <row r="203" spans="1:42" ht="15" customHeight="1" x14ac:dyDescent="0.2">
      <c r="A203" s="16" t="s">
        <v>611</v>
      </c>
      <c r="B203" s="16" t="s">
        <v>237</v>
      </c>
      <c r="C203" s="16" t="s">
        <v>116</v>
      </c>
      <c r="D203" s="16" t="s">
        <v>650</v>
      </c>
      <c r="E203" s="17">
        <v>11292.474700000001</v>
      </c>
      <c r="F203" s="17">
        <v>45330.342299999997</v>
      </c>
      <c r="G203" s="17">
        <v>82132.025899999993</v>
      </c>
      <c r="H203" s="17">
        <v>75340.517300000007</v>
      </c>
      <c r="I203" s="17">
        <v>74206.215400000001</v>
      </c>
      <c r="J203" s="17">
        <v>62536.540200000003</v>
      </c>
      <c r="K203" s="17">
        <v>56210.6682</v>
      </c>
      <c r="L203" s="17">
        <v>51446.722999999998</v>
      </c>
      <c r="M203" s="17">
        <v>47065.505700000002</v>
      </c>
      <c r="N203" s="17">
        <v>43044.251900000003</v>
      </c>
      <c r="O203" s="17">
        <v>42578.700799999999</v>
      </c>
      <c r="P203" s="17">
        <v>95602.936600000001</v>
      </c>
      <c r="Q203" s="17">
        <v>83373.513699999996</v>
      </c>
      <c r="R203" s="17">
        <v>73188.504799999995</v>
      </c>
      <c r="S203" s="17">
        <v>11327.209199999999</v>
      </c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8">
        <f t="shared" si="3"/>
        <v>854676.12970000005</v>
      </c>
    </row>
    <row r="204" spans="1:42" ht="15" customHeight="1" x14ac:dyDescent="0.2">
      <c r="A204" s="16" t="s">
        <v>611</v>
      </c>
      <c r="B204" s="16" t="s">
        <v>237</v>
      </c>
      <c r="C204" s="16" t="s">
        <v>191</v>
      </c>
      <c r="D204" s="16" t="s">
        <v>650</v>
      </c>
      <c r="E204" s="17">
        <v>260683.92610000001</v>
      </c>
      <c r="F204" s="17">
        <v>326282.81020000001</v>
      </c>
      <c r="G204" s="17">
        <v>290430.91450000001</v>
      </c>
      <c r="H204" s="17">
        <v>258954.3272</v>
      </c>
      <c r="I204" s="17">
        <v>230798.08369999999</v>
      </c>
      <c r="J204" s="17">
        <v>205471.63649999999</v>
      </c>
      <c r="K204" s="17">
        <v>182706.38310000001</v>
      </c>
      <c r="L204" s="17">
        <v>162311.80790000001</v>
      </c>
      <c r="M204" s="17">
        <v>144118.0079</v>
      </c>
      <c r="N204" s="17">
        <v>127949.45570000001</v>
      </c>
      <c r="O204" s="17">
        <v>127314.6599</v>
      </c>
      <c r="P204" s="17">
        <v>250650.04070000001</v>
      </c>
      <c r="Q204" s="17">
        <v>216011.0374</v>
      </c>
      <c r="R204" s="17">
        <v>187218.4938</v>
      </c>
      <c r="S204" s="17">
        <v>28750.378799999999</v>
      </c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8">
        <f t="shared" si="3"/>
        <v>2999651.9633999993</v>
      </c>
    </row>
    <row r="205" spans="1:42" ht="15" customHeight="1" x14ac:dyDescent="0.2">
      <c r="A205" s="16" t="s">
        <v>611</v>
      </c>
      <c r="B205" s="16" t="s">
        <v>237</v>
      </c>
      <c r="C205" s="16" t="s">
        <v>250</v>
      </c>
      <c r="D205" s="16" t="s">
        <v>650</v>
      </c>
      <c r="E205" s="17">
        <v>274.49099999999999</v>
      </c>
      <c r="F205" s="17">
        <v>13440.3833</v>
      </c>
      <c r="G205" s="17">
        <v>19799.371999999999</v>
      </c>
      <c r="H205" s="17">
        <v>19474.8128</v>
      </c>
      <c r="I205" s="17">
        <v>17301.1656</v>
      </c>
      <c r="J205" s="17">
        <v>15625.607400000001</v>
      </c>
      <c r="K205" s="17">
        <v>14184.739600000001</v>
      </c>
      <c r="L205" s="17">
        <v>14012.716399999999</v>
      </c>
      <c r="M205" s="17">
        <v>9929.8119999999999</v>
      </c>
      <c r="N205" s="17">
        <v>14807.700800000001</v>
      </c>
      <c r="O205" s="17">
        <v>11299.5638</v>
      </c>
      <c r="P205" s="17">
        <v>30572.985000000001</v>
      </c>
      <c r="Q205" s="17">
        <v>28386.281999999999</v>
      </c>
      <c r="R205" s="17">
        <v>26383.056700000001</v>
      </c>
      <c r="S205" s="17">
        <v>4214.3226999999997</v>
      </c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8">
        <f t="shared" si="3"/>
        <v>239707.01110000003</v>
      </c>
    </row>
    <row r="206" spans="1:42" ht="15" customHeight="1" x14ac:dyDescent="0.2">
      <c r="A206" s="16" t="s">
        <v>611</v>
      </c>
      <c r="B206" s="16" t="s">
        <v>613</v>
      </c>
      <c r="C206" s="16" t="s">
        <v>256</v>
      </c>
      <c r="D206" s="16" t="s">
        <v>650</v>
      </c>
      <c r="E206" s="17">
        <v>639.01070000000004</v>
      </c>
      <c r="F206" s="17">
        <v>33474.060299999997</v>
      </c>
      <c r="G206" s="17">
        <v>40032.457699999999</v>
      </c>
      <c r="H206" s="17">
        <v>31140.9401</v>
      </c>
      <c r="I206" s="17">
        <v>24500.4031</v>
      </c>
      <c r="J206" s="17">
        <v>21772.212200000002</v>
      </c>
      <c r="K206" s="17">
        <v>26709.769</v>
      </c>
      <c r="L206" s="17">
        <v>17744.337599999999</v>
      </c>
      <c r="M206" s="17">
        <v>14265.2937</v>
      </c>
      <c r="N206" s="17">
        <v>3776.5389</v>
      </c>
      <c r="O206" s="17">
        <v>3605.2109999999998</v>
      </c>
      <c r="P206" s="17">
        <v>3587.5558000000001</v>
      </c>
      <c r="Q206" s="17">
        <v>4414.5774000000001</v>
      </c>
      <c r="R206" s="17">
        <v>13349.2762</v>
      </c>
      <c r="S206" s="17">
        <v>12281.3341</v>
      </c>
      <c r="T206" s="17">
        <v>11298.8274</v>
      </c>
      <c r="U206" s="17">
        <v>7876.8748999999998</v>
      </c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8">
        <f t="shared" si="3"/>
        <v>270468.68010000006</v>
      </c>
    </row>
    <row r="207" spans="1:42" ht="15" customHeight="1" x14ac:dyDescent="0.2">
      <c r="A207" s="16" t="s">
        <v>611</v>
      </c>
      <c r="B207" s="16" t="s">
        <v>613</v>
      </c>
      <c r="C207" s="16" t="s">
        <v>269</v>
      </c>
      <c r="D207" s="16" t="s">
        <v>650</v>
      </c>
      <c r="E207" s="17">
        <v>7409.9524000000001</v>
      </c>
      <c r="F207" s="17">
        <v>6398.9912000000004</v>
      </c>
      <c r="G207" s="17">
        <v>4561.7293</v>
      </c>
      <c r="H207" s="17">
        <v>5158.491</v>
      </c>
      <c r="I207" s="17">
        <v>6836.1728999999996</v>
      </c>
      <c r="J207" s="17">
        <v>1082.3073999999999</v>
      </c>
      <c r="K207" s="17">
        <v>4791.7698</v>
      </c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8">
        <f t="shared" si="3"/>
        <v>36239.413999999997</v>
      </c>
    </row>
    <row r="208" spans="1:42" ht="15" customHeight="1" x14ac:dyDescent="0.2">
      <c r="A208" s="16" t="s">
        <v>611</v>
      </c>
      <c r="B208" s="16" t="s">
        <v>613</v>
      </c>
      <c r="C208" s="16" t="s">
        <v>270</v>
      </c>
      <c r="D208" s="16" t="s">
        <v>650</v>
      </c>
      <c r="E208" s="17">
        <v>23606.417000000001</v>
      </c>
      <c r="F208" s="17">
        <v>66484.391499999998</v>
      </c>
      <c r="G208" s="17">
        <v>84538.520199999999</v>
      </c>
      <c r="H208" s="17">
        <v>74027.020199999999</v>
      </c>
      <c r="I208" s="17">
        <v>68955.236099999995</v>
      </c>
      <c r="J208" s="17">
        <v>70749.233900000007</v>
      </c>
      <c r="K208" s="17">
        <v>74240.925099999993</v>
      </c>
      <c r="L208" s="17">
        <v>54581.008399999999</v>
      </c>
      <c r="M208" s="17">
        <v>34987.456100000003</v>
      </c>
      <c r="N208" s="17">
        <v>26485.368299999998</v>
      </c>
      <c r="O208" s="17">
        <v>29396.5736</v>
      </c>
      <c r="P208" s="17">
        <v>25997.1443</v>
      </c>
      <c r="Q208" s="17">
        <v>29563.697</v>
      </c>
      <c r="R208" s="17">
        <v>41320.805999999997</v>
      </c>
      <c r="S208" s="17">
        <v>31556.025000000001</v>
      </c>
      <c r="T208" s="17">
        <v>29452.686699999998</v>
      </c>
      <c r="U208" s="17">
        <v>20795.601699999999</v>
      </c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8">
        <f t="shared" si="3"/>
        <v>786738.11109999998</v>
      </c>
    </row>
    <row r="209" spans="1:42" ht="15" customHeight="1" x14ac:dyDescent="0.2">
      <c r="A209" s="16" t="s">
        <v>611</v>
      </c>
      <c r="B209" s="16" t="s">
        <v>613</v>
      </c>
      <c r="C209" s="16" t="s">
        <v>644</v>
      </c>
      <c r="D209" s="16" t="s">
        <v>650</v>
      </c>
      <c r="E209" s="17"/>
      <c r="F209" s="17">
        <v>16408.8894</v>
      </c>
      <c r="G209" s="17">
        <v>23606.7428</v>
      </c>
      <c r="H209" s="17">
        <v>18885.3943</v>
      </c>
      <c r="I209" s="17">
        <v>15108.315399999999</v>
      </c>
      <c r="J209" s="17">
        <v>12086.6523</v>
      </c>
      <c r="K209" s="17">
        <v>9669.3219000000008</v>
      </c>
      <c r="L209" s="17">
        <v>7735.4575000000004</v>
      </c>
      <c r="M209" s="17">
        <v>9753.1614000000009</v>
      </c>
      <c r="N209" s="17">
        <v>6746.0650999999998</v>
      </c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8">
        <f t="shared" si="3"/>
        <v>120000.0001</v>
      </c>
    </row>
    <row r="210" spans="1:42" ht="15" customHeight="1" x14ac:dyDescent="0.2">
      <c r="A210" s="16" t="s">
        <v>611</v>
      </c>
      <c r="B210" s="16" t="s">
        <v>613</v>
      </c>
      <c r="C210" s="16" t="s">
        <v>652</v>
      </c>
      <c r="D210" s="16" t="s">
        <v>650</v>
      </c>
      <c r="E210" s="17"/>
      <c r="F210" s="17">
        <v>17599.919300000001</v>
      </c>
      <c r="G210" s="17">
        <v>29821.781800000001</v>
      </c>
      <c r="H210" s="17">
        <v>23857.425500000001</v>
      </c>
      <c r="I210" s="17">
        <v>19085.940399999999</v>
      </c>
      <c r="J210" s="17">
        <v>15268.7523</v>
      </c>
      <c r="K210" s="17">
        <v>12215.0018</v>
      </c>
      <c r="L210" s="17">
        <v>9772.0015000000003</v>
      </c>
      <c r="M210" s="17">
        <v>720.13670000000002</v>
      </c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8">
        <f t="shared" si="3"/>
        <v>128340.9593</v>
      </c>
    </row>
    <row r="211" spans="1:42" ht="15" customHeight="1" x14ac:dyDescent="0.2">
      <c r="A211" s="16" t="s">
        <v>611</v>
      </c>
      <c r="B211" s="16" t="s">
        <v>613</v>
      </c>
      <c r="C211" s="16" t="s">
        <v>337</v>
      </c>
      <c r="D211" s="16" t="s">
        <v>650</v>
      </c>
      <c r="E211" s="17">
        <v>817.09569999999997</v>
      </c>
      <c r="F211" s="17">
        <v>47189.075199999999</v>
      </c>
      <c r="G211" s="17">
        <v>83158.239799999996</v>
      </c>
      <c r="H211" s="17">
        <v>58910.962099999997</v>
      </c>
      <c r="I211" s="17">
        <v>47300.747000000003</v>
      </c>
      <c r="J211" s="17">
        <v>33968.128100000002</v>
      </c>
      <c r="K211" s="17">
        <v>33529.244700000003</v>
      </c>
      <c r="L211" s="17">
        <v>36823.762300000002</v>
      </c>
      <c r="M211" s="17">
        <v>36116.088499999998</v>
      </c>
      <c r="N211" s="17">
        <v>18115.593099999998</v>
      </c>
      <c r="O211" s="17">
        <v>8031.1266999999998</v>
      </c>
      <c r="P211" s="17">
        <v>13004.129000000001</v>
      </c>
      <c r="Q211" s="17">
        <v>9677.0262000000002</v>
      </c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8">
        <f t="shared" si="3"/>
        <v>426641.21840000007</v>
      </c>
    </row>
    <row r="212" spans="1:42" ht="15" customHeight="1" x14ac:dyDescent="0.2">
      <c r="A212" s="16" t="s">
        <v>611</v>
      </c>
      <c r="B212" s="16" t="s">
        <v>613</v>
      </c>
      <c r="C212" s="16" t="s">
        <v>339</v>
      </c>
      <c r="D212" s="16" t="s">
        <v>650</v>
      </c>
      <c r="E212" s="17">
        <v>6952.9966999999997</v>
      </c>
      <c r="F212" s="17">
        <v>9414.1725000000006</v>
      </c>
      <c r="G212" s="17">
        <v>10242.427900000001</v>
      </c>
      <c r="H212" s="17">
        <v>10605.397499999999</v>
      </c>
      <c r="I212" s="17">
        <v>10626.557699999999</v>
      </c>
      <c r="J212" s="17">
        <v>10403.170099999999</v>
      </c>
      <c r="K212" s="17">
        <v>10010.957700000001</v>
      </c>
      <c r="L212" s="17">
        <v>9508.1713999999993</v>
      </c>
      <c r="M212" s="17">
        <v>8939.0367000000006</v>
      </c>
      <c r="N212" s="17">
        <v>11118.954</v>
      </c>
      <c r="O212" s="17">
        <v>15456.2143</v>
      </c>
      <c r="P212" s="17">
        <v>14022.2997</v>
      </c>
      <c r="Q212" s="17">
        <v>12968.266100000001</v>
      </c>
      <c r="R212" s="17">
        <v>10414.881600000001</v>
      </c>
      <c r="S212" s="17">
        <v>6772.4862000000003</v>
      </c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8">
        <f t="shared" si="3"/>
        <v>157455.9901</v>
      </c>
    </row>
    <row r="213" spans="1:42" ht="15" customHeight="1" x14ac:dyDescent="0.2">
      <c r="A213" s="16" t="s">
        <v>611</v>
      </c>
      <c r="B213" s="16" t="s">
        <v>613</v>
      </c>
      <c r="C213" s="16" t="s">
        <v>353</v>
      </c>
      <c r="D213" s="16" t="s">
        <v>650</v>
      </c>
      <c r="E213" s="17">
        <v>127.6002</v>
      </c>
      <c r="F213" s="17">
        <v>273.9776</v>
      </c>
      <c r="G213" s="17">
        <v>3382.9825000000001</v>
      </c>
      <c r="H213" s="17">
        <v>6310.2695999999996</v>
      </c>
      <c r="I213" s="17">
        <v>6048.4125999999997</v>
      </c>
      <c r="J213" s="17">
        <v>5696.8468000000003</v>
      </c>
      <c r="K213" s="17">
        <v>5312.2380000000003</v>
      </c>
      <c r="L213" s="17">
        <v>5778.8167000000003</v>
      </c>
      <c r="M213" s="17">
        <v>10832.2582</v>
      </c>
      <c r="N213" s="17">
        <v>9940.6443999999992</v>
      </c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8">
        <f t="shared" si="3"/>
        <v>53704.046599999994</v>
      </c>
    </row>
    <row r="214" spans="1:42" ht="15" customHeight="1" x14ac:dyDescent="0.2">
      <c r="A214" s="16" t="s">
        <v>611</v>
      </c>
      <c r="B214" s="16" t="s">
        <v>613</v>
      </c>
      <c r="C214" s="16" t="s">
        <v>390</v>
      </c>
      <c r="D214" s="16" t="s">
        <v>650</v>
      </c>
      <c r="E214" s="17">
        <v>1210.9847</v>
      </c>
      <c r="F214" s="17">
        <v>2803.6806999999999</v>
      </c>
      <c r="G214" s="17">
        <v>64227.281999999999</v>
      </c>
      <c r="H214" s="17">
        <v>75015.398300000001</v>
      </c>
      <c r="I214" s="17">
        <v>62334.107300000003</v>
      </c>
      <c r="J214" s="17">
        <v>54081.397400000002</v>
      </c>
      <c r="K214" s="17">
        <v>47984.253299999997</v>
      </c>
      <c r="L214" s="17">
        <v>39703.327700000002</v>
      </c>
      <c r="M214" s="17">
        <v>31679.364000000001</v>
      </c>
      <c r="N214" s="17">
        <v>29925.897799999999</v>
      </c>
      <c r="O214" s="17">
        <v>34936.439899999998</v>
      </c>
      <c r="P214" s="17">
        <v>39603.4352</v>
      </c>
      <c r="Q214" s="17">
        <v>35988.3465</v>
      </c>
      <c r="R214" s="17">
        <v>102185.29790000001</v>
      </c>
      <c r="S214" s="17">
        <v>93576.051099999997</v>
      </c>
      <c r="T214" s="17">
        <v>79360.780599999998</v>
      </c>
      <c r="U214" s="17">
        <v>54163.170400000003</v>
      </c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8">
        <f t="shared" si="3"/>
        <v>848779.21479999996</v>
      </c>
    </row>
    <row r="215" spans="1:42" ht="15" customHeight="1" x14ac:dyDescent="0.2">
      <c r="A215" s="16" t="s">
        <v>611</v>
      </c>
      <c r="B215" s="16" t="s">
        <v>613</v>
      </c>
      <c r="C215" s="16" t="s">
        <v>645</v>
      </c>
      <c r="D215" s="16" t="s">
        <v>650</v>
      </c>
      <c r="E215" s="17"/>
      <c r="F215" s="17">
        <v>7851.7587999999996</v>
      </c>
      <c r="G215" s="17">
        <v>11233.5743</v>
      </c>
      <c r="H215" s="17">
        <v>10603.730299999999</v>
      </c>
      <c r="I215" s="17">
        <v>10000.0782</v>
      </c>
      <c r="J215" s="17">
        <v>9422.7000000000007</v>
      </c>
      <c r="K215" s="17">
        <v>8871.4755000000005</v>
      </c>
      <c r="L215" s="17">
        <v>8346.1157999999996</v>
      </c>
      <c r="M215" s="17">
        <v>7846.1926000000003</v>
      </c>
      <c r="N215" s="17">
        <v>7371.1643000000004</v>
      </c>
      <c r="O215" s="17">
        <v>6920.3981999999996</v>
      </c>
      <c r="P215" s="17">
        <v>6493.19</v>
      </c>
      <c r="Q215" s="17">
        <v>6923.9934999999996</v>
      </c>
      <c r="R215" s="17">
        <v>15233.288200000001</v>
      </c>
      <c r="S215" s="17">
        <v>14014.6252</v>
      </c>
      <c r="T215" s="17">
        <v>12893.455099999999</v>
      </c>
      <c r="U215" s="17">
        <v>8988.5552000000007</v>
      </c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8">
        <f t="shared" si="3"/>
        <v>153014.29519999999</v>
      </c>
    </row>
    <row r="216" spans="1:42" ht="15" customHeight="1" x14ac:dyDescent="0.2">
      <c r="A216" s="16" t="s">
        <v>611</v>
      </c>
      <c r="B216" s="16" t="s">
        <v>614</v>
      </c>
      <c r="C216" s="16" t="s">
        <v>253</v>
      </c>
      <c r="D216" s="16" t="s">
        <v>650</v>
      </c>
      <c r="E216" s="17">
        <v>1892.8720000000001</v>
      </c>
      <c r="F216" s="17">
        <v>45481.878499999999</v>
      </c>
      <c r="G216" s="17">
        <v>94285.9663</v>
      </c>
      <c r="H216" s="17">
        <v>154810.01800000001</v>
      </c>
      <c r="I216" s="17">
        <v>162122.96170000001</v>
      </c>
      <c r="J216" s="17">
        <v>130307.6948</v>
      </c>
      <c r="K216" s="17">
        <v>108222.9875</v>
      </c>
      <c r="L216" s="17">
        <v>92446.235700000005</v>
      </c>
      <c r="M216" s="17">
        <v>80804.046499999997</v>
      </c>
      <c r="N216" s="17">
        <v>71916.001199999999</v>
      </c>
      <c r="O216" s="17">
        <v>64899.681600000004</v>
      </c>
      <c r="P216" s="17">
        <v>57064.980300000003</v>
      </c>
      <c r="Q216" s="17">
        <v>63627.424200000001</v>
      </c>
      <c r="R216" s="17">
        <v>171317.80840000001</v>
      </c>
      <c r="S216" s="17">
        <v>159745.3125</v>
      </c>
      <c r="T216" s="17">
        <v>149093.65539999999</v>
      </c>
      <c r="U216" s="17">
        <v>105317.29730000001</v>
      </c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8">
        <f t="shared" si="3"/>
        <v>1713356.8219000001</v>
      </c>
    </row>
    <row r="217" spans="1:42" ht="15" customHeight="1" x14ac:dyDescent="0.2">
      <c r="A217" s="16" t="s">
        <v>611</v>
      </c>
      <c r="B217" s="16" t="s">
        <v>330</v>
      </c>
      <c r="C217" s="16" t="s">
        <v>330</v>
      </c>
      <c r="D217" s="16" t="s">
        <v>650</v>
      </c>
      <c r="E217" s="17">
        <v>1316.9770000000001</v>
      </c>
      <c r="F217" s="17">
        <v>5781.8869000000004</v>
      </c>
      <c r="G217" s="17">
        <v>48647.3387</v>
      </c>
      <c r="H217" s="17">
        <v>46764.092400000001</v>
      </c>
      <c r="I217" s="17">
        <v>39127.472199999997</v>
      </c>
      <c r="J217" s="17">
        <v>33428.241099999999</v>
      </c>
      <c r="K217" s="17">
        <v>28984.3331</v>
      </c>
      <c r="L217" s="17">
        <v>25459.809300000001</v>
      </c>
      <c r="M217" s="17">
        <v>22634.455999999998</v>
      </c>
      <c r="N217" s="17">
        <v>19979.691900000002</v>
      </c>
      <c r="O217" s="17">
        <v>16487.8426</v>
      </c>
      <c r="P217" s="17">
        <v>14906.511699999999</v>
      </c>
      <c r="Q217" s="17">
        <v>13555.726699999999</v>
      </c>
      <c r="R217" s="17">
        <v>12394.4226</v>
      </c>
      <c r="S217" s="17">
        <v>11385.799499999999</v>
      </c>
      <c r="T217" s="17">
        <v>10501.1319</v>
      </c>
      <c r="U217" s="17">
        <v>9717.9603000000006</v>
      </c>
      <c r="V217" s="17">
        <v>9018.6812000000009</v>
      </c>
      <c r="W217" s="17">
        <v>8389.4506999999994</v>
      </c>
      <c r="X217" s="17">
        <v>7819.3346000000001</v>
      </c>
      <c r="Y217" s="17">
        <v>7299.6502</v>
      </c>
      <c r="Z217" s="17">
        <v>6823.4582</v>
      </c>
      <c r="AA217" s="17">
        <v>6385.1710000000003</v>
      </c>
      <c r="AB217" s="17">
        <v>16197.3698</v>
      </c>
      <c r="AC217" s="17">
        <v>22266.7107</v>
      </c>
      <c r="AD217" s="17">
        <v>20901.191900000002</v>
      </c>
      <c r="AE217" s="17">
        <v>18066.375899999999</v>
      </c>
      <c r="AF217" s="17">
        <v>9847.4532999999992</v>
      </c>
      <c r="AG217" s="17"/>
      <c r="AH217" s="17"/>
      <c r="AI217" s="17"/>
      <c r="AJ217" s="17"/>
      <c r="AK217" s="17"/>
      <c r="AL217" s="17"/>
      <c r="AM217" s="17"/>
      <c r="AN217" s="17"/>
      <c r="AO217" s="17"/>
      <c r="AP217" s="18">
        <f t="shared" si="3"/>
        <v>494088.54139999975</v>
      </c>
    </row>
    <row r="218" spans="1:42" ht="15" customHeight="1" x14ac:dyDescent="0.2">
      <c r="A218" s="16" t="s">
        <v>611</v>
      </c>
      <c r="B218" s="16" t="s">
        <v>330</v>
      </c>
      <c r="C218" s="16" t="s">
        <v>426</v>
      </c>
      <c r="D218" s="16" t="s">
        <v>650</v>
      </c>
      <c r="E218" s="17">
        <v>438.0478</v>
      </c>
      <c r="F218" s="17">
        <v>823.98429999999996</v>
      </c>
      <c r="G218" s="17">
        <v>6443.5030999999999</v>
      </c>
      <c r="H218" s="17">
        <v>9398.5134999999991</v>
      </c>
      <c r="I218" s="17">
        <v>8681.9658999999992</v>
      </c>
      <c r="J218" s="17">
        <v>8017.2074000000002</v>
      </c>
      <c r="K218" s="17">
        <v>7425.0558000000001</v>
      </c>
      <c r="L218" s="17">
        <v>6908.0092000000004</v>
      </c>
      <c r="M218" s="17">
        <v>6453.3697000000002</v>
      </c>
      <c r="N218" s="17">
        <v>6050.7755999999999</v>
      </c>
      <c r="O218" s="17">
        <v>5691.9346999999998</v>
      </c>
      <c r="P218" s="17">
        <v>5369.2241000000004</v>
      </c>
      <c r="Q218" s="17">
        <v>5059.2763999999997</v>
      </c>
      <c r="R218" s="17">
        <v>4756.2142999999996</v>
      </c>
      <c r="S218" s="17">
        <v>4470.8415000000005</v>
      </c>
      <c r="T218" s="17">
        <v>4202.5910000000003</v>
      </c>
      <c r="U218" s="17">
        <v>3950.4355</v>
      </c>
      <c r="V218" s="17">
        <v>3713.4094</v>
      </c>
      <c r="W218" s="17">
        <v>3490.6048000000001</v>
      </c>
      <c r="X218" s="17">
        <v>3281.1685000000002</v>
      </c>
      <c r="Y218" s="17">
        <v>3084.2984000000001</v>
      </c>
      <c r="Z218" s="17">
        <v>2899.2404999999999</v>
      </c>
      <c r="AA218" s="17">
        <v>2725.2860999999998</v>
      </c>
      <c r="AB218" s="17">
        <v>9035.6828999999998</v>
      </c>
      <c r="AC218" s="17">
        <v>12976.7744</v>
      </c>
      <c r="AD218" s="17">
        <v>12198.168</v>
      </c>
      <c r="AE218" s="17">
        <v>11466.277899999999</v>
      </c>
      <c r="AF218" s="17">
        <v>6368.2451000000001</v>
      </c>
      <c r="AG218" s="17"/>
      <c r="AH218" s="17"/>
      <c r="AI218" s="17"/>
      <c r="AJ218" s="17"/>
      <c r="AK218" s="17"/>
      <c r="AL218" s="17"/>
      <c r="AM218" s="17"/>
      <c r="AN218" s="17"/>
      <c r="AO218" s="17"/>
      <c r="AP218" s="18">
        <f t="shared" si="3"/>
        <v>165380.10580000002</v>
      </c>
    </row>
    <row r="219" spans="1:42" ht="15" customHeight="1" x14ac:dyDescent="0.2">
      <c r="A219" s="16" t="s">
        <v>615</v>
      </c>
      <c r="B219" s="16" t="s">
        <v>616</v>
      </c>
      <c r="C219" s="16" t="s">
        <v>217</v>
      </c>
      <c r="D219" s="16" t="s">
        <v>650</v>
      </c>
      <c r="E219" s="17">
        <v>2501.7671</v>
      </c>
      <c r="F219" s="17">
        <v>13492.899799999999</v>
      </c>
      <c r="G219" s="17">
        <v>28574.916000000001</v>
      </c>
      <c r="H219" s="17">
        <v>24193.067599999998</v>
      </c>
      <c r="I219" s="17">
        <v>20142.0219</v>
      </c>
      <c r="J219" s="17">
        <v>17209.591700000001</v>
      </c>
      <c r="K219" s="17">
        <v>15010.862499999999</v>
      </c>
      <c r="L219" s="17">
        <v>14163.702600000001</v>
      </c>
      <c r="M219" s="17">
        <v>14357.0496</v>
      </c>
      <c r="N219" s="17">
        <v>11391.4185</v>
      </c>
      <c r="O219" s="17">
        <v>10160.6697</v>
      </c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8">
        <f t="shared" si="3"/>
        <v>171197.967</v>
      </c>
    </row>
    <row r="220" spans="1:42" ht="15" customHeight="1" x14ac:dyDescent="0.2">
      <c r="A220" s="16" t="s">
        <v>615</v>
      </c>
      <c r="B220" s="16" t="s">
        <v>616</v>
      </c>
      <c r="C220" s="16" t="s">
        <v>218</v>
      </c>
      <c r="D220" s="16" t="s">
        <v>650</v>
      </c>
      <c r="E220" s="17">
        <v>6178.4294</v>
      </c>
      <c r="F220" s="17">
        <v>14223.5821</v>
      </c>
      <c r="G220" s="17">
        <v>18514.292000000001</v>
      </c>
      <c r="H220" s="17">
        <v>15583.3645</v>
      </c>
      <c r="I220" s="17">
        <v>14634.465700000001</v>
      </c>
      <c r="J220" s="17">
        <v>13748.267400000001</v>
      </c>
      <c r="K220" s="17">
        <v>12950.6078</v>
      </c>
      <c r="L220" s="17">
        <v>12235.804099999999</v>
      </c>
      <c r="M220" s="17">
        <v>11565.229300000001</v>
      </c>
      <c r="N220" s="17">
        <v>11977.235500000001</v>
      </c>
      <c r="O220" s="17">
        <v>11096.235699999999</v>
      </c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8">
        <f t="shared" si="3"/>
        <v>142707.5135</v>
      </c>
    </row>
    <row r="221" spans="1:42" ht="15" customHeight="1" x14ac:dyDescent="0.2">
      <c r="A221" s="16" t="s">
        <v>615</v>
      </c>
      <c r="B221" s="16" t="s">
        <v>616</v>
      </c>
      <c r="C221" s="16" t="s">
        <v>219</v>
      </c>
      <c r="D221" s="16" t="s">
        <v>650</v>
      </c>
      <c r="E221" s="17">
        <v>379.38069999999999</v>
      </c>
      <c r="F221" s="17">
        <v>659.11440000000005</v>
      </c>
      <c r="G221" s="17">
        <v>785.55679999999995</v>
      </c>
      <c r="H221" s="17">
        <v>861.73019999999997</v>
      </c>
      <c r="I221" s="17">
        <v>908.71960000000001</v>
      </c>
      <c r="J221" s="17">
        <v>936.48839999999996</v>
      </c>
      <c r="K221" s="17">
        <v>951.10569999999996</v>
      </c>
      <c r="L221" s="17">
        <v>943.74199999999996</v>
      </c>
      <c r="M221" s="17">
        <v>901.74570000000006</v>
      </c>
      <c r="N221" s="17">
        <v>847.99699999999996</v>
      </c>
      <c r="O221" s="17">
        <v>669.80309999999997</v>
      </c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8">
        <f t="shared" si="3"/>
        <v>8845.383600000001</v>
      </c>
    </row>
    <row r="222" spans="1:42" ht="15" customHeight="1" x14ac:dyDescent="0.2">
      <c r="A222" s="16" t="s">
        <v>615</v>
      </c>
      <c r="B222" s="16" t="s">
        <v>429</v>
      </c>
      <c r="C222" s="16" t="s">
        <v>179</v>
      </c>
      <c r="D222" s="16" t="s">
        <v>650</v>
      </c>
      <c r="E222" s="17">
        <v>2836.3634999999999</v>
      </c>
      <c r="F222" s="17">
        <v>6219.1880000000001</v>
      </c>
      <c r="G222" s="17">
        <v>29718.9483</v>
      </c>
      <c r="H222" s="17">
        <v>38106.263700000003</v>
      </c>
      <c r="I222" s="17">
        <v>35356.939899999998</v>
      </c>
      <c r="J222" s="17">
        <v>32997.892899999999</v>
      </c>
      <c r="K222" s="17">
        <v>30926.388900000002</v>
      </c>
      <c r="L222" s="17">
        <v>29089.515500000001</v>
      </c>
      <c r="M222" s="17">
        <v>27361.0635</v>
      </c>
      <c r="N222" s="17">
        <v>25623.836899999998</v>
      </c>
      <c r="O222" s="17">
        <v>20151.705300000001</v>
      </c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8">
        <f t="shared" si="3"/>
        <v>278388.10639999999</v>
      </c>
    </row>
    <row r="223" spans="1:42" ht="15" customHeight="1" x14ac:dyDescent="0.2">
      <c r="A223" s="16" t="s">
        <v>615</v>
      </c>
      <c r="B223" s="16" t="s">
        <v>429</v>
      </c>
      <c r="C223" s="16" t="s">
        <v>429</v>
      </c>
      <c r="D223" s="16" t="s">
        <v>650</v>
      </c>
      <c r="E223" s="17">
        <v>101.63939999999999</v>
      </c>
      <c r="F223" s="17">
        <v>166.29400000000001</v>
      </c>
      <c r="G223" s="17">
        <v>169.89830000000001</v>
      </c>
      <c r="H223" s="17">
        <v>159.7243</v>
      </c>
      <c r="I223" s="17">
        <v>150.14080000000001</v>
      </c>
      <c r="J223" s="17">
        <v>141.13239999999999</v>
      </c>
      <c r="K223" s="17">
        <v>132.6645</v>
      </c>
      <c r="L223" s="17">
        <v>124.7046</v>
      </c>
      <c r="M223" s="17">
        <v>117.2223</v>
      </c>
      <c r="N223" s="17">
        <v>110.18899999999999</v>
      </c>
      <c r="O223" s="17">
        <v>87.034400000000005</v>
      </c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8">
        <f t="shared" si="3"/>
        <v>1460.644</v>
      </c>
    </row>
    <row r="224" spans="1:42" ht="15" customHeight="1" x14ac:dyDescent="0.2">
      <c r="A224" s="16" t="s">
        <v>617</v>
      </c>
      <c r="B224" s="16" t="s">
        <v>618</v>
      </c>
      <c r="C224" s="16" t="s">
        <v>178</v>
      </c>
      <c r="D224" s="16" t="s">
        <v>650</v>
      </c>
      <c r="E224" s="17">
        <v>39660.623299999999</v>
      </c>
      <c r="F224" s="17">
        <v>30020.709500000001</v>
      </c>
      <c r="G224" s="17">
        <v>153795.4301</v>
      </c>
      <c r="H224" s="17">
        <v>55868.2359</v>
      </c>
      <c r="I224" s="17">
        <v>5815.0823</v>
      </c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8">
        <f t="shared" si="3"/>
        <v>285160.08110000001</v>
      </c>
    </row>
    <row r="225" spans="1:42" ht="15" customHeight="1" x14ac:dyDescent="0.2">
      <c r="A225" s="16" t="s">
        <v>617</v>
      </c>
      <c r="B225" s="16" t="s">
        <v>618</v>
      </c>
      <c r="C225" s="16" t="s">
        <v>440</v>
      </c>
      <c r="D225" s="16" t="s">
        <v>650</v>
      </c>
      <c r="E225" s="17">
        <v>11780</v>
      </c>
      <c r="F225" s="17">
        <v>208970.00570000001</v>
      </c>
      <c r="G225" s="17">
        <v>102071.18889999999</v>
      </c>
      <c r="H225" s="17">
        <v>49683.381500000003</v>
      </c>
      <c r="I225" s="17">
        <v>5268.8218999999999</v>
      </c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8">
        <f t="shared" si="3"/>
        <v>377773.39799999999</v>
      </c>
    </row>
    <row r="226" spans="1:42" ht="15" customHeight="1" x14ac:dyDescent="0.2">
      <c r="A226" s="16" t="s">
        <v>617</v>
      </c>
      <c r="B226" s="16" t="s">
        <v>618</v>
      </c>
      <c r="C226" s="16" t="s">
        <v>376</v>
      </c>
      <c r="D226" s="16" t="s">
        <v>650</v>
      </c>
      <c r="E226" s="17">
        <v>135784.60990000001</v>
      </c>
      <c r="F226" s="17">
        <v>127189.3046</v>
      </c>
      <c r="G226" s="17">
        <v>22776.414799999999</v>
      </c>
      <c r="H226" s="17">
        <v>53384.014499999997</v>
      </c>
      <c r="I226" s="17">
        <v>6443.2915000000003</v>
      </c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8">
        <f t="shared" si="3"/>
        <v>345577.63529999997</v>
      </c>
    </row>
    <row r="227" spans="1:42" ht="15" customHeight="1" x14ac:dyDescent="0.2">
      <c r="A227" s="16" t="s">
        <v>619</v>
      </c>
      <c r="B227" s="16" t="s">
        <v>232</v>
      </c>
      <c r="C227" s="16" t="s">
        <v>232</v>
      </c>
      <c r="D227" s="16" t="s">
        <v>650</v>
      </c>
      <c r="E227" s="17">
        <v>1177</v>
      </c>
      <c r="F227" s="17">
        <v>3197</v>
      </c>
      <c r="G227" s="17">
        <v>3359</v>
      </c>
      <c r="H227" s="17">
        <v>5403</v>
      </c>
      <c r="I227" s="17">
        <v>10000</v>
      </c>
      <c r="J227" s="17">
        <v>12368</v>
      </c>
      <c r="K227" s="17">
        <v>10881</v>
      </c>
      <c r="L227" s="17">
        <v>9324</v>
      </c>
      <c r="M227" s="17">
        <v>7953</v>
      </c>
      <c r="N227" s="17">
        <v>6871</v>
      </c>
      <c r="O227" s="17">
        <v>5932</v>
      </c>
      <c r="P227" s="17">
        <v>5062</v>
      </c>
      <c r="Q227" s="17">
        <v>4435</v>
      </c>
      <c r="R227" s="17">
        <v>3911</v>
      </c>
      <c r="S227" s="17">
        <v>3398</v>
      </c>
      <c r="T227" s="17">
        <v>2844</v>
      </c>
      <c r="U227" s="17">
        <v>2470</v>
      </c>
      <c r="V227" s="17">
        <v>2023</v>
      </c>
      <c r="W227" s="17">
        <v>2290</v>
      </c>
      <c r="X227" s="17">
        <v>2043</v>
      </c>
      <c r="Y227" s="17">
        <v>1569</v>
      </c>
      <c r="Z227" s="17">
        <v>1424</v>
      </c>
      <c r="AA227" s="17">
        <v>1224</v>
      </c>
      <c r="AB227" s="17">
        <v>5192</v>
      </c>
      <c r="AC227" s="17">
        <v>4764</v>
      </c>
      <c r="AD227" s="17">
        <v>0</v>
      </c>
      <c r="AE227" s="17">
        <v>0</v>
      </c>
      <c r="AF227" s="17">
        <v>0</v>
      </c>
      <c r="AG227" s="17">
        <v>0</v>
      </c>
      <c r="AH227" s="17">
        <v>0</v>
      </c>
      <c r="AI227" s="17">
        <v>0</v>
      </c>
      <c r="AJ227" s="17">
        <v>0</v>
      </c>
      <c r="AK227" s="17">
        <v>0</v>
      </c>
      <c r="AL227" s="17"/>
      <c r="AM227" s="17"/>
      <c r="AN227" s="17"/>
      <c r="AO227" s="17"/>
      <c r="AP227" s="18">
        <f t="shared" si="3"/>
        <v>119114</v>
      </c>
    </row>
    <row r="228" spans="1:42" ht="15" customHeight="1" x14ac:dyDescent="0.2">
      <c r="A228" s="16" t="s">
        <v>619</v>
      </c>
      <c r="B228" s="16" t="s">
        <v>235</v>
      </c>
      <c r="C228" s="16" t="s">
        <v>235</v>
      </c>
      <c r="D228" s="16" t="s">
        <v>650</v>
      </c>
      <c r="E228" s="17">
        <v>1702</v>
      </c>
      <c r="F228" s="17">
        <v>20366</v>
      </c>
      <c r="G228" s="17">
        <v>48214</v>
      </c>
      <c r="H228" s="17">
        <v>48556</v>
      </c>
      <c r="I228" s="17">
        <v>47068</v>
      </c>
      <c r="J228" s="17">
        <v>43316</v>
      </c>
      <c r="K228" s="17">
        <v>38828</v>
      </c>
      <c r="L228" s="17">
        <v>34151</v>
      </c>
      <c r="M228" s="17">
        <v>59476</v>
      </c>
      <c r="N228" s="17">
        <v>48675</v>
      </c>
      <c r="O228" s="17">
        <v>40181</v>
      </c>
      <c r="P228" s="17">
        <v>33358</v>
      </c>
      <c r="Q228" s="17">
        <v>0</v>
      </c>
      <c r="R228" s="17">
        <v>0</v>
      </c>
      <c r="S228" s="17">
        <v>0</v>
      </c>
      <c r="T228" s="17">
        <v>0</v>
      </c>
      <c r="U228" s="17">
        <v>0</v>
      </c>
      <c r="V228" s="17">
        <v>0</v>
      </c>
      <c r="W228" s="17">
        <v>0</v>
      </c>
      <c r="X228" s="17">
        <v>0</v>
      </c>
      <c r="Y228" s="17">
        <v>0</v>
      </c>
      <c r="Z228" s="17">
        <v>0</v>
      </c>
      <c r="AA228" s="17">
        <v>0</v>
      </c>
      <c r="AB228" s="17">
        <v>0</v>
      </c>
      <c r="AC228" s="17">
        <v>0</v>
      </c>
      <c r="AD228" s="17">
        <v>0</v>
      </c>
      <c r="AE228" s="17">
        <v>0</v>
      </c>
      <c r="AF228" s="17">
        <v>0</v>
      </c>
      <c r="AG228" s="17">
        <v>0</v>
      </c>
      <c r="AH228" s="17">
        <v>0</v>
      </c>
      <c r="AI228" s="17">
        <v>0</v>
      </c>
      <c r="AJ228" s="17">
        <v>0</v>
      </c>
      <c r="AK228" s="17">
        <v>0</v>
      </c>
      <c r="AL228" s="17"/>
      <c r="AM228" s="17"/>
      <c r="AN228" s="17"/>
      <c r="AO228" s="17"/>
      <c r="AP228" s="18">
        <f t="shared" si="3"/>
        <v>463891</v>
      </c>
    </row>
    <row r="229" spans="1:42" ht="15" customHeight="1" x14ac:dyDescent="0.2">
      <c r="A229" s="16" t="s">
        <v>619</v>
      </c>
      <c r="B229" s="16" t="s">
        <v>620</v>
      </c>
      <c r="C229" s="16" t="s">
        <v>254</v>
      </c>
      <c r="D229" s="16" t="s">
        <v>650</v>
      </c>
      <c r="E229" s="17">
        <v>0</v>
      </c>
      <c r="F229" s="17">
        <v>1954</v>
      </c>
      <c r="G229" s="17">
        <v>3385</v>
      </c>
      <c r="H229" s="17">
        <v>3263</v>
      </c>
      <c r="I229" s="17">
        <v>3019</v>
      </c>
      <c r="J229" s="17">
        <v>2694</v>
      </c>
      <c r="K229" s="17">
        <v>7745</v>
      </c>
      <c r="L229" s="17">
        <v>0</v>
      </c>
      <c r="M229" s="17">
        <v>0</v>
      </c>
      <c r="N229" s="17">
        <v>0</v>
      </c>
      <c r="O229" s="17">
        <v>0</v>
      </c>
      <c r="P229" s="17">
        <v>0</v>
      </c>
      <c r="Q229" s="17">
        <v>0</v>
      </c>
      <c r="R229" s="17">
        <v>0</v>
      </c>
      <c r="S229" s="17">
        <v>0</v>
      </c>
      <c r="T229" s="17">
        <v>0</v>
      </c>
      <c r="U229" s="17">
        <v>0</v>
      </c>
      <c r="V229" s="17">
        <v>0</v>
      </c>
      <c r="W229" s="17">
        <v>0</v>
      </c>
      <c r="X229" s="17">
        <v>0</v>
      </c>
      <c r="Y229" s="17">
        <v>0</v>
      </c>
      <c r="Z229" s="17">
        <v>0</v>
      </c>
      <c r="AA229" s="17">
        <v>0</v>
      </c>
      <c r="AB229" s="17">
        <v>0</v>
      </c>
      <c r="AC229" s="17">
        <v>0</v>
      </c>
      <c r="AD229" s="17">
        <v>0</v>
      </c>
      <c r="AE229" s="17">
        <v>0</v>
      </c>
      <c r="AF229" s="17">
        <v>0</v>
      </c>
      <c r="AG229" s="17">
        <v>0</v>
      </c>
      <c r="AH229" s="17">
        <v>0</v>
      </c>
      <c r="AI229" s="17">
        <v>0</v>
      </c>
      <c r="AJ229" s="17">
        <v>0</v>
      </c>
      <c r="AK229" s="17">
        <v>0</v>
      </c>
      <c r="AL229" s="17"/>
      <c r="AM229" s="17"/>
      <c r="AN229" s="17"/>
      <c r="AO229" s="17"/>
      <c r="AP229" s="18">
        <f t="shared" si="3"/>
        <v>22060</v>
      </c>
    </row>
    <row r="230" spans="1:42" ht="15" customHeight="1" x14ac:dyDescent="0.2">
      <c r="A230" s="16" t="s">
        <v>621</v>
      </c>
      <c r="B230" s="16" t="s">
        <v>622</v>
      </c>
      <c r="C230" s="16" t="s">
        <v>204</v>
      </c>
      <c r="D230" s="16" t="s">
        <v>650</v>
      </c>
      <c r="E230" s="17">
        <v>22300</v>
      </c>
      <c r="F230" s="17">
        <v>40800</v>
      </c>
      <c r="G230" s="17">
        <v>35600</v>
      </c>
      <c r="H230" s="17">
        <v>33800</v>
      </c>
      <c r="I230" s="17">
        <v>35300</v>
      </c>
      <c r="J230" s="17">
        <v>35700</v>
      </c>
      <c r="K230" s="17">
        <v>31100</v>
      </c>
      <c r="L230" s="17">
        <v>27200</v>
      </c>
      <c r="M230" s="17">
        <v>65900</v>
      </c>
      <c r="N230" s="17">
        <v>59100</v>
      </c>
      <c r="O230" s="17">
        <v>52100</v>
      </c>
      <c r="P230" s="17">
        <v>25800</v>
      </c>
      <c r="Q230" s="17">
        <v>12200</v>
      </c>
      <c r="R230" s="17">
        <v>10900</v>
      </c>
      <c r="S230" s="17">
        <v>30800</v>
      </c>
      <c r="T230" s="17">
        <v>46200</v>
      </c>
      <c r="U230" s="17">
        <v>41600</v>
      </c>
      <c r="V230" s="17">
        <v>34200</v>
      </c>
      <c r="W230" s="17">
        <v>10400</v>
      </c>
      <c r="X230" s="17">
        <v>3600</v>
      </c>
      <c r="Y230" s="17">
        <v>3200</v>
      </c>
      <c r="Z230" s="17">
        <v>2900</v>
      </c>
      <c r="AA230" s="17">
        <v>2000</v>
      </c>
      <c r="AB230" s="17">
        <v>1900</v>
      </c>
      <c r="AC230" s="17">
        <v>1800</v>
      </c>
      <c r="AD230" s="17">
        <v>1800</v>
      </c>
      <c r="AE230" s="17">
        <v>1700</v>
      </c>
      <c r="AF230" s="17">
        <v>1600</v>
      </c>
      <c r="AG230" s="17">
        <v>1500</v>
      </c>
      <c r="AH230" s="17">
        <v>1500</v>
      </c>
      <c r="AI230" s="17">
        <v>1400</v>
      </c>
      <c r="AJ230" s="17">
        <v>1400</v>
      </c>
      <c r="AK230" s="17">
        <v>1300</v>
      </c>
      <c r="AL230" s="17">
        <v>1300</v>
      </c>
      <c r="AM230" s="17">
        <v>2200</v>
      </c>
      <c r="AN230" s="17">
        <v>5700</v>
      </c>
      <c r="AO230" s="17">
        <v>6400</v>
      </c>
      <c r="AP230" s="18">
        <f t="shared" si="3"/>
        <v>694200</v>
      </c>
    </row>
    <row r="231" spans="1:42" ht="15" customHeight="1" x14ac:dyDescent="0.2">
      <c r="A231" s="16" t="s">
        <v>621</v>
      </c>
      <c r="B231" s="16" t="s">
        <v>622</v>
      </c>
      <c r="C231" s="16" t="s">
        <v>205</v>
      </c>
      <c r="D231" s="16" t="s">
        <v>650</v>
      </c>
      <c r="E231" s="17">
        <v>0</v>
      </c>
      <c r="F231" s="17">
        <v>2600</v>
      </c>
      <c r="G231" s="17">
        <v>7000</v>
      </c>
      <c r="H231" s="17">
        <v>10800</v>
      </c>
      <c r="I231" s="17">
        <v>17700</v>
      </c>
      <c r="J231" s="17">
        <v>16100</v>
      </c>
      <c r="K231" s="17">
        <v>15600</v>
      </c>
      <c r="L231" s="17">
        <v>15700</v>
      </c>
      <c r="M231" s="17">
        <v>14200</v>
      </c>
      <c r="N231" s="17">
        <v>12600</v>
      </c>
      <c r="O231" s="17">
        <v>11200</v>
      </c>
      <c r="P231" s="17">
        <v>10000</v>
      </c>
      <c r="Q231" s="17">
        <v>8900</v>
      </c>
      <c r="R231" s="17">
        <v>7600</v>
      </c>
      <c r="S231" s="17">
        <v>6700</v>
      </c>
      <c r="T231" s="17">
        <v>6000</v>
      </c>
      <c r="U231" s="17">
        <v>5300</v>
      </c>
      <c r="V231" s="17">
        <v>4800</v>
      </c>
      <c r="W231" s="17">
        <v>4200</v>
      </c>
      <c r="X231" s="17">
        <v>3800</v>
      </c>
      <c r="Y231" s="17">
        <v>3400</v>
      </c>
      <c r="Z231" s="17">
        <v>3000</v>
      </c>
      <c r="AA231" s="17">
        <v>2700</v>
      </c>
      <c r="AB231" s="17">
        <v>2400</v>
      </c>
      <c r="AC231" s="17">
        <v>1800</v>
      </c>
      <c r="AD231" s="17">
        <v>1600</v>
      </c>
      <c r="AE231" s="17">
        <v>1400</v>
      </c>
      <c r="AF231" s="17">
        <v>1300</v>
      </c>
      <c r="AG231" s="17">
        <v>2100</v>
      </c>
      <c r="AH231" s="17">
        <v>4500</v>
      </c>
      <c r="AI231" s="17">
        <v>4000</v>
      </c>
      <c r="AJ231" s="17">
        <v>3600</v>
      </c>
      <c r="AK231" s="17">
        <v>3200</v>
      </c>
      <c r="AL231" s="17">
        <v>2800</v>
      </c>
      <c r="AM231" s="17">
        <v>2500</v>
      </c>
      <c r="AN231" s="17">
        <v>7500</v>
      </c>
      <c r="AO231" s="17">
        <v>9500</v>
      </c>
      <c r="AP231" s="18">
        <f t="shared" si="3"/>
        <v>238100</v>
      </c>
    </row>
    <row r="232" spans="1:42" ht="15" customHeight="1" x14ac:dyDescent="0.2">
      <c r="A232" s="16" t="s">
        <v>621</v>
      </c>
      <c r="B232" s="16" t="s">
        <v>622</v>
      </c>
      <c r="C232" s="16" t="s">
        <v>285</v>
      </c>
      <c r="D232" s="16" t="s">
        <v>650</v>
      </c>
      <c r="E232" s="17">
        <v>5600</v>
      </c>
      <c r="F232" s="17">
        <v>24400</v>
      </c>
      <c r="G232" s="17">
        <v>43300</v>
      </c>
      <c r="H232" s="17">
        <v>79900</v>
      </c>
      <c r="I232" s="17">
        <v>179500</v>
      </c>
      <c r="J232" s="17">
        <v>202200</v>
      </c>
      <c r="K232" s="17">
        <v>184700</v>
      </c>
      <c r="L232" s="17">
        <v>202000</v>
      </c>
      <c r="M232" s="17">
        <v>290000</v>
      </c>
      <c r="N232" s="17">
        <v>360600</v>
      </c>
      <c r="O232" s="17">
        <v>441000</v>
      </c>
      <c r="P232" s="17">
        <v>487800</v>
      </c>
      <c r="Q232" s="17">
        <v>446500</v>
      </c>
      <c r="R232" s="17">
        <v>413000</v>
      </c>
      <c r="S232" s="17">
        <v>368500</v>
      </c>
      <c r="T232" s="17">
        <v>294700</v>
      </c>
      <c r="U232" s="17">
        <v>250000</v>
      </c>
      <c r="V232" s="17">
        <v>222000</v>
      </c>
      <c r="W232" s="17">
        <v>194600</v>
      </c>
      <c r="X232" s="17">
        <v>174800</v>
      </c>
      <c r="Y232" s="17">
        <v>158900</v>
      </c>
      <c r="Z232" s="17">
        <v>142400</v>
      </c>
      <c r="AA232" s="17">
        <v>136200</v>
      </c>
      <c r="AB232" s="17">
        <v>118400</v>
      </c>
      <c r="AC232" s="17">
        <v>100100</v>
      </c>
      <c r="AD232" s="17">
        <v>87600</v>
      </c>
      <c r="AE232" s="17">
        <v>79200</v>
      </c>
      <c r="AF232" s="17">
        <v>76800</v>
      </c>
      <c r="AG232" s="17">
        <v>66000</v>
      </c>
      <c r="AH232" s="17">
        <v>60600</v>
      </c>
      <c r="AI232" s="17">
        <v>57200</v>
      </c>
      <c r="AJ232" s="17">
        <v>45500</v>
      </c>
      <c r="AK232" s="17">
        <v>32500</v>
      </c>
      <c r="AL232" s="17">
        <v>14500</v>
      </c>
      <c r="AM232" s="17">
        <v>8200</v>
      </c>
      <c r="AN232" s="17">
        <v>27200</v>
      </c>
      <c r="AO232" s="17">
        <v>32900</v>
      </c>
      <c r="AP232" s="18">
        <f t="shared" si="3"/>
        <v>6109300</v>
      </c>
    </row>
    <row r="233" spans="1:42" ht="15" customHeight="1" x14ac:dyDescent="0.2">
      <c r="A233" s="16" t="s">
        <v>621</v>
      </c>
      <c r="B233" s="16" t="s">
        <v>622</v>
      </c>
      <c r="C233" s="16" t="s">
        <v>342</v>
      </c>
      <c r="D233" s="16" t="s">
        <v>650</v>
      </c>
      <c r="E233" s="17">
        <v>7400</v>
      </c>
      <c r="F233" s="17">
        <v>55200</v>
      </c>
      <c r="G233" s="17">
        <v>84500</v>
      </c>
      <c r="H233" s="17">
        <v>127800</v>
      </c>
      <c r="I233" s="17">
        <v>142200</v>
      </c>
      <c r="J233" s="17">
        <v>252000</v>
      </c>
      <c r="K233" s="17">
        <v>503800</v>
      </c>
      <c r="L233" s="17">
        <v>642400</v>
      </c>
      <c r="M233" s="17">
        <v>631700</v>
      </c>
      <c r="N233" s="17">
        <v>599200</v>
      </c>
      <c r="O233" s="17">
        <v>567500</v>
      </c>
      <c r="P233" s="17">
        <v>499800</v>
      </c>
      <c r="Q233" s="17">
        <v>440300</v>
      </c>
      <c r="R233" s="17">
        <v>387900</v>
      </c>
      <c r="S233" s="17">
        <v>344900</v>
      </c>
      <c r="T233" s="17">
        <v>302200</v>
      </c>
      <c r="U233" s="17">
        <v>264200</v>
      </c>
      <c r="V233" s="17">
        <v>232700</v>
      </c>
      <c r="W233" s="17">
        <v>204900</v>
      </c>
      <c r="X233" s="17">
        <v>180300</v>
      </c>
      <c r="Y233" s="17">
        <v>159100</v>
      </c>
      <c r="Z233" s="17">
        <v>142400</v>
      </c>
      <c r="AA233" s="17">
        <v>125500</v>
      </c>
      <c r="AB233" s="17">
        <v>111300</v>
      </c>
      <c r="AC233" s="17">
        <v>102200</v>
      </c>
      <c r="AD233" s="17">
        <v>96500</v>
      </c>
      <c r="AE233" s="17">
        <v>94500</v>
      </c>
      <c r="AF233" s="17">
        <v>78500</v>
      </c>
      <c r="AG233" s="17">
        <v>68700</v>
      </c>
      <c r="AH233" s="17">
        <v>60600</v>
      </c>
      <c r="AI233" s="17">
        <v>52000</v>
      </c>
      <c r="AJ233" s="17">
        <v>40200</v>
      </c>
      <c r="AK233" s="17">
        <v>27700</v>
      </c>
      <c r="AL233" s="17">
        <v>19400</v>
      </c>
      <c r="AM233" s="17">
        <v>13000</v>
      </c>
      <c r="AN233" s="17">
        <v>33000</v>
      </c>
      <c r="AO233" s="17">
        <v>39400</v>
      </c>
      <c r="AP233" s="18">
        <f t="shared" si="3"/>
        <v>7734900</v>
      </c>
    </row>
    <row r="234" spans="1:42" ht="15" customHeight="1" x14ac:dyDescent="0.2">
      <c r="A234" s="16" t="s">
        <v>621</v>
      </c>
      <c r="B234" s="16" t="s">
        <v>622</v>
      </c>
      <c r="C234" s="16" t="s">
        <v>343</v>
      </c>
      <c r="D234" s="16" t="s">
        <v>650</v>
      </c>
      <c r="E234" s="17">
        <v>0</v>
      </c>
      <c r="F234" s="17">
        <v>0</v>
      </c>
      <c r="G234" s="17">
        <v>1500</v>
      </c>
      <c r="H234" s="17">
        <v>6400</v>
      </c>
      <c r="I234" s="17">
        <v>11800</v>
      </c>
      <c r="J234" s="17">
        <v>33700</v>
      </c>
      <c r="K234" s="17">
        <v>29000</v>
      </c>
      <c r="L234" s="17">
        <v>25200</v>
      </c>
      <c r="M234" s="17">
        <v>22100</v>
      </c>
      <c r="N234" s="17">
        <v>19500</v>
      </c>
      <c r="O234" s="17">
        <v>17400</v>
      </c>
      <c r="P234" s="17">
        <v>15600</v>
      </c>
      <c r="Q234" s="17">
        <v>14100</v>
      </c>
      <c r="R234" s="17">
        <v>12700</v>
      </c>
      <c r="S234" s="17">
        <v>11600</v>
      </c>
      <c r="T234" s="17">
        <v>10600</v>
      </c>
      <c r="U234" s="17">
        <v>9700</v>
      </c>
      <c r="V234" s="17">
        <v>9000</v>
      </c>
      <c r="W234" s="17">
        <v>8300</v>
      </c>
      <c r="X234" s="17">
        <v>7700</v>
      </c>
      <c r="Y234" s="17">
        <v>7100</v>
      </c>
      <c r="Z234" s="17">
        <v>6600</v>
      </c>
      <c r="AA234" s="17">
        <v>6200</v>
      </c>
      <c r="AB234" s="17">
        <v>5800</v>
      </c>
      <c r="AC234" s="17">
        <v>5400</v>
      </c>
      <c r="AD234" s="17">
        <v>5100</v>
      </c>
      <c r="AE234" s="17">
        <v>4800</v>
      </c>
      <c r="AF234" s="17">
        <v>4600</v>
      </c>
      <c r="AG234" s="17">
        <v>4300</v>
      </c>
      <c r="AH234" s="17">
        <v>4100</v>
      </c>
      <c r="AI234" s="17">
        <v>3900</v>
      </c>
      <c r="AJ234" s="17">
        <v>3700</v>
      </c>
      <c r="AK234" s="17">
        <v>3500</v>
      </c>
      <c r="AL234" s="17">
        <v>3300</v>
      </c>
      <c r="AM234" s="17">
        <v>3200</v>
      </c>
      <c r="AN234" s="17">
        <v>10600</v>
      </c>
      <c r="AO234" s="17">
        <v>13900</v>
      </c>
      <c r="AP234" s="18">
        <f t="shared" si="3"/>
        <v>362000</v>
      </c>
    </row>
    <row r="235" spans="1:42" ht="15" customHeight="1" x14ac:dyDescent="0.2">
      <c r="A235" s="16" t="s">
        <v>623</v>
      </c>
      <c r="B235" s="16" t="s">
        <v>487</v>
      </c>
      <c r="C235" s="16" t="s">
        <v>292</v>
      </c>
      <c r="D235" s="16" t="s">
        <v>650</v>
      </c>
      <c r="E235" s="17">
        <v>67</v>
      </c>
      <c r="F235" s="17">
        <v>174</v>
      </c>
      <c r="G235" s="17">
        <v>262</v>
      </c>
      <c r="H235" s="17">
        <v>334</v>
      </c>
      <c r="I235" s="17">
        <v>392</v>
      </c>
      <c r="J235" s="17">
        <v>437</v>
      </c>
      <c r="K235" s="17">
        <v>471</v>
      </c>
      <c r="L235" s="17">
        <v>498</v>
      </c>
      <c r="M235" s="17">
        <v>516</v>
      </c>
      <c r="N235" s="17">
        <v>525</v>
      </c>
      <c r="O235" s="17">
        <v>532</v>
      </c>
      <c r="P235" s="17">
        <v>532</v>
      </c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8">
        <f t="shared" si="3"/>
        <v>4740</v>
      </c>
    </row>
    <row r="236" spans="1:42" ht="15" customHeight="1" x14ac:dyDescent="0.2">
      <c r="A236" s="16" t="s">
        <v>625</v>
      </c>
      <c r="B236" s="16" t="s">
        <v>195</v>
      </c>
      <c r="C236" s="16" t="s">
        <v>131</v>
      </c>
      <c r="D236" s="16" t="s">
        <v>650</v>
      </c>
      <c r="E236" s="17">
        <v>499</v>
      </c>
      <c r="F236" s="17">
        <v>938</v>
      </c>
      <c r="G236" s="17">
        <v>1287</v>
      </c>
      <c r="H236" s="17">
        <v>1557</v>
      </c>
      <c r="I236" s="17">
        <v>150</v>
      </c>
      <c r="J236" s="17">
        <v>0</v>
      </c>
      <c r="K236" s="17">
        <v>0</v>
      </c>
      <c r="L236" s="17">
        <v>0</v>
      </c>
      <c r="M236" s="17">
        <v>0</v>
      </c>
      <c r="N236" s="17">
        <v>0</v>
      </c>
      <c r="O236" s="17">
        <v>0</v>
      </c>
      <c r="P236" s="17">
        <v>0</v>
      </c>
      <c r="Q236" s="17">
        <v>0</v>
      </c>
      <c r="R236" s="17">
        <v>0</v>
      </c>
      <c r="S236" s="17">
        <v>0</v>
      </c>
      <c r="T236" s="17">
        <v>0</v>
      </c>
      <c r="U236" s="17">
        <v>0</v>
      </c>
      <c r="V236" s="17">
        <v>0</v>
      </c>
      <c r="W236" s="17">
        <v>0</v>
      </c>
      <c r="X236" s="17">
        <v>0</v>
      </c>
      <c r="Y236" s="17">
        <v>0</v>
      </c>
      <c r="Z236" s="17">
        <v>0</v>
      </c>
      <c r="AA236" s="17">
        <v>0</v>
      </c>
      <c r="AB236" s="17">
        <v>0</v>
      </c>
      <c r="AC236" s="17">
        <v>0</v>
      </c>
      <c r="AD236" s="17">
        <v>0</v>
      </c>
      <c r="AE236" s="17">
        <v>0</v>
      </c>
      <c r="AF236" s="17">
        <v>0</v>
      </c>
      <c r="AG236" s="17">
        <v>0</v>
      </c>
      <c r="AH236" s="17">
        <v>0</v>
      </c>
      <c r="AI236" s="17">
        <v>0</v>
      </c>
      <c r="AJ236" s="17">
        <v>0</v>
      </c>
      <c r="AK236" s="17">
        <v>0</v>
      </c>
      <c r="AL236" s="17">
        <v>0</v>
      </c>
      <c r="AM236" s="17">
        <v>0</v>
      </c>
      <c r="AN236" s="17">
        <v>0</v>
      </c>
      <c r="AO236" s="17">
        <v>0</v>
      </c>
      <c r="AP236" s="18">
        <f t="shared" si="3"/>
        <v>4431</v>
      </c>
    </row>
    <row r="237" spans="1:42" ht="15" customHeight="1" x14ac:dyDescent="0.2">
      <c r="A237" s="16" t="s">
        <v>625</v>
      </c>
      <c r="B237" s="16" t="s">
        <v>195</v>
      </c>
      <c r="C237" s="16" t="s">
        <v>143</v>
      </c>
      <c r="D237" s="16" t="s">
        <v>650</v>
      </c>
      <c r="E237" s="17">
        <v>9343</v>
      </c>
      <c r="F237" s="17">
        <v>26104</v>
      </c>
      <c r="G237" s="17">
        <v>20173</v>
      </c>
      <c r="H237" s="17">
        <v>15653</v>
      </c>
      <c r="I237" s="17">
        <v>1040</v>
      </c>
      <c r="J237" s="17">
        <v>0</v>
      </c>
      <c r="K237" s="17">
        <v>0</v>
      </c>
      <c r="L237" s="17">
        <v>0</v>
      </c>
      <c r="M237" s="17">
        <v>0</v>
      </c>
      <c r="N237" s="17">
        <v>0</v>
      </c>
      <c r="O237" s="17">
        <v>0</v>
      </c>
      <c r="P237" s="17">
        <v>0</v>
      </c>
      <c r="Q237" s="17">
        <v>0</v>
      </c>
      <c r="R237" s="17">
        <v>0</v>
      </c>
      <c r="S237" s="17">
        <v>0</v>
      </c>
      <c r="T237" s="17">
        <v>0</v>
      </c>
      <c r="U237" s="17">
        <v>0</v>
      </c>
      <c r="V237" s="17">
        <v>0</v>
      </c>
      <c r="W237" s="17">
        <v>0</v>
      </c>
      <c r="X237" s="17">
        <v>0</v>
      </c>
      <c r="Y237" s="17">
        <v>0</v>
      </c>
      <c r="Z237" s="17">
        <v>0</v>
      </c>
      <c r="AA237" s="17">
        <v>0</v>
      </c>
      <c r="AB237" s="17">
        <v>0</v>
      </c>
      <c r="AC237" s="17">
        <v>0</v>
      </c>
      <c r="AD237" s="17">
        <v>0</v>
      </c>
      <c r="AE237" s="17">
        <v>0</v>
      </c>
      <c r="AF237" s="17">
        <v>0</v>
      </c>
      <c r="AG237" s="17">
        <v>0</v>
      </c>
      <c r="AH237" s="17">
        <v>0</v>
      </c>
      <c r="AI237" s="17">
        <v>0</v>
      </c>
      <c r="AJ237" s="17">
        <v>0</v>
      </c>
      <c r="AK237" s="17">
        <v>0</v>
      </c>
      <c r="AL237" s="17">
        <v>0</v>
      </c>
      <c r="AM237" s="17">
        <v>0</v>
      </c>
      <c r="AN237" s="17">
        <v>0</v>
      </c>
      <c r="AO237" s="17">
        <v>0</v>
      </c>
      <c r="AP237" s="18">
        <f t="shared" si="3"/>
        <v>72313</v>
      </c>
    </row>
    <row r="238" spans="1:42" ht="15" customHeight="1" x14ac:dyDescent="0.2">
      <c r="A238" s="16" t="s">
        <v>625</v>
      </c>
      <c r="B238" s="16" t="s">
        <v>195</v>
      </c>
      <c r="C238" s="16" t="s">
        <v>195</v>
      </c>
      <c r="D238" s="16" t="s">
        <v>650</v>
      </c>
      <c r="E238" s="17">
        <v>48988</v>
      </c>
      <c r="F238" s="17">
        <v>70741</v>
      </c>
      <c r="G238" s="17">
        <v>107999</v>
      </c>
      <c r="H238" s="17">
        <v>141722</v>
      </c>
      <c r="I238" s="17">
        <v>10314</v>
      </c>
      <c r="J238" s="17">
        <v>0</v>
      </c>
      <c r="K238" s="17">
        <v>0</v>
      </c>
      <c r="L238" s="17">
        <v>0</v>
      </c>
      <c r="M238" s="17">
        <v>0</v>
      </c>
      <c r="N238" s="17">
        <v>0</v>
      </c>
      <c r="O238" s="17">
        <v>0</v>
      </c>
      <c r="P238" s="17">
        <v>0</v>
      </c>
      <c r="Q238" s="17">
        <v>0</v>
      </c>
      <c r="R238" s="17">
        <v>0</v>
      </c>
      <c r="S238" s="17">
        <v>0</v>
      </c>
      <c r="T238" s="17">
        <v>0</v>
      </c>
      <c r="U238" s="17">
        <v>0</v>
      </c>
      <c r="V238" s="17">
        <v>0</v>
      </c>
      <c r="W238" s="17">
        <v>0</v>
      </c>
      <c r="X238" s="17">
        <v>0</v>
      </c>
      <c r="Y238" s="17">
        <v>0</v>
      </c>
      <c r="Z238" s="17">
        <v>0</v>
      </c>
      <c r="AA238" s="17">
        <v>0</v>
      </c>
      <c r="AB238" s="17">
        <v>0</v>
      </c>
      <c r="AC238" s="17">
        <v>0</v>
      </c>
      <c r="AD238" s="17">
        <v>0</v>
      </c>
      <c r="AE238" s="17">
        <v>0</v>
      </c>
      <c r="AF238" s="17">
        <v>0</v>
      </c>
      <c r="AG238" s="17">
        <v>0</v>
      </c>
      <c r="AH238" s="17">
        <v>0</v>
      </c>
      <c r="AI238" s="17">
        <v>0</v>
      </c>
      <c r="AJ238" s="17">
        <v>0</v>
      </c>
      <c r="AK238" s="17">
        <v>0</v>
      </c>
      <c r="AL238" s="17">
        <v>0</v>
      </c>
      <c r="AM238" s="17">
        <v>0</v>
      </c>
      <c r="AN238" s="17">
        <v>0</v>
      </c>
      <c r="AO238" s="17">
        <v>0</v>
      </c>
      <c r="AP238" s="18">
        <f t="shared" si="3"/>
        <v>379764</v>
      </c>
    </row>
    <row r="239" spans="1:42" ht="15" customHeight="1" x14ac:dyDescent="0.2">
      <c r="A239" s="16" t="s">
        <v>625</v>
      </c>
      <c r="B239" s="16" t="s">
        <v>195</v>
      </c>
      <c r="C239" s="16" t="s">
        <v>243</v>
      </c>
      <c r="D239" s="16" t="s">
        <v>650</v>
      </c>
      <c r="E239" s="17">
        <v>789</v>
      </c>
      <c r="F239" s="17">
        <v>1245</v>
      </c>
      <c r="G239" s="17">
        <v>1478</v>
      </c>
      <c r="H239" s="17">
        <v>1568</v>
      </c>
      <c r="I239" s="17">
        <v>134</v>
      </c>
      <c r="J239" s="17">
        <v>0</v>
      </c>
      <c r="K239" s="17">
        <v>0</v>
      </c>
      <c r="L239" s="17">
        <v>0</v>
      </c>
      <c r="M239" s="17">
        <v>0</v>
      </c>
      <c r="N239" s="17">
        <v>0</v>
      </c>
      <c r="O239" s="17">
        <v>0</v>
      </c>
      <c r="P239" s="17">
        <v>0</v>
      </c>
      <c r="Q239" s="17">
        <v>0</v>
      </c>
      <c r="R239" s="17">
        <v>0</v>
      </c>
      <c r="S239" s="17">
        <v>0</v>
      </c>
      <c r="T239" s="17">
        <v>0</v>
      </c>
      <c r="U239" s="17">
        <v>0</v>
      </c>
      <c r="V239" s="17">
        <v>0</v>
      </c>
      <c r="W239" s="17">
        <v>0</v>
      </c>
      <c r="X239" s="17">
        <v>0</v>
      </c>
      <c r="Y239" s="17">
        <v>0</v>
      </c>
      <c r="Z239" s="17">
        <v>0</v>
      </c>
      <c r="AA239" s="17">
        <v>0</v>
      </c>
      <c r="AB239" s="17">
        <v>0</v>
      </c>
      <c r="AC239" s="17">
        <v>0</v>
      </c>
      <c r="AD239" s="17">
        <v>0</v>
      </c>
      <c r="AE239" s="17">
        <v>0</v>
      </c>
      <c r="AF239" s="17">
        <v>0</v>
      </c>
      <c r="AG239" s="17">
        <v>0</v>
      </c>
      <c r="AH239" s="17">
        <v>0</v>
      </c>
      <c r="AI239" s="17">
        <v>0</v>
      </c>
      <c r="AJ239" s="17">
        <v>0</v>
      </c>
      <c r="AK239" s="17">
        <v>0</v>
      </c>
      <c r="AL239" s="17">
        <v>0</v>
      </c>
      <c r="AM239" s="17">
        <v>0</v>
      </c>
      <c r="AN239" s="17">
        <v>0</v>
      </c>
      <c r="AO239" s="17">
        <v>0</v>
      </c>
      <c r="AP239" s="18">
        <f t="shared" si="3"/>
        <v>5214</v>
      </c>
    </row>
    <row r="240" spans="1:42" ht="15" customHeight="1" x14ac:dyDescent="0.2">
      <c r="A240" s="16" t="s">
        <v>625</v>
      </c>
      <c r="B240" s="16" t="s">
        <v>195</v>
      </c>
      <c r="C240" s="16" t="s">
        <v>302</v>
      </c>
      <c r="D240" s="16" t="s">
        <v>650</v>
      </c>
      <c r="E240" s="17">
        <v>111</v>
      </c>
      <c r="F240" s="17">
        <v>508</v>
      </c>
      <c r="G240" s="17">
        <v>824</v>
      </c>
      <c r="H240" s="17">
        <v>1060</v>
      </c>
      <c r="I240" s="17">
        <v>103</v>
      </c>
      <c r="J240" s="17">
        <v>0</v>
      </c>
      <c r="K240" s="17">
        <v>0</v>
      </c>
      <c r="L240" s="17">
        <v>0</v>
      </c>
      <c r="M240" s="17">
        <v>0</v>
      </c>
      <c r="N240" s="17">
        <v>0</v>
      </c>
      <c r="O240" s="17">
        <v>0</v>
      </c>
      <c r="P240" s="17">
        <v>0</v>
      </c>
      <c r="Q240" s="17">
        <v>0</v>
      </c>
      <c r="R240" s="17">
        <v>0</v>
      </c>
      <c r="S240" s="17">
        <v>0</v>
      </c>
      <c r="T240" s="17">
        <v>0</v>
      </c>
      <c r="U240" s="17">
        <v>0</v>
      </c>
      <c r="V240" s="17">
        <v>0</v>
      </c>
      <c r="W240" s="17">
        <v>0</v>
      </c>
      <c r="X240" s="17">
        <v>0</v>
      </c>
      <c r="Y240" s="17">
        <v>0</v>
      </c>
      <c r="Z240" s="17">
        <v>0</v>
      </c>
      <c r="AA240" s="17">
        <v>0</v>
      </c>
      <c r="AB240" s="17">
        <v>0</v>
      </c>
      <c r="AC240" s="17">
        <v>0</v>
      </c>
      <c r="AD240" s="17">
        <v>0</v>
      </c>
      <c r="AE240" s="17">
        <v>0</v>
      </c>
      <c r="AF240" s="17">
        <v>0</v>
      </c>
      <c r="AG240" s="17">
        <v>0</v>
      </c>
      <c r="AH240" s="17">
        <v>0</v>
      </c>
      <c r="AI240" s="17">
        <v>0</v>
      </c>
      <c r="AJ240" s="17">
        <v>0</v>
      </c>
      <c r="AK240" s="17">
        <v>0</v>
      </c>
      <c r="AL240" s="17">
        <v>0</v>
      </c>
      <c r="AM240" s="17">
        <v>0</v>
      </c>
      <c r="AN240" s="17">
        <v>0</v>
      </c>
      <c r="AO240" s="17">
        <v>0</v>
      </c>
      <c r="AP240" s="18">
        <f t="shared" si="3"/>
        <v>2606</v>
      </c>
    </row>
    <row r="241" spans="1:42" ht="15" customHeight="1" x14ac:dyDescent="0.2">
      <c r="A241" s="16" t="s">
        <v>625</v>
      </c>
      <c r="B241" s="16" t="s">
        <v>195</v>
      </c>
      <c r="C241" s="16" t="s">
        <v>646</v>
      </c>
      <c r="D241" s="16" t="s">
        <v>650</v>
      </c>
      <c r="E241" s="17">
        <v>3942</v>
      </c>
      <c r="F241" s="17">
        <v>10993</v>
      </c>
      <c r="G241" s="17">
        <v>9797</v>
      </c>
      <c r="H241" s="17">
        <v>8644</v>
      </c>
      <c r="I241" s="17">
        <v>644</v>
      </c>
      <c r="J241" s="17">
        <v>0</v>
      </c>
      <c r="K241" s="17">
        <v>0</v>
      </c>
      <c r="L241" s="17">
        <v>0</v>
      </c>
      <c r="M241" s="17">
        <v>0</v>
      </c>
      <c r="N241" s="17">
        <v>0</v>
      </c>
      <c r="O241" s="17">
        <v>0</v>
      </c>
      <c r="P241" s="17">
        <v>0</v>
      </c>
      <c r="Q241" s="17">
        <v>0</v>
      </c>
      <c r="R241" s="17">
        <v>0</v>
      </c>
      <c r="S241" s="17">
        <v>0</v>
      </c>
      <c r="T241" s="17">
        <v>0</v>
      </c>
      <c r="U241" s="17">
        <v>0</v>
      </c>
      <c r="V241" s="17">
        <v>0</v>
      </c>
      <c r="W241" s="17">
        <v>0</v>
      </c>
      <c r="X241" s="17">
        <v>0</v>
      </c>
      <c r="Y241" s="17">
        <v>0</v>
      </c>
      <c r="Z241" s="17">
        <v>0</v>
      </c>
      <c r="AA241" s="17">
        <v>0</v>
      </c>
      <c r="AB241" s="17">
        <v>0</v>
      </c>
      <c r="AC241" s="17">
        <v>0</v>
      </c>
      <c r="AD241" s="17">
        <v>0</v>
      </c>
      <c r="AE241" s="17">
        <v>0</v>
      </c>
      <c r="AF241" s="17">
        <v>0</v>
      </c>
      <c r="AG241" s="17">
        <v>0</v>
      </c>
      <c r="AH241" s="17">
        <v>0</v>
      </c>
      <c r="AI241" s="17">
        <v>0</v>
      </c>
      <c r="AJ241" s="17">
        <v>0</v>
      </c>
      <c r="AK241" s="17">
        <v>0</v>
      </c>
      <c r="AL241" s="17">
        <v>0</v>
      </c>
      <c r="AM241" s="17">
        <v>0</v>
      </c>
      <c r="AN241" s="17">
        <v>0</v>
      </c>
      <c r="AO241" s="17">
        <v>0</v>
      </c>
      <c r="AP241" s="18">
        <f t="shared" si="3"/>
        <v>34020</v>
      </c>
    </row>
    <row r="242" spans="1:42" ht="15" customHeight="1" x14ac:dyDescent="0.2">
      <c r="A242" s="16" t="s">
        <v>625</v>
      </c>
      <c r="B242" s="16" t="s">
        <v>626</v>
      </c>
      <c r="C242" s="16" t="s">
        <v>158</v>
      </c>
      <c r="D242" s="16" t="s">
        <v>650</v>
      </c>
      <c r="E242" s="17">
        <v>81753</v>
      </c>
      <c r="F242" s="17">
        <v>75803</v>
      </c>
      <c r="G242" s="17">
        <v>46092</v>
      </c>
      <c r="H242" s="17">
        <v>28349</v>
      </c>
      <c r="I242" s="17">
        <v>14833</v>
      </c>
      <c r="J242" s="17">
        <v>5203</v>
      </c>
      <c r="K242" s="17">
        <v>0</v>
      </c>
      <c r="L242" s="17">
        <v>0</v>
      </c>
      <c r="M242" s="17">
        <v>0</v>
      </c>
      <c r="N242" s="17">
        <v>0</v>
      </c>
      <c r="O242" s="17">
        <v>0</v>
      </c>
      <c r="P242" s="17">
        <v>0</v>
      </c>
      <c r="Q242" s="17">
        <v>0</v>
      </c>
      <c r="R242" s="17">
        <v>0</v>
      </c>
      <c r="S242" s="17">
        <v>0</v>
      </c>
      <c r="T242" s="17">
        <v>0</v>
      </c>
      <c r="U242" s="17">
        <v>0</v>
      </c>
      <c r="V242" s="17">
        <v>0</v>
      </c>
      <c r="W242" s="17">
        <v>0</v>
      </c>
      <c r="X242" s="17">
        <v>0</v>
      </c>
      <c r="Y242" s="17">
        <v>0</v>
      </c>
      <c r="Z242" s="17">
        <v>0</v>
      </c>
      <c r="AA242" s="17">
        <v>0</v>
      </c>
      <c r="AB242" s="17">
        <v>0</v>
      </c>
      <c r="AC242" s="17">
        <v>0</v>
      </c>
      <c r="AD242" s="17">
        <v>0</v>
      </c>
      <c r="AE242" s="17">
        <v>0</v>
      </c>
      <c r="AF242" s="17">
        <v>0</v>
      </c>
      <c r="AG242" s="17">
        <v>0</v>
      </c>
      <c r="AH242" s="17">
        <v>0</v>
      </c>
      <c r="AI242" s="17">
        <v>0</v>
      </c>
      <c r="AJ242" s="17">
        <v>0</v>
      </c>
      <c r="AK242" s="17">
        <v>0</v>
      </c>
      <c r="AL242" s="17">
        <v>0</v>
      </c>
      <c r="AM242" s="17">
        <v>0</v>
      </c>
      <c r="AN242" s="17">
        <v>0</v>
      </c>
      <c r="AO242" s="17">
        <v>0</v>
      </c>
      <c r="AP242" s="18">
        <f t="shared" si="3"/>
        <v>252033</v>
      </c>
    </row>
    <row r="243" spans="1:42" ht="15" customHeight="1" x14ac:dyDescent="0.2">
      <c r="A243" s="16" t="s">
        <v>625</v>
      </c>
      <c r="B243" s="16" t="s">
        <v>626</v>
      </c>
      <c r="C243" s="16" t="s">
        <v>374</v>
      </c>
      <c r="D243" s="16" t="s">
        <v>650</v>
      </c>
      <c r="E243" s="17">
        <v>240540</v>
      </c>
      <c r="F243" s="17">
        <v>286358</v>
      </c>
      <c r="G243" s="17">
        <v>254517</v>
      </c>
      <c r="H243" s="17">
        <v>203892</v>
      </c>
      <c r="I243" s="17">
        <v>164547</v>
      </c>
      <c r="J243" s="17">
        <v>123888</v>
      </c>
      <c r="K243" s="17">
        <v>77528</v>
      </c>
      <c r="L243" s="17">
        <v>0</v>
      </c>
      <c r="M243" s="17">
        <v>0</v>
      </c>
      <c r="N243" s="17">
        <v>0</v>
      </c>
      <c r="O243" s="17">
        <v>0</v>
      </c>
      <c r="P243" s="17">
        <v>0</v>
      </c>
      <c r="Q243" s="17">
        <v>0</v>
      </c>
      <c r="R243" s="17">
        <v>0</v>
      </c>
      <c r="S243" s="17">
        <v>0</v>
      </c>
      <c r="T243" s="17">
        <v>0</v>
      </c>
      <c r="U243" s="17">
        <v>0</v>
      </c>
      <c r="V243" s="17">
        <v>0</v>
      </c>
      <c r="W243" s="17">
        <v>0</v>
      </c>
      <c r="X243" s="17">
        <v>0</v>
      </c>
      <c r="Y243" s="17">
        <v>0</v>
      </c>
      <c r="Z243" s="17">
        <v>0</v>
      </c>
      <c r="AA243" s="17">
        <v>0</v>
      </c>
      <c r="AB243" s="17">
        <v>0</v>
      </c>
      <c r="AC243" s="17">
        <v>0</v>
      </c>
      <c r="AD243" s="17">
        <v>0</v>
      </c>
      <c r="AE243" s="17">
        <v>0</v>
      </c>
      <c r="AF243" s="17">
        <v>0</v>
      </c>
      <c r="AG243" s="17">
        <v>0</v>
      </c>
      <c r="AH243" s="17">
        <v>0</v>
      </c>
      <c r="AI243" s="17">
        <v>0</v>
      </c>
      <c r="AJ243" s="17">
        <v>0</v>
      </c>
      <c r="AK243" s="17">
        <v>0</v>
      </c>
      <c r="AL243" s="17">
        <v>0</v>
      </c>
      <c r="AM243" s="17">
        <v>0</v>
      </c>
      <c r="AN243" s="17">
        <v>0</v>
      </c>
      <c r="AO243" s="17">
        <v>0</v>
      </c>
      <c r="AP243" s="18">
        <f t="shared" si="3"/>
        <v>1351270</v>
      </c>
    </row>
    <row r="244" spans="1:42" ht="15" customHeight="1" x14ac:dyDescent="0.2">
      <c r="A244" s="16" t="s">
        <v>625</v>
      </c>
      <c r="B244" s="16" t="s">
        <v>626</v>
      </c>
      <c r="C244" s="16" t="s">
        <v>398</v>
      </c>
      <c r="D244" s="16" t="s">
        <v>650</v>
      </c>
      <c r="E244" s="17">
        <v>0</v>
      </c>
      <c r="F244" s="17">
        <v>0</v>
      </c>
      <c r="G244" s="17">
        <v>6076</v>
      </c>
      <c r="H244" s="17">
        <v>127493</v>
      </c>
      <c r="I244" s="17">
        <v>166001</v>
      </c>
      <c r="J244" s="17">
        <v>98861</v>
      </c>
      <c r="K244" s="17">
        <v>155298</v>
      </c>
      <c r="L244" s="17">
        <v>0</v>
      </c>
      <c r="M244" s="17">
        <v>0</v>
      </c>
      <c r="N244" s="17">
        <v>0</v>
      </c>
      <c r="O244" s="17">
        <v>0</v>
      </c>
      <c r="P244" s="17">
        <v>0</v>
      </c>
      <c r="Q244" s="17">
        <v>0</v>
      </c>
      <c r="R244" s="17">
        <v>0</v>
      </c>
      <c r="S244" s="17">
        <v>0</v>
      </c>
      <c r="T244" s="17">
        <v>0</v>
      </c>
      <c r="U244" s="17">
        <v>0</v>
      </c>
      <c r="V244" s="17">
        <v>0</v>
      </c>
      <c r="W244" s="17">
        <v>0</v>
      </c>
      <c r="X244" s="17">
        <v>0</v>
      </c>
      <c r="Y244" s="17">
        <v>0</v>
      </c>
      <c r="Z244" s="17">
        <v>0</v>
      </c>
      <c r="AA244" s="17">
        <v>0</v>
      </c>
      <c r="AB244" s="17">
        <v>0</v>
      </c>
      <c r="AC244" s="17">
        <v>0</v>
      </c>
      <c r="AD244" s="17">
        <v>0</v>
      </c>
      <c r="AE244" s="17">
        <v>0</v>
      </c>
      <c r="AF244" s="17">
        <v>0</v>
      </c>
      <c r="AG244" s="17">
        <v>0</v>
      </c>
      <c r="AH244" s="17">
        <v>0</v>
      </c>
      <c r="AI244" s="17">
        <v>0</v>
      </c>
      <c r="AJ244" s="17">
        <v>0</v>
      </c>
      <c r="AK244" s="17">
        <v>0</v>
      </c>
      <c r="AL244" s="17">
        <v>0</v>
      </c>
      <c r="AM244" s="17">
        <v>0</v>
      </c>
      <c r="AN244" s="17">
        <v>0</v>
      </c>
      <c r="AO244" s="17">
        <v>0</v>
      </c>
      <c r="AP244" s="18">
        <f t="shared" si="3"/>
        <v>553729</v>
      </c>
    </row>
    <row r="245" spans="1:42" ht="15" customHeight="1" x14ac:dyDescent="0.2">
      <c r="A245" s="16" t="s">
        <v>625</v>
      </c>
      <c r="B245" s="16" t="s">
        <v>627</v>
      </c>
      <c r="C245" s="16" t="s">
        <v>164</v>
      </c>
      <c r="D245" s="16" t="s">
        <v>650</v>
      </c>
      <c r="E245" s="17">
        <v>208903</v>
      </c>
      <c r="F245" s="17">
        <v>341776</v>
      </c>
      <c r="G245" s="17">
        <v>480378</v>
      </c>
      <c r="H245" s="17">
        <v>496317</v>
      </c>
      <c r="I245" s="17">
        <v>468341</v>
      </c>
      <c r="J245" s="17">
        <v>397423</v>
      </c>
      <c r="K245" s="17">
        <v>329222</v>
      </c>
      <c r="L245" s="17">
        <v>314916</v>
      </c>
      <c r="M245" s="17">
        <v>291946</v>
      </c>
      <c r="N245" s="17">
        <v>247518</v>
      </c>
      <c r="O245" s="17">
        <v>210384</v>
      </c>
      <c r="P245" s="17">
        <v>178978</v>
      </c>
      <c r="Q245" s="17">
        <v>160192</v>
      </c>
      <c r="R245" s="17">
        <v>135735</v>
      </c>
      <c r="S245" s="17">
        <v>135066</v>
      </c>
      <c r="T245" s="17">
        <v>489091</v>
      </c>
      <c r="U245" s="17">
        <v>440155</v>
      </c>
      <c r="V245" s="17">
        <v>400130</v>
      </c>
      <c r="W245" s="17">
        <v>342777</v>
      </c>
      <c r="X245" s="17">
        <v>0</v>
      </c>
      <c r="Y245" s="17">
        <v>0</v>
      </c>
      <c r="Z245" s="17">
        <v>0</v>
      </c>
      <c r="AA245" s="17">
        <v>0</v>
      </c>
      <c r="AB245" s="17">
        <v>0</v>
      </c>
      <c r="AC245" s="17">
        <v>0</v>
      </c>
      <c r="AD245" s="17">
        <v>0</v>
      </c>
      <c r="AE245" s="17">
        <v>0</v>
      </c>
      <c r="AF245" s="17">
        <v>0</v>
      </c>
      <c r="AG245" s="17">
        <v>0</v>
      </c>
      <c r="AH245" s="17">
        <v>0</v>
      </c>
      <c r="AI245" s="17">
        <v>0</v>
      </c>
      <c r="AJ245" s="17">
        <v>0</v>
      </c>
      <c r="AK245" s="17">
        <v>0</v>
      </c>
      <c r="AL245" s="17">
        <v>0</v>
      </c>
      <c r="AM245" s="17">
        <v>0</v>
      </c>
      <c r="AN245" s="17">
        <v>0</v>
      </c>
      <c r="AO245" s="17">
        <v>0</v>
      </c>
      <c r="AP245" s="18">
        <f t="shared" si="3"/>
        <v>6069248</v>
      </c>
    </row>
    <row r="246" spans="1:42" ht="15" customHeight="1" x14ac:dyDescent="0.2">
      <c r="A246" s="16" t="s">
        <v>625</v>
      </c>
      <c r="B246" s="16" t="s">
        <v>627</v>
      </c>
      <c r="C246" s="16" t="s">
        <v>167</v>
      </c>
      <c r="D246" s="16" t="s">
        <v>650</v>
      </c>
      <c r="E246" s="17">
        <v>59181</v>
      </c>
      <c r="F246" s="17">
        <v>64246</v>
      </c>
      <c r="G246" s="17">
        <v>66883</v>
      </c>
      <c r="H246" s="17">
        <v>56159</v>
      </c>
      <c r="I246" s="17">
        <v>70782</v>
      </c>
      <c r="J246" s="17">
        <v>70395</v>
      </c>
      <c r="K246" s="17">
        <v>60005</v>
      </c>
      <c r="L246" s="17">
        <v>55669</v>
      </c>
      <c r="M246" s="17">
        <v>56036</v>
      </c>
      <c r="N246" s="17">
        <v>55635</v>
      </c>
      <c r="O246" s="17">
        <v>48770</v>
      </c>
      <c r="P246" s="17">
        <v>33484</v>
      </c>
      <c r="Q246" s="17">
        <v>26751</v>
      </c>
      <c r="R246" s="17">
        <v>20281</v>
      </c>
      <c r="S246" s="17">
        <v>19576</v>
      </c>
      <c r="T246" s="17">
        <v>19483</v>
      </c>
      <c r="U246" s="17">
        <v>95080</v>
      </c>
      <c r="V246" s="17">
        <v>0</v>
      </c>
      <c r="W246" s="17">
        <v>0</v>
      </c>
      <c r="X246" s="17">
        <v>0</v>
      </c>
      <c r="Y246" s="17">
        <v>0</v>
      </c>
      <c r="Z246" s="17">
        <v>0</v>
      </c>
      <c r="AA246" s="17">
        <v>0</v>
      </c>
      <c r="AB246" s="17">
        <v>0</v>
      </c>
      <c r="AC246" s="17">
        <v>0</v>
      </c>
      <c r="AD246" s="17">
        <v>0</v>
      </c>
      <c r="AE246" s="17">
        <v>0</v>
      </c>
      <c r="AF246" s="17">
        <v>0</v>
      </c>
      <c r="AG246" s="17">
        <v>0</v>
      </c>
      <c r="AH246" s="17">
        <v>0</v>
      </c>
      <c r="AI246" s="17">
        <v>0</v>
      </c>
      <c r="AJ246" s="17">
        <v>0</v>
      </c>
      <c r="AK246" s="17">
        <v>0</v>
      </c>
      <c r="AL246" s="17">
        <v>0</v>
      </c>
      <c r="AM246" s="17">
        <v>0</v>
      </c>
      <c r="AN246" s="17">
        <v>0</v>
      </c>
      <c r="AO246" s="17">
        <v>0</v>
      </c>
      <c r="AP246" s="18">
        <f t="shared" si="3"/>
        <v>878416</v>
      </c>
    </row>
    <row r="247" spans="1:42" ht="15" customHeight="1" x14ac:dyDescent="0.2">
      <c r="A247" s="16" t="s">
        <v>625</v>
      </c>
      <c r="B247" s="16" t="s">
        <v>627</v>
      </c>
      <c r="C247" s="16" t="s">
        <v>369</v>
      </c>
      <c r="D247" s="16" t="s">
        <v>650</v>
      </c>
      <c r="E247" s="17">
        <v>31194</v>
      </c>
      <c r="F247" s="17">
        <v>28359</v>
      </c>
      <c r="G247" s="17">
        <v>25932</v>
      </c>
      <c r="H247" s="17">
        <v>23762</v>
      </c>
      <c r="I247" s="17">
        <v>21864</v>
      </c>
      <c r="J247" s="17">
        <v>20028</v>
      </c>
      <c r="K247" s="17">
        <v>18412</v>
      </c>
      <c r="L247" s="17">
        <v>16933</v>
      </c>
      <c r="M247" s="17">
        <v>15618</v>
      </c>
      <c r="N247" s="17">
        <v>14329</v>
      </c>
      <c r="O247" s="17">
        <v>51988</v>
      </c>
      <c r="P247" s="17">
        <v>45585</v>
      </c>
      <c r="Q247" s="17">
        <v>0</v>
      </c>
      <c r="R247" s="17">
        <v>0</v>
      </c>
      <c r="S247" s="17">
        <v>0</v>
      </c>
      <c r="T247" s="17">
        <v>0</v>
      </c>
      <c r="U247" s="17">
        <v>0</v>
      </c>
      <c r="V247" s="17">
        <v>0</v>
      </c>
      <c r="W247" s="17">
        <v>0</v>
      </c>
      <c r="X247" s="17">
        <v>0</v>
      </c>
      <c r="Y247" s="17">
        <v>0</v>
      </c>
      <c r="Z247" s="17">
        <v>0</v>
      </c>
      <c r="AA247" s="17">
        <v>0</v>
      </c>
      <c r="AB247" s="17">
        <v>0</v>
      </c>
      <c r="AC247" s="17">
        <v>0</v>
      </c>
      <c r="AD247" s="17">
        <v>0</v>
      </c>
      <c r="AE247" s="17">
        <v>0</v>
      </c>
      <c r="AF247" s="17">
        <v>0</v>
      </c>
      <c r="AG247" s="17">
        <v>0</v>
      </c>
      <c r="AH247" s="17">
        <v>0</v>
      </c>
      <c r="AI247" s="17">
        <v>0</v>
      </c>
      <c r="AJ247" s="17">
        <v>0</v>
      </c>
      <c r="AK247" s="17">
        <v>0</v>
      </c>
      <c r="AL247" s="17">
        <v>0</v>
      </c>
      <c r="AM247" s="17">
        <v>0</v>
      </c>
      <c r="AN247" s="17">
        <v>0</v>
      </c>
      <c r="AO247" s="17">
        <v>0</v>
      </c>
      <c r="AP247" s="18">
        <f t="shared" si="3"/>
        <v>314004</v>
      </c>
    </row>
    <row r="248" spans="1:42" ht="15" customHeight="1" x14ac:dyDescent="0.2">
      <c r="A248" s="16" t="s">
        <v>625</v>
      </c>
      <c r="B248" s="16" t="s">
        <v>628</v>
      </c>
      <c r="C248" s="16" t="s">
        <v>165</v>
      </c>
      <c r="D248" s="16" t="s">
        <v>650</v>
      </c>
      <c r="E248" s="17">
        <v>0</v>
      </c>
      <c r="F248" s="17">
        <v>0</v>
      </c>
      <c r="G248" s="17">
        <v>14535</v>
      </c>
      <c r="H248" s="17">
        <v>80789</v>
      </c>
      <c r="I248" s="17">
        <v>58354</v>
      </c>
      <c r="J248" s="17">
        <v>41946</v>
      </c>
      <c r="K248" s="17">
        <v>42256</v>
      </c>
      <c r="L248" s="17">
        <v>74964</v>
      </c>
      <c r="M248" s="17">
        <v>48077</v>
      </c>
      <c r="N248" s="17">
        <v>20543</v>
      </c>
      <c r="O248" s="17">
        <v>11638</v>
      </c>
      <c r="P248" s="17">
        <v>6988</v>
      </c>
      <c r="Q248" s="17">
        <v>0</v>
      </c>
      <c r="R248" s="17">
        <v>0</v>
      </c>
      <c r="S248" s="17">
        <v>0</v>
      </c>
      <c r="T248" s="17">
        <v>0</v>
      </c>
      <c r="U248" s="17">
        <v>0</v>
      </c>
      <c r="V248" s="17">
        <v>0</v>
      </c>
      <c r="W248" s="17">
        <v>0</v>
      </c>
      <c r="X248" s="17">
        <v>0</v>
      </c>
      <c r="Y248" s="17">
        <v>0</v>
      </c>
      <c r="Z248" s="17">
        <v>0</v>
      </c>
      <c r="AA248" s="17">
        <v>0</v>
      </c>
      <c r="AB248" s="17">
        <v>0</v>
      </c>
      <c r="AC248" s="17">
        <v>0</v>
      </c>
      <c r="AD248" s="17">
        <v>0</v>
      </c>
      <c r="AE248" s="17">
        <v>0</v>
      </c>
      <c r="AF248" s="17">
        <v>0</v>
      </c>
      <c r="AG248" s="17">
        <v>0</v>
      </c>
      <c r="AH248" s="17">
        <v>0</v>
      </c>
      <c r="AI248" s="17">
        <v>0</v>
      </c>
      <c r="AJ248" s="17">
        <v>0</v>
      </c>
      <c r="AK248" s="17">
        <v>0</v>
      </c>
      <c r="AL248" s="17">
        <v>0</v>
      </c>
      <c r="AM248" s="17">
        <v>0</v>
      </c>
      <c r="AN248" s="17">
        <v>0</v>
      </c>
      <c r="AO248" s="17">
        <v>0</v>
      </c>
      <c r="AP248" s="18">
        <f t="shared" si="3"/>
        <v>400090</v>
      </c>
    </row>
    <row r="249" spans="1:42" ht="15" customHeight="1" x14ac:dyDescent="0.2">
      <c r="A249" s="16" t="s">
        <v>625</v>
      </c>
      <c r="B249" s="16" t="s">
        <v>628</v>
      </c>
      <c r="C249" s="16" t="s">
        <v>175</v>
      </c>
      <c r="D249" s="16" t="s">
        <v>650</v>
      </c>
      <c r="E249" s="17">
        <v>0</v>
      </c>
      <c r="F249" s="17">
        <v>0</v>
      </c>
      <c r="G249" s="17">
        <v>0</v>
      </c>
      <c r="H249" s="17">
        <v>0</v>
      </c>
      <c r="I249" s="17">
        <v>0</v>
      </c>
      <c r="J249" s="17">
        <v>0</v>
      </c>
      <c r="K249" s="17">
        <v>0</v>
      </c>
      <c r="L249" s="17">
        <v>0</v>
      </c>
      <c r="M249" s="17">
        <v>0</v>
      </c>
      <c r="N249" s="17">
        <v>0</v>
      </c>
      <c r="O249" s="17">
        <v>0</v>
      </c>
      <c r="P249" s="17">
        <v>15456</v>
      </c>
      <c r="Q249" s="17">
        <v>43954</v>
      </c>
      <c r="R249" s="17">
        <v>25215</v>
      </c>
      <c r="S249" s="17">
        <v>0</v>
      </c>
      <c r="T249" s="17">
        <v>0</v>
      </c>
      <c r="U249" s="17">
        <v>0</v>
      </c>
      <c r="V249" s="17">
        <v>0</v>
      </c>
      <c r="W249" s="17">
        <v>0</v>
      </c>
      <c r="X249" s="17">
        <v>0</v>
      </c>
      <c r="Y249" s="17">
        <v>0</v>
      </c>
      <c r="Z249" s="17">
        <v>0</v>
      </c>
      <c r="AA249" s="17">
        <v>0</v>
      </c>
      <c r="AB249" s="17">
        <v>0</v>
      </c>
      <c r="AC249" s="17">
        <v>0</v>
      </c>
      <c r="AD249" s="17">
        <v>0</v>
      </c>
      <c r="AE249" s="17">
        <v>0</v>
      </c>
      <c r="AF249" s="17">
        <v>0</v>
      </c>
      <c r="AG249" s="17">
        <v>0</v>
      </c>
      <c r="AH249" s="17">
        <v>0</v>
      </c>
      <c r="AI249" s="17">
        <v>0</v>
      </c>
      <c r="AJ249" s="17">
        <v>0</v>
      </c>
      <c r="AK249" s="17">
        <v>0</v>
      </c>
      <c r="AL249" s="17">
        <v>0</v>
      </c>
      <c r="AM249" s="17">
        <v>0</v>
      </c>
      <c r="AN249" s="17">
        <v>0</v>
      </c>
      <c r="AO249" s="17">
        <v>0</v>
      </c>
      <c r="AP249" s="18">
        <f t="shared" si="3"/>
        <v>84625</v>
      </c>
    </row>
    <row r="250" spans="1:42" ht="15" customHeight="1" x14ac:dyDescent="0.2">
      <c r="A250" s="16" t="s">
        <v>631</v>
      </c>
      <c r="B250" s="16" t="s">
        <v>632</v>
      </c>
      <c r="C250" s="16" t="s">
        <v>283</v>
      </c>
      <c r="D250" s="16" t="s">
        <v>650</v>
      </c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>
        <v>96605.325899999996</v>
      </c>
      <c r="T250" s="17">
        <v>318270.11040000001</v>
      </c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8">
        <f t="shared" si="3"/>
        <v>414875.4363</v>
      </c>
    </row>
    <row r="251" spans="1:42" ht="15" customHeight="1" x14ac:dyDescent="0.2">
      <c r="A251" s="16" t="s">
        <v>631</v>
      </c>
      <c r="B251" s="16" t="s">
        <v>632</v>
      </c>
      <c r="C251" s="16" t="s">
        <v>348</v>
      </c>
      <c r="D251" s="16" t="s">
        <v>650</v>
      </c>
      <c r="E251" s="17">
        <v>0</v>
      </c>
      <c r="F251" s="17">
        <v>0</v>
      </c>
      <c r="G251" s="17">
        <v>0</v>
      </c>
      <c r="H251" s="17">
        <v>0</v>
      </c>
      <c r="I251" s="17">
        <v>0</v>
      </c>
      <c r="J251" s="17">
        <v>1510.105</v>
      </c>
      <c r="K251" s="17">
        <v>1576.9677999999999</v>
      </c>
      <c r="L251" s="17">
        <v>1207.1114</v>
      </c>
      <c r="M251" s="17">
        <v>911.48519999999996</v>
      </c>
      <c r="N251" s="17">
        <v>46025.328399999999</v>
      </c>
      <c r="O251" s="17">
        <v>256987.1439</v>
      </c>
      <c r="P251" s="17">
        <v>174638.35980000001</v>
      </c>
      <c r="Q251" s="17">
        <v>131995.17050000001</v>
      </c>
      <c r="R251" s="17">
        <v>105552.6998</v>
      </c>
      <c r="S251" s="17">
        <v>88050.628299999997</v>
      </c>
      <c r="T251" s="17">
        <v>0</v>
      </c>
      <c r="U251" s="17">
        <v>0</v>
      </c>
      <c r="V251" s="17">
        <v>0</v>
      </c>
      <c r="W251" s="17">
        <v>0</v>
      </c>
      <c r="X251" s="17">
        <v>0</v>
      </c>
      <c r="Y251" s="17">
        <v>0</v>
      </c>
      <c r="Z251" s="17">
        <v>0</v>
      </c>
      <c r="AA251" s="17">
        <v>0</v>
      </c>
      <c r="AB251" s="17">
        <v>0</v>
      </c>
      <c r="AC251" s="17">
        <v>0</v>
      </c>
      <c r="AD251" s="17">
        <v>0</v>
      </c>
      <c r="AE251" s="17">
        <v>0</v>
      </c>
      <c r="AF251" s="17">
        <v>0</v>
      </c>
      <c r="AG251" s="17">
        <v>0</v>
      </c>
      <c r="AH251" s="17">
        <v>0</v>
      </c>
      <c r="AI251" s="17">
        <v>0</v>
      </c>
      <c r="AJ251" s="17">
        <v>0</v>
      </c>
      <c r="AK251" s="17">
        <v>0</v>
      </c>
      <c r="AL251" s="17">
        <v>0</v>
      </c>
      <c r="AM251" s="17">
        <v>0</v>
      </c>
      <c r="AN251" s="17">
        <v>0</v>
      </c>
      <c r="AO251" s="17">
        <v>0</v>
      </c>
      <c r="AP251" s="18">
        <f t="shared" si="3"/>
        <v>808455.00010000006</v>
      </c>
    </row>
    <row r="252" spans="1:42" ht="15" customHeight="1" x14ac:dyDescent="0.2">
      <c r="A252" s="16" t="s">
        <v>631</v>
      </c>
      <c r="B252" s="16" t="s">
        <v>632</v>
      </c>
      <c r="C252" s="16" t="s">
        <v>349</v>
      </c>
      <c r="D252" s="16" t="s">
        <v>650</v>
      </c>
      <c r="E252" s="17">
        <v>0</v>
      </c>
      <c r="F252" s="17">
        <v>0</v>
      </c>
      <c r="G252" s="17">
        <v>0</v>
      </c>
      <c r="H252" s="17">
        <v>0</v>
      </c>
      <c r="I252" s="17">
        <v>0</v>
      </c>
      <c r="J252" s="17">
        <v>51478.6967</v>
      </c>
      <c r="K252" s="17">
        <v>51043.484400000001</v>
      </c>
      <c r="L252" s="17">
        <v>37059.5579</v>
      </c>
      <c r="M252" s="17">
        <v>29174.452000000001</v>
      </c>
      <c r="N252" s="17">
        <v>23634.094000000001</v>
      </c>
      <c r="O252" s="17">
        <v>19132.185000000001</v>
      </c>
      <c r="P252" s="17">
        <v>211411.10200000001</v>
      </c>
      <c r="Q252" s="17">
        <v>198237.33600000001</v>
      </c>
      <c r="R252" s="17">
        <v>198722.18100000001</v>
      </c>
      <c r="S252" s="17">
        <v>0</v>
      </c>
      <c r="T252" s="17">
        <v>0</v>
      </c>
      <c r="U252" s="17">
        <v>0</v>
      </c>
      <c r="V252" s="17">
        <v>0</v>
      </c>
      <c r="W252" s="17">
        <v>0</v>
      </c>
      <c r="X252" s="17">
        <v>0</v>
      </c>
      <c r="Y252" s="17">
        <v>0</v>
      </c>
      <c r="Z252" s="17">
        <v>0</v>
      </c>
      <c r="AA252" s="17">
        <v>0</v>
      </c>
      <c r="AB252" s="17">
        <v>0</v>
      </c>
      <c r="AC252" s="17">
        <v>0</v>
      </c>
      <c r="AD252" s="17">
        <v>0</v>
      </c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8">
        <f t="shared" si="3"/>
        <v>819893.08900000004</v>
      </c>
    </row>
    <row r="253" spans="1:42" ht="15" customHeight="1" x14ac:dyDescent="0.2">
      <c r="A253" s="16" t="s">
        <v>633</v>
      </c>
      <c r="B253" s="16" t="s">
        <v>634</v>
      </c>
      <c r="C253" s="16" t="s">
        <v>128</v>
      </c>
      <c r="D253" s="16" t="s">
        <v>650</v>
      </c>
      <c r="E253" s="17">
        <v>24203.313099999999</v>
      </c>
      <c r="F253" s="17">
        <v>55790.024700000002</v>
      </c>
      <c r="G253" s="17">
        <v>70852.220700000005</v>
      </c>
      <c r="H253" s="17">
        <v>52290.223700000002</v>
      </c>
      <c r="I253" s="17">
        <v>40427.4444</v>
      </c>
      <c r="J253" s="17">
        <v>32120.158100000001</v>
      </c>
      <c r="K253" s="17">
        <v>26250.394700000001</v>
      </c>
      <c r="L253" s="17">
        <v>20341.743399999999</v>
      </c>
      <c r="M253" s="17">
        <v>13661.7436</v>
      </c>
      <c r="N253" s="17">
        <v>0</v>
      </c>
      <c r="O253" s="17">
        <v>0</v>
      </c>
      <c r="P253" s="17">
        <v>0</v>
      </c>
      <c r="Q253" s="17">
        <v>0</v>
      </c>
      <c r="R253" s="17">
        <v>0</v>
      </c>
      <c r="S253" s="17">
        <v>0</v>
      </c>
      <c r="T253" s="17">
        <v>0</v>
      </c>
      <c r="U253" s="17">
        <v>0</v>
      </c>
      <c r="V253" s="17">
        <v>0</v>
      </c>
      <c r="W253" s="17">
        <v>0</v>
      </c>
      <c r="X253" s="17">
        <v>0</v>
      </c>
      <c r="Y253" s="17">
        <v>0</v>
      </c>
      <c r="Z253" s="17">
        <v>0</v>
      </c>
      <c r="AA253" s="17">
        <v>0</v>
      </c>
      <c r="AB253" s="17">
        <v>0</v>
      </c>
      <c r="AC253" s="17">
        <v>0</v>
      </c>
      <c r="AD253" s="17">
        <v>0</v>
      </c>
      <c r="AE253" s="17">
        <v>0</v>
      </c>
      <c r="AF253" s="17">
        <v>0</v>
      </c>
      <c r="AG253" s="17">
        <v>0</v>
      </c>
      <c r="AH253" s="17">
        <v>0</v>
      </c>
      <c r="AI253" s="17">
        <v>0</v>
      </c>
      <c r="AJ253" s="17">
        <v>0</v>
      </c>
      <c r="AK253" s="17">
        <v>0</v>
      </c>
      <c r="AL253" s="17">
        <v>0</v>
      </c>
      <c r="AM253" s="17">
        <v>0</v>
      </c>
      <c r="AN253" s="17">
        <v>0</v>
      </c>
      <c r="AO253" s="17">
        <v>0</v>
      </c>
      <c r="AP253" s="18">
        <f t="shared" si="3"/>
        <v>335937.26640000002</v>
      </c>
    </row>
    <row r="254" spans="1:42" ht="15" customHeight="1" x14ac:dyDescent="0.2">
      <c r="A254" s="16" t="s">
        <v>635</v>
      </c>
      <c r="B254" s="16" t="s">
        <v>417</v>
      </c>
      <c r="C254" s="16" t="s">
        <v>417</v>
      </c>
      <c r="D254" s="16" t="s">
        <v>650</v>
      </c>
      <c r="E254" s="17">
        <v>2736</v>
      </c>
      <c r="F254" s="17">
        <v>9874</v>
      </c>
      <c r="G254" s="17">
        <v>10325</v>
      </c>
      <c r="H254" s="17">
        <v>19821</v>
      </c>
      <c r="I254" s="17">
        <v>29897</v>
      </c>
      <c r="J254" s="17">
        <v>29113</v>
      </c>
      <c r="K254" s="17">
        <v>27125</v>
      </c>
      <c r="L254" s="17">
        <v>25490</v>
      </c>
      <c r="M254" s="17">
        <v>24159</v>
      </c>
      <c r="N254" s="17">
        <v>22866</v>
      </c>
      <c r="O254" s="17">
        <v>21772</v>
      </c>
      <c r="P254" s="17">
        <v>20779</v>
      </c>
      <c r="Q254" s="17">
        <v>19928</v>
      </c>
      <c r="R254" s="17">
        <v>19042</v>
      </c>
      <c r="S254" s="17">
        <v>18274</v>
      </c>
      <c r="T254" s="17">
        <v>17559</v>
      </c>
      <c r="U254" s="17">
        <v>59793</v>
      </c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8">
        <f t="shared" si="3"/>
        <v>378553</v>
      </c>
    </row>
    <row r="255" spans="1:42" ht="15" customHeight="1" x14ac:dyDescent="0.2">
      <c r="A255" s="16" t="s">
        <v>636</v>
      </c>
      <c r="B255" s="16" t="s">
        <v>637</v>
      </c>
      <c r="C255" s="16" t="s">
        <v>145</v>
      </c>
      <c r="D255" s="16" t="s">
        <v>650</v>
      </c>
      <c r="E255" s="17">
        <v>87.062100000000001</v>
      </c>
      <c r="F255" s="17">
        <v>230.3184</v>
      </c>
      <c r="G255" s="17">
        <v>350.69569999999999</v>
      </c>
      <c r="H255" s="17">
        <v>20614.283599999999</v>
      </c>
      <c r="I255" s="17">
        <v>40860.123899999999</v>
      </c>
      <c r="J255" s="17">
        <v>20763.619699999999</v>
      </c>
      <c r="K255" s="17">
        <v>653.46950000000004</v>
      </c>
      <c r="L255" s="17">
        <v>342.90969999999999</v>
      </c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8">
        <f t="shared" si="3"/>
        <v>83902.482600000003</v>
      </c>
    </row>
    <row r="256" spans="1:42" ht="15" customHeight="1" x14ac:dyDescent="0.2">
      <c r="A256" s="16" t="s">
        <v>636</v>
      </c>
      <c r="B256" s="16" t="s">
        <v>637</v>
      </c>
      <c r="C256" s="16" t="s">
        <v>213</v>
      </c>
      <c r="D256" s="16" t="s">
        <v>650</v>
      </c>
      <c r="E256" s="17">
        <v>3531.3119000000002</v>
      </c>
      <c r="F256" s="17">
        <v>19020.9113</v>
      </c>
      <c r="G256" s="17">
        <v>39284.574500000002</v>
      </c>
      <c r="H256" s="17">
        <v>49656.3577</v>
      </c>
      <c r="I256" s="17">
        <v>125962.0061</v>
      </c>
      <c r="J256" s="17">
        <v>74117.510699999999</v>
      </c>
      <c r="K256" s="17">
        <v>101987.9722</v>
      </c>
      <c r="L256" s="17">
        <v>25089.700400000002</v>
      </c>
      <c r="M256" s="17">
        <v>19269.984899999999</v>
      </c>
      <c r="N256" s="17">
        <v>31218.813999999998</v>
      </c>
      <c r="O256" s="17">
        <v>33431.694199999998</v>
      </c>
      <c r="P256" s="17">
        <v>8407.2068999999992</v>
      </c>
      <c r="Q256" s="17">
        <v>6909.7169999999996</v>
      </c>
      <c r="R256" s="17">
        <v>1106.7828</v>
      </c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8">
        <f t="shared" si="3"/>
        <v>538994.54459999991</v>
      </c>
    </row>
    <row r="257" spans="1:42" ht="15" customHeight="1" x14ac:dyDescent="0.2">
      <c r="A257" s="16" t="s">
        <v>638</v>
      </c>
      <c r="B257" s="16" t="s">
        <v>639</v>
      </c>
      <c r="C257" s="16" t="s">
        <v>123</v>
      </c>
      <c r="D257" s="16" t="s">
        <v>650</v>
      </c>
      <c r="E257" s="17">
        <v>40218.557099999998</v>
      </c>
      <c r="F257" s="17">
        <v>64130.774799999999</v>
      </c>
      <c r="G257" s="17">
        <v>68190.493000000002</v>
      </c>
      <c r="H257" s="17">
        <v>85551.1008</v>
      </c>
      <c r="I257" s="17">
        <v>76013.522200000007</v>
      </c>
      <c r="J257" s="17">
        <v>77542.094500000007</v>
      </c>
      <c r="K257" s="17">
        <v>87263.022700000001</v>
      </c>
      <c r="L257" s="17">
        <v>72963.840200000006</v>
      </c>
      <c r="M257" s="17">
        <v>68576.8658</v>
      </c>
      <c r="N257" s="17">
        <v>112859.43240000001</v>
      </c>
      <c r="O257" s="17">
        <v>137477.02789999999</v>
      </c>
      <c r="P257" s="17">
        <v>74358.027400000006</v>
      </c>
      <c r="Q257" s="17">
        <v>68329.369099999996</v>
      </c>
      <c r="R257" s="17">
        <v>138221.4289</v>
      </c>
      <c r="S257" s="17">
        <v>102294.58470000001</v>
      </c>
      <c r="T257" s="17">
        <v>80902.222200000004</v>
      </c>
      <c r="U257" s="17">
        <v>0</v>
      </c>
      <c r="V257" s="17">
        <v>0</v>
      </c>
      <c r="W257" s="17">
        <v>0</v>
      </c>
      <c r="X257" s="17">
        <v>0</v>
      </c>
      <c r="Y257" s="17">
        <v>0</v>
      </c>
      <c r="Z257" s="17">
        <v>0</v>
      </c>
      <c r="AA257" s="17">
        <v>0</v>
      </c>
      <c r="AB257" s="17">
        <v>0</v>
      </c>
      <c r="AC257" s="17">
        <v>0</v>
      </c>
      <c r="AD257" s="17">
        <v>0</v>
      </c>
      <c r="AE257" s="17">
        <v>0</v>
      </c>
      <c r="AF257" s="17">
        <v>0</v>
      </c>
      <c r="AG257" s="17">
        <v>0</v>
      </c>
      <c r="AH257" s="17">
        <v>0</v>
      </c>
      <c r="AI257" s="17">
        <v>0</v>
      </c>
      <c r="AJ257" s="17">
        <v>0</v>
      </c>
      <c r="AK257" s="17">
        <v>0</v>
      </c>
      <c r="AL257" s="17">
        <v>0</v>
      </c>
      <c r="AM257" s="17">
        <v>0</v>
      </c>
      <c r="AN257" s="17">
        <v>0</v>
      </c>
      <c r="AO257" s="17">
        <v>0</v>
      </c>
      <c r="AP257" s="18">
        <f t="shared" si="3"/>
        <v>1354892.3637000001</v>
      </c>
    </row>
    <row r="258" spans="1:42" ht="15" customHeight="1" x14ac:dyDescent="0.2">
      <c r="A258" s="16" t="s">
        <v>638</v>
      </c>
      <c r="B258" s="16" t="s">
        <v>639</v>
      </c>
      <c r="C258" s="16" t="s">
        <v>139</v>
      </c>
      <c r="D258" s="16" t="s">
        <v>650</v>
      </c>
      <c r="E258" s="17">
        <v>92836.730599999995</v>
      </c>
      <c r="F258" s="17">
        <v>161451.2041</v>
      </c>
      <c r="G258" s="17">
        <v>181308.4124</v>
      </c>
      <c r="H258" s="17">
        <v>210083.32019999999</v>
      </c>
      <c r="I258" s="17">
        <v>230930.5079</v>
      </c>
      <c r="J258" s="17">
        <v>239544.4246</v>
      </c>
      <c r="K258" s="17">
        <v>206270.38949999999</v>
      </c>
      <c r="L258" s="17">
        <v>214366.11420000001</v>
      </c>
      <c r="M258" s="17">
        <v>210712.78330000001</v>
      </c>
      <c r="N258" s="17">
        <v>230110.15909999999</v>
      </c>
      <c r="O258" s="17">
        <v>227746.26730000001</v>
      </c>
      <c r="P258" s="17">
        <v>194823.1507</v>
      </c>
      <c r="Q258" s="17">
        <v>197615.43669999999</v>
      </c>
      <c r="R258" s="17">
        <v>174314.27119999999</v>
      </c>
      <c r="S258" s="17">
        <v>170172.0619</v>
      </c>
      <c r="T258" s="17">
        <v>142483.89970000001</v>
      </c>
      <c r="U258" s="17">
        <v>0</v>
      </c>
      <c r="V258" s="17">
        <v>0</v>
      </c>
      <c r="W258" s="17">
        <v>0</v>
      </c>
      <c r="X258" s="17">
        <v>0</v>
      </c>
      <c r="Y258" s="17">
        <v>0</v>
      </c>
      <c r="Z258" s="17">
        <v>0</v>
      </c>
      <c r="AA258" s="17">
        <v>0</v>
      </c>
      <c r="AB258" s="17">
        <v>0</v>
      </c>
      <c r="AC258" s="17">
        <v>0</v>
      </c>
      <c r="AD258" s="17">
        <v>0</v>
      </c>
      <c r="AE258" s="17">
        <v>0</v>
      </c>
      <c r="AF258" s="17">
        <v>0</v>
      </c>
      <c r="AG258" s="17">
        <v>0</v>
      </c>
      <c r="AH258" s="17">
        <v>0</v>
      </c>
      <c r="AI258" s="17">
        <v>0</v>
      </c>
      <c r="AJ258" s="17">
        <v>0</v>
      </c>
      <c r="AK258" s="17">
        <v>0</v>
      </c>
      <c r="AL258" s="17">
        <v>0</v>
      </c>
      <c r="AM258" s="17">
        <v>0</v>
      </c>
      <c r="AN258" s="17">
        <v>0</v>
      </c>
      <c r="AO258" s="17">
        <v>0</v>
      </c>
      <c r="AP258" s="18">
        <f t="shared" ref="AP258:AP321" si="4">SUM(E258:AO258)</f>
        <v>3084769.1334000002</v>
      </c>
    </row>
    <row r="259" spans="1:42" ht="15" customHeight="1" x14ac:dyDescent="0.2">
      <c r="A259" s="16" t="s">
        <v>638</v>
      </c>
      <c r="B259" s="16" t="s">
        <v>639</v>
      </c>
      <c r="C259" s="16" t="s">
        <v>274</v>
      </c>
      <c r="D259" s="16" t="s">
        <v>650</v>
      </c>
      <c r="E259" s="17">
        <v>12876.697200000001</v>
      </c>
      <c r="F259" s="17">
        <v>27730.238099999999</v>
      </c>
      <c r="G259" s="17">
        <v>38799.307800000002</v>
      </c>
      <c r="H259" s="17">
        <v>39623.8819</v>
      </c>
      <c r="I259" s="17">
        <v>37233.088900000002</v>
      </c>
      <c r="J259" s="17">
        <v>21509.7467</v>
      </c>
      <c r="K259" s="17">
        <v>36659.5173</v>
      </c>
      <c r="L259" s="17">
        <v>44928.581599999998</v>
      </c>
      <c r="M259" s="17">
        <v>25728.619699999999</v>
      </c>
      <c r="N259" s="17">
        <v>10115.944</v>
      </c>
      <c r="O259" s="17">
        <v>9677.5761999999995</v>
      </c>
      <c r="P259" s="17">
        <v>31358.205900000001</v>
      </c>
      <c r="Q259" s="17">
        <v>42105.1342</v>
      </c>
      <c r="R259" s="17">
        <v>39043.890299999999</v>
      </c>
      <c r="S259" s="17">
        <v>17901.254199999999</v>
      </c>
      <c r="T259" s="17">
        <v>0</v>
      </c>
      <c r="U259" s="17">
        <v>0</v>
      </c>
      <c r="V259" s="17">
        <v>0</v>
      </c>
      <c r="W259" s="17">
        <v>0</v>
      </c>
      <c r="X259" s="17">
        <v>0</v>
      </c>
      <c r="Y259" s="17">
        <v>0</v>
      </c>
      <c r="Z259" s="17">
        <v>0</v>
      </c>
      <c r="AA259" s="17">
        <v>0</v>
      </c>
      <c r="AB259" s="17">
        <v>0</v>
      </c>
      <c r="AC259" s="17">
        <v>0</v>
      </c>
      <c r="AD259" s="17">
        <v>0</v>
      </c>
      <c r="AE259" s="17">
        <v>0</v>
      </c>
      <c r="AF259" s="17">
        <v>0</v>
      </c>
      <c r="AG259" s="17">
        <v>0</v>
      </c>
      <c r="AH259" s="17">
        <v>0</v>
      </c>
      <c r="AI259" s="17">
        <v>0</v>
      </c>
      <c r="AJ259" s="17">
        <v>0</v>
      </c>
      <c r="AK259" s="17">
        <v>0</v>
      </c>
      <c r="AL259" s="17">
        <v>0</v>
      </c>
      <c r="AM259" s="17">
        <v>0</v>
      </c>
      <c r="AN259" s="17">
        <v>0</v>
      </c>
      <c r="AO259" s="17">
        <v>0</v>
      </c>
      <c r="AP259" s="18">
        <f t="shared" si="4"/>
        <v>435291.68400000007</v>
      </c>
    </row>
    <row r="260" spans="1:42" ht="15" customHeight="1" x14ac:dyDescent="0.2">
      <c r="A260" s="16" t="s">
        <v>638</v>
      </c>
      <c r="B260" s="16" t="s">
        <v>640</v>
      </c>
      <c r="C260" s="16" t="s">
        <v>137</v>
      </c>
      <c r="D260" s="16" t="s">
        <v>650</v>
      </c>
      <c r="E260" s="17">
        <v>8053.1850000000004</v>
      </c>
      <c r="F260" s="17">
        <v>17396.761200000001</v>
      </c>
      <c r="G260" s="17">
        <v>25500.713100000001</v>
      </c>
      <c r="H260" s="17">
        <v>25095.1067</v>
      </c>
      <c r="I260" s="17">
        <v>61060.788500000002</v>
      </c>
      <c r="J260" s="17">
        <v>178986.78969999999</v>
      </c>
      <c r="K260" s="17">
        <v>169829.75839999999</v>
      </c>
      <c r="L260" s="17">
        <v>105963.5487</v>
      </c>
      <c r="M260" s="17">
        <v>65086.368000000002</v>
      </c>
      <c r="N260" s="17">
        <v>53766.243799999997</v>
      </c>
      <c r="O260" s="17">
        <v>28657.739799999999</v>
      </c>
      <c r="P260" s="17">
        <v>20962.823899999999</v>
      </c>
      <c r="Q260" s="17">
        <v>12721.3555</v>
      </c>
      <c r="R260" s="17">
        <v>0</v>
      </c>
      <c r="S260" s="17">
        <v>0</v>
      </c>
      <c r="T260" s="17">
        <v>0</v>
      </c>
      <c r="U260" s="17">
        <v>0</v>
      </c>
      <c r="V260" s="17">
        <v>0</v>
      </c>
      <c r="W260" s="17">
        <v>0</v>
      </c>
      <c r="X260" s="17">
        <v>0</v>
      </c>
      <c r="Y260" s="17">
        <v>0</v>
      </c>
      <c r="Z260" s="17">
        <v>0</v>
      </c>
      <c r="AA260" s="17">
        <v>0</v>
      </c>
      <c r="AB260" s="17">
        <v>0</v>
      </c>
      <c r="AC260" s="17">
        <v>0</v>
      </c>
      <c r="AD260" s="17">
        <v>0</v>
      </c>
      <c r="AE260" s="17">
        <v>0</v>
      </c>
      <c r="AF260" s="17">
        <v>0</v>
      </c>
      <c r="AG260" s="17">
        <v>0</v>
      </c>
      <c r="AH260" s="17">
        <v>0</v>
      </c>
      <c r="AI260" s="17">
        <v>0</v>
      </c>
      <c r="AJ260" s="17">
        <v>0</v>
      </c>
      <c r="AK260" s="17">
        <v>0</v>
      </c>
      <c r="AL260" s="17">
        <v>0</v>
      </c>
      <c r="AM260" s="17">
        <v>0</v>
      </c>
      <c r="AN260" s="17">
        <v>0</v>
      </c>
      <c r="AO260" s="17">
        <v>0</v>
      </c>
      <c r="AP260" s="18">
        <f t="shared" si="4"/>
        <v>773081.18229999999</v>
      </c>
    </row>
    <row r="261" spans="1:42" ht="15" customHeight="1" x14ac:dyDescent="0.2">
      <c r="A261" s="16" t="s">
        <v>638</v>
      </c>
      <c r="B261" s="16" t="s">
        <v>640</v>
      </c>
      <c r="C261" s="16" t="s">
        <v>154</v>
      </c>
      <c r="D261" s="16" t="s">
        <v>650</v>
      </c>
      <c r="E261" s="17">
        <v>0</v>
      </c>
      <c r="F261" s="17">
        <v>0</v>
      </c>
      <c r="G261" s="17">
        <v>34449.1034</v>
      </c>
      <c r="H261" s="17">
        <v>49944.3966</v>
      </c>
      <c r="I261" s="17">
        <v>0</v>
      </c>
      <c r="J261" s="17">
        <v>0</v>
      </c>
      <c r="K261" s="17">
        <v>0</v>
      </c>
      <c r="L261" s="17">
        <v>0</v>
      </c>
      <c r="M261" s="17">
        <v>0</v>
      </c>
      <c r="N261" s="17">
        <v>0</v>
      </c>
      <c r="O261" s="17">
        <v>0</v>
      </c>
      <c r="P261" s="17">
        <v>0</v>
      </c>
      <c r="Q261" s="17">
        <v>0</v>
      </c>
      <c r="R261" s="17">
        <v>0</v>
      </c>
      <c r="S261" s="17">
        <v>0</v>
      </c>
      <c r="T261" s="17">
        <v>0</v>
      </c>
      <c r="U261" s="17">
        <v>0</v>
      </c>
      <c r="V261" s="17">
        <v>0</v>
      </c>
      <c r="W261" s="17">
        <v>0</v>
      </c>
      <c r="X261" s="17">
        <v>0</v>
      </c>
      <c r="Y261" s="17">
        <v>0</v>
      </c>
      <c r="Z261" s="17">
        <v>0</v>
      </c>
      <c r="AA261" s="17">
        <v>0</v>
      </c>
      <c r="AB261" s="17">
        <v>0</v>
      </c>
      <c r="AC261" s="17">
        <v>0</v>
      </c>
      <c r="AD261" s="17">
        <v>0</v>
      </c>
      <c r="AE261" s="17">
        <v>0</v>
      </c>
      <c r="AF261" s="17">
        <v>0</v>
      </c>
      <c r="AG261" s="17">
        <v>0</v>
      </c>
      <c r="AH261" s="17">
        <v>0</v>
      </c>
      <c r="AI261" s="17">
        <v>0</v>
      </c>
      <c r="AJ261" s="17">
        <v>0</v>
      </c>
      <c r="AK261" s="17">
        <v>0</v>
      </c>
      <c r="AL261" s="17">
        <v>0</v>
      </c>
      <c r="AM261" s="17">
        <v>0</v>
      </c>
      <c r="AN261" s="17">
        <v>0</v>
      </c>
      <c r="AO261" s="17">
        <v>0</v>
      </c>
      <c r="AP261" s="18">
        <f t="shared" si="4"/>
        <v>84393.5</v>
      </c>
    </row>
    <row r="262" spans="1:42" ht="15" customHeight="1" x14ac:dyDescent="0.2">
      <c r="A262" s="16" t="s">
        <v>638</v>
      </c>
      <c r="B262" s="16" t="s">
        <v>640</v>
      </c>
      <c r="C262" s="16" t="s">
        <v>176</v>
      </c>
      <c r="D262" s="16" t="s">
        <v>650</v>
      </c>
      <c r="E262" s="17">
        <v>649.67819999999995</v>
      </c>
      <c r="F262" s="17">
        <v>1908.0287000000001</v>
      </c>
      <c r="G262" s="17">
        <v>2529.8009999999999</v>
      </c>
      <c r="H262" s="17">
        <v>7691.9444000000003</v>
      </c>
      <c r="I262" s="17">
        <v>14087.867700000001</v>
      </c>
      <c r="J262" s="17">
        <v>0</v>
      </c>
      <c r="K262" s="17">
        <v>0</v>
      </c>
      <c r="L262" s="17">
        <v>0</v>
      </c>
      <c r="M262" s="17">
        <v>0</v>
      </c>
      <c r="N262" s="17">
        <v>0</v>
      </c>
      <c r="O262" s="17">
        <v>0</v>
      </c>
      <c r="P262" s="17">
        <v>0</v>
      </c>
      <c r="Q262" s="17">
        <v>0</v>
      </c>
      <c r="R262" s="17">
        <v>0</v>
      </c>
      <c r="S262" s="17">
        <v>0</v>
      </c>
      <c r="T262" s="17">
        <v>0</v>
      </c>
      <c r="U262" s="17">
        <v>0</v>
      </c>
      <c r="V262" s="17">
        <v>0</v>
      </c>
      <c r="W262" s="17">
        <v>0</v>
      </c>
      <c r="X262" s="17">
        <v>0</v>
      </c>
      <c r="Y262" s="17">
        <v>0</v>
      </c>
      <c r="Z262" s="17">
        <v>0</v>
      </c>
      <c r="AA262" s="17">
        <v>0</v>
      </c>
      <c r="AB262" s="17">
        <v>0</v>
      </c>
      <c r="AC262" s="17">
        <v>0</v>
      </c>
      <c r="AD262" s="17">
        <v>0</v>
      </c>
      <c r="AE262" s="17">
        <v>0</v>
      </c>
      <c r="AF262" s="17">
        <v>0</v>
      </c>
      <c r="AG262" s="17">
        <v>0</v>
      </c>
      <c r="AH262" s="17">
        <v>0</v>
      </c>
      <c r="AI262" s="17">
        <v>0</v>
      </c>
      <c r="AJ262" s="17">
        <v>0</v>
      </c>
      <c r="AK262" s="17">
        <v>0</v>
      </c>
      <c r="AL262" s="17">
        <v>0</v>
      </c>
      <c r="AM262" s="17">
        <v>0</v>
      </c>
      <c r="AN262" s="17">
        <v>0</v>
      </c>
      <c r="AO262" s="17">
        <v>0</v>
      </c>
      <c r="AP262" s="18">
        <f t="shared" si="4"/>
        <v>26867.32</v>
      </c>
    </row>
    <row r="263" spans="1:42" ht="15" customHeight="1" x14ac:dyDescent="0.2">
      <c r="A263" s="16" t="s">
        <v>638</v>
      </c>
      <c r="B263" s="16" t="s">
        <v>640</v>
      </c>
      <c r="C263" s="16" t="s">
        <v>273</v>
      </c>
      <c r="D263" s="16" t="s">
        <v>650</v>
      </c>
      <c r="E263" s="17">
        <v>423.72649999999999</v>
      </c>
      <c r="F263" s="17">
        <v>4576.2735000000002</v>
      </c>
      <c r="G263" s="17">
        <v>97395.661300000007</v>
      </c>
      <c r="H263" s="17">
        <v>2654.3386999999998</v>
      </c>
      <c r="I263" s="17">
        <v>0</v>
      </c>
      <c r="J263" s="17">
        <v>0</v>
      </c>
      <c r="K263" s="17">
        <v>0</v>
      </c>
      <c r="L263" s="17">
        <v>0</v>
      </c>
      <c r="M263" s="17">
        <v>0</v>
      </c>
      <c r="N263" s="17">
        <v>0</v>
      </c>
      <c r="O263" s="17">
        <v>0</v>
      </c>
      <c r="P263" s="17">
        <v>0</v>
      </c>
      <c r="Q263" s="17">
        <v>0</v>
      </c>
      <c r="R263" s="17">
        <v>0</v>
      </c>
      <c r="S263" s="17">
        <v>0</v>
      </c>
      <c r="T263" s="17">
        <v>0</v>
      </c>
      <c r="U263" s="17">
        <v>0</v>
      </c>
      <c r="V263" s="17">
        <v>0</v>
      </c>
      <c r="W263" s="17">
        <v>0</v>
      </c>
      <c r="X263" s="17">
        <v>0</v>
      </c>
      <c r="Y263" s="17">
        <v>0</v>
      </c>
      <c r="Z263" s="17">
        <v>0</v>
      </c>
      <c r="AA263" s="17">
        <v>0</v>
      </c>
      <c r="AB263" s="17">
        <v>0</v>
      </c>
      <c r="AC263" s="17">
        <v>0</v>
      </c>
      <c r="AD263" s="17">
        <v>0</v>
      </c>
      <c r="AE263" s="17">
        <v>0</v>
      </c>
      <c r="AF263" s="17">
        <v>0</v>
      </c>
      <c r="AG263" s="17">
        <v>0</v>
      </c>
      <c r="AH263" s="17">
        <v>0</v>
      </c>
      <c r="AI263" s="17">
        <v>0</v>
      </c>
      <c r="AJ263" s="17">
        <v>0</v>
      </c>
      <c r="AK263" s="17">
        <v>0</v>
      </c>
      <c r="AL263" s="17">
        <v>0</v>
      </c>
      <c r="AM263" s="17">
        <v>0</v>
      </c>
      <c r="AN263" s="17">
        <v>0</v>
      </c>
      <c r="AO263" s="17">
        <v>0</v>
      </c>
      <c r="AP263" s="18">
        <f t="shared" si="4"/>
        <v>105050</v>
      </c>
    </row>
    <row r="264" spans="1:42" ht="19.5" customHeight="1" x14ac:dyDescent="0.2">
      <c r="AP264" s="19">
        <f>SUM(AP2:AP263)</f>
        <v>542180712.86269999</v>
      </c>
    </row>
  </sheetData>
  <autoFilter ref="A1:AP264" xr:uid="{00000000-0009-0000-0000-000003000000}"/>
  <pageMargins left="0.78749999999999998" right="0.78749999999999998" top="0.78749999999999998" bottom="1.23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1P_Oil_final_val_col_abr29 2024</vt:lpstr>
      <vt:lpstr>Petróleo_1P Pronóstico</vt:lpstr>
      <vt:lpstr>Petróleo_Prb</vt:lpstr>
      <vt:lpstr>Petróleo_Ps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Eugenia Tovar Celis</dc:creator>
  <dc:description/>
  <cp:lastModifiedBy>RAFAEL ALBERTO FAJARDO MORENO</cp:lastModifiedBy>
  <cp:revision>0</cp:revision>
  <dcterms:created xsi:type="dcterms:W3CDTF">2024-04-30T01:56:59Z</dcterms:created>
  <dcterms:modified xsi:type="dcterms:W3CDTF">2026-10-08T19:24:58Z</dcterms:modified>
  <dc:language>en-US</dc:language>
</cp:coreProperties>
</file>